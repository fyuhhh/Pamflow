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DANI GA 2025\ASET &amp; PAKAI HABIS 2025\ASET 2025\ASET STOCK OPNAME &amp; LABEL 2025\"/>
    </mc:Choice>
  </mc:AlternateContent>
  <bookViews>
    <workbookView xWindow="0" yWindow="0" windowWidth="20490" windowHeight="7620"/>
  </bookViews>
  <sheets>
    <sheet name="Import 883" sheetId="7" r:id="rId1"/>
    <sheet name=" Penta 2024" sheetId="4" r:id="rId2"/>
    <sheet name=" Ewalk 2024" sheetId="5" r:id="rId3"/>
    <sheet name="Noted 2025" sheetId="1" r:id="rId4"/>
    <sheet name="Noted 2026" sheetId="6" r:id="rId5"/>
  </sheets>
  <definedNames>
    <definedName name="_xlnm._FilterDatabase" localSheetId="1" hidden="1">' Penta 2024'!$B$4:$M$268</definedName>
    <definedName name="_xlnm._FilterDatabase" localSheetId="0" hidden="1">'Import 883'!$A$1:$M$884</definedName>
    <definedName name="_xlnm._FilterDatabase" localSheetId="3" hidden="1">'Noted 2025'!$A$5:$O$175</definedName>
    <definedName name="_xlnm._FilterDatabase" localSheetId="4" hidden="1">'Noted 2026'!$A$6:$J$51</definedName>
    <definedName name="_xlnm.Print_Area" localSheetId="2">' Ewalk 2024'!$B$274:$M$286</definedName>
    <definedName name="_xlnm.Print_Area" localSheetId="1">' Penta 2024'!$B$265:$M$269</definedName>
    <definedName name="_xlnm.Print_Area" localSheetId="3">'Noted 2025'!$A$95:$M$143</definedName>
    <definedName name="_xlnm.Print_Area" localSheetId="4">'Noted 2026'!#REF!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82" i="7" l="1"/>
  <c r="F881" i="7"/>
  <c r="F880" i="7"/>
  <c r="F879" i="7"/>
  <c r="F878" i="7"/>
  <c r="F877" i="7"/>
  <c r="F876" i="7"/>
  <c r="F875" i="7"/>
  <c r="F873" i="7"/>
  <c r="F872" i="7"/>
  <c r="F871" i="7"/>
  <c r="F870" i="7"/>
  <c r="F869" i="7"/>
  <c r="F868" i="7"/>
  <c r="F867" i="7"/>
  <c r="F866" i="7"/>
  <c r="F801" i="7"/>
  <c r="F800" i="7"/>
  <c r="F799" i="7"/>
  <c r="F762" i="7"/>
  <c r="F761" i="7"/>
  <c r="F760" i="7"/>
  <c r="F759" i="7"/>
  <c r="F758" i="7"/>
  <c r="F757" i="7"/>
  <c r="F750" i="7"/>
  <c r="F749" i="7"/>
  <c r="F748" i="7"/>
  <c r="F739" i="7"/>
  <c r="F738" i="7"/>
  <c r="F737" i="7"/>
  <c r="F726" i="7"/>
  <c r="F725" i="7"/>
  <c r="F704" i="7"/>
  <c r="F703" i="7"/>
  <c r="F701" i="7"/>
  <c r="F700" i="7"/>
  <c r="F699" i="7"/>
  <c r="F693" i="7"/>
  <c r="F692" i="7"/>
  <c r="F686" i="7"/>
  <c r="F685" i="7"/>
  <c r="F678" i="7"/>
  <c r="F677" i="7"/>
  <c r="F658" i="7"/>
  <c r="F657" i="7"/>
  <c r="F652" i="7"/>
  <c r="F651" i="7"/>
  <c r="F646" i="7"/>
  <c r="F645" i="7"/>
  <c r="F644" i="7"/>
  <c r="F643" i="7"/>
  <c r="F642" i="7"/>
  <c r="F641" i="7"/>
  <c r="F640" i="7"/>
  <c r="F639" i="7"/>
  <c r="F634" i="7"/>
  <c r="F633" i="7"/>
  <c r="F632" i="7"/>
  <c r="F631" i="7"/>
  <c r="F630" i="7"/>
  <c r="F629" i="7"/>
  <c r="F628" i="7"/>
  <c r="F627" i="7"/>
  <c r="F626" i="7"/>
  <c r="F625" i="7"/>
  <c r="F612" i="7"/>
  <c r="F611" i="7"/>
  <c r="F537" i="7"/>
  <c r="F536" i="7"/>
  <c r="F530" i="7"/>
  <c r="F529" i="7"/>
  <c r="F528" i="7"/>
  <c r="F527" i="7"/>
  <c r="F524" i="7"/>
  <c r="F523" i="7"/>
  <c r="F516" i="7"/>
  <c r="F515" i="7"/>
  <c r="F497" i="7"/>
  <c r="F496" i="7"/>
  <c r="F495" i="7"/>
  <c r="F494" i="7"/>
  <c r="F493" i="7"/>
  <c r="F492" i="7"/>
  <c r="F491" i="7"/>
  <c r="F490" i="7"/>
  <c r="F487" i="7"/>
  <c r="F486" i="7"/>
  <c r="F485" i="7"/>
  <c r="F484" i="7"/>
  <c r="F483" i="7"/>
  <c r="F482" i="7"/>
  <c r="F481" i="7"/>
  <c r="F480" i="7"/>
  <c r="F478" i="7"/>
  <c r="F477" i="7"/>
  <c r="F474" i="7"/>
  <c r="F473" i="7"/>
  <c r="F460" i="7"/>
  <c r="F459" i="7"/>
  <c r="F458" i="7"/>
  <c r="F457" i="7"/>
  <c r="F456" i="7"/>
  <c r="F455" i="7"/>
  <c r="F454" i="7"/>
  <c r="F453" i="7"/>
  <c r="F452" i="7"/>
  <c r="F451" i="7"/>
  <c r="F450" i="7"/>
  <c r="F449" i="7"/>
  <c r="F448" i="7"/>
  <c r="F447" i="7"/>
  <c r="F446" i="7"/>
  <c r="F445" i="7"/>
  <c r="F444" i="7"/>
  <c r="F443" i="7"/>
  <c r="F442" i="7"/>
  <c r="F441" i="7"/>
  <c r="F440" i="7"/>
  <c r="F439" i="7"/>
  <c r="F438" i="7"/>
  <c r="F437" i="7"/>
  <c r="F432" i="7"/>
  <c r="F431" i="7"/>
  <c r="F402" i="7"/>
  <c r="F401" i="7"/>
  <c r="F400" i="7"/>
  <c r="F346" i="7"/>
  <c r="F345" i="7"/>
  <c r="F344" i="7"/>
  <c r="F343" i="7"/>
  <c r="F342" i="7"/>
  <c r="F341" i="7"/>
  <c r="F340" i="7"/>
  <c r="F339" i="7"/>
  <c r="F290" i="7"/>
  <c r="F289" i="7"/>
  <c r="F288" i="7"/>
  <c r="F287" i="7"/>
  <c r="F286" i="7"/>
  <c r="F285" i="7"/>
  <c r="F284" i="7"/>
  <c r="F283" i="7"/>
  <c r="F282" i="7"/>
  <c r="F281" i="7"/>
  <c r="F280" i="7"/>
  <c r="F279" i="7"/>
  <c r="F278" i="7"/>
  <c r="F277" i="7"/>
  <c r="F276" i="7"/>
  <c r="F275" i="7"/>
  <c r="F274" i="7"/>
  <c r="F273" i="7"/>
  <c r="F272" i="7"/>
  <c r="F271" i="7"/>
  <c r="F269" i="7"/>
  <c r="F268" i="7"/>
  <c r="F259" i="7"/>
  <c r="F258" i="7"/>
  <c r="F257" i="7"/>
  <c r="F256" i="7"/>
  <c r="F255" i="7"/>
  <c r="F254" i="7"/>
  <c r="F253" i="7"/>
  <c r="F252" i="7"/>
  <c r="F251" i="7"/>
  <c r="F250" i="7"/>
  <c r="F249" i="7"/>
  <c r="F248" i="7"/>
  <c r="F239" i="7"/>
  <c r="F238" i="7"/>
  <c r="F235" i="7"/>
  <c r="F234" i="7"/>
  <c r="F232" i="7"/>
  <c r="F231" i="7"/>
  <c r="F230" i="7"/>
  <c r="F229" i="7"/>
  <c r="F228" i="7"/>
  <c r="F227" i="7"/>
  <c r="F226" i="7"/>
  <c r="F219" i="7"/>
  <c r="F218" i="7"/>
  <c r="F217" i="7"/>
  <c r="F213" i="7"/>
  <c r="F212" i="7"/>
  <c r="F211" i="7"/>
  <c r="F210" i="7"/>
  <c r="F207" i="7"/>
  <c r="F206" i="7"/>
  <c r="F200" i="7"/>
  <c r="F199" i="7"/>
  <c r="F198" i="7"/>
  <c r="F197" i="7"/>
  <c r="F196" i="7"/>
  <c r="F195" i="7"/>
  <c r="F194" i="7"/>
  <c r="F191" i="7"/>
  <c r="F190" i="7"/>
  <c r="F189" i="7"/>
  <c r="F188" i="7"/>
  <c r="F185" i="7"/>
  <c r="F184" i="7"/>
  <c r="F58" i="7"/>
  <c r="F57" i="7"/>
  <c r="F56" i="7"/>
  <c r="F55" i="7"/>
  <c r="F54" i="7"/>
  <c r="F53" i="7"/>
  <c r="F52" i="7"/>
  <c r="F51" i="7"/>
  <c r="F40" i="7"/>
  <c r="F39" i="7"/>
  <c r="F38" i="7"/>
  <c r="F36" i="7"/>
  <c r="F35" i="7"/>
  <c r="F34" i="7"/>
  <c r="F29" i="7"/>
  <c r="F28" i="7"/>
  <c r="F27" i="7"/>
  <c r="F26" i="7"/>
  <c r="F25" i="7"/>
  <c r="F24" i="7"/>
  <c r="F23" i="7"/>
  <c r="I54" i="6" l="1"/>
  <c r="O177" i="6" l="1"/>
  <c r="O176" i="6"/>
  <c r="O175" i="6"/>
  <c r="I175" i="6"/>
  <c r="M401" i="5" l="1"/>
  <c r="M400" i="5"/>
  <c r="G399" i="5"/>
  <c r="M346" i="4"/>
  <c r="M345" i="4"/>
  <c r="M344" i="4"/>
  <c r="G344" i="4"/>
  <c r="O175" i="1" l="1"/>
  <c r="O174" i="1"/>
  <c r="O173" i="1"/>
  <c r="I173" i="1"/>
</calcChain>
</file>

<file path=xl/sharedStrings.xml><?xml version="1.0" encoding="utf-8"?>
<sst xmlns="http://schemas.openxmlformats.org/spreadsheetml/2006/main" count="10919" uniqueCount="5244">
  <si>
    <t>DAFTAR STOCK OPNAME &amp; LABEL ASET</t>
  </si>
  <si>
    <t>TAHUN 2025</t>
  </si>
  <si>
    <t>NO</t>
  </si>
  <si>
    <t>Classification</t>
  </si>
  <si>
    <t>No INV</t>
  </si>
  <si>
    <t>No Label/Kode Barang</t>
  </si>
  <si>
    <t>KET</t>
  </si>
  <si>
    <t>Tahun Perolehan</t>
  </si>
  <si>
    <t>Harga Perolehan</t>
  </si>
  <si>
    <t>Dept</t>
  </si>
  <si>
    <t>Kuantitas</t>
  </si>
  <si>
    <t>Lokasi</t>
  </si>
  <si>
    <t>Kondisi Barang</t>
  </si>
  <si>
    <t>RFID</t>
  </si>
  <si>
    <t>UPLOAD FOTO</t>
  </si>
  <si>
    <t>Baik</t>
  </si>
  <si>
    <t>Rusak Ringan</t>
  </si>
  <si>
    <t>Rusak Berat</t>
  </si>
  <si>
    <t>TROLLEY TOOL CART PNEUMATIC TYRE 300KG KRISBOW 10106917</t>
  </si>
  <si>
    <t>INVT/PNT/492</t>
  </si>
  <si>
    <t>ASET/EP-PSV/2025/1</t>
  </si>
  <si>
    <t xml:space="preserve">UNTUK KEPERLUAN ANGKUT PERLENGKAPAN EVENT MALL RAB BULAN MARET - APRIL 2025 </t>
  </si>
  <si>
    <t>14 Mei 2025</t>
  </si>
  <si>
    <t>1.03-EVENT &amp; PROMOSI</t>
  </si>
  <si>
    <t>PENTACITY</t>
  </si>
  <si>
    <t>Register RFID</t>
  </si>
  <si>
    <t>RECORDING TECH RT ROYALE 200 2 MIC WIRELESS BANDO &amp; CLIP ON - WARNA</t>
  </si>
  <si>
    <t>INVT/PNT/525</t>
  </si>
  <si>
    <t>ASET/EP-PSV/2025/4</t>
  </si>
  <si>
    <t xml:space="preserve">UNTUK KEPERLUAN PERLENGKAPAN EVENT MALL </t>
  </si>
  <si>
    <t>18 Agu 2025</t>
  </si>
  <si>
    <t xml:space="preserve">WEBCAM STREAMING </t>
  </si>
  <si>
    <t>INVT/EWK/498</t>
  </si>
  <si>
    <t>ASET/EP-eWalk/2025/1</t>
  </si>
  <si>
    <t xml:space="preserve">UNTUK PERLENGKAPAN EVENT MALL </t>
  </si>
  <si>
    <t>10 Sep 2025</t>
  </si>
  <si>
    <t>EWALK</t>
  </si>
  <si>
    <t>Barangnya kecil tidak cukup di label</t>
  </si>
  <si>
    <t>LEMARI ARSIP BESI 2 PINTU SWING</t>
  </si>
  <si>
    <t>INVT/PNT/564</t>
  </si>
  <si>
    <t>ASET/EP-PSV/2025/2</t>
  </si>
  <si>
    <r>
      <t xml:space="preserve">UNTUK KEPERLUAN MENJAHIT COVER ALAT SOUNDSYSTEM TIM </t>
    </r>
    <r>
      <rPr>
        <b/>
        <sz val="8"/>
        <color rgb="FF000000"/>
        <rFont val="Arial"/>
        <family val="2"/>
      </rPr>
      <t>SOUNDMAN</t>
    </r>
    <r>
      <rPr>
        <sz val="8"/>
        <color rgb="FF000000"/>
        <rFont val="Arial"/>
        <family val="2"/>
      </rPr>
      <t xml:space="preserve"> RAB BULAN NOVEMBER - DESEMBE 2025</t>
    </r>
  </si>
  <si>
    <t>04 Des 2025</t>
  </si>
  <si>
    <t>MOVING HEAD BEAM 400</t>
  </si>
  <si>
    <t>INVT/PNT/570</t>
  </si>
  <si>
    <t>ASET/EP-PSV/2025/3</t>
  </si>
  <si>
    <r>
      <t xml:space="preserve">UNTUK KEBUTUHAN </t>
    </r>
    <r>
      <rPr>
        <b/>
        <sz val="8"/>
        <color rgb="FF000000"/>
        <rFont val="Arial"/>
        <family val="2"/>
      </rPr>
      <t>SOUNDMAN</t>
    </r>
  </si>
  <si>
    <t>17 Des 2025</t>
  </si>
  <si>
    <t>MIXER MINI PEARL 1024B CONTROLLER</t>
  </si>
  <si>
    <t>INVT/PNT/571</t>
  </si>
  <si>
    <t>WIRELESS SYSTEM WAVE AIR 3 PRO</t>
  </si>
  <si>
    <t>INVT/PNT/509</t>
  </si>
  <si>
    <t>ASET/EP-PSV/2025/2-3</t>
  </si>
  <si>
    <t>UNTUK KEPERLUAN PERLENGKAPAN ALAT SOUNDMAN</t>
  </si>
  <si>
    <t>16 Jul 2025</t>
  </si>
  <si>
    <t>Jumlah barang lebih dari 1, Belum diregister RFID</t>
  </si>
  <si>
    <t>HAND TRUCK PLATFORM TROLLY NF-301</t>
  </si>
  <si>
    <t>INVT/PNT/473</t>
  </si>
  <si>
    <t>ASET/VM-PSV/2025/1</t>
  </si>
  <si>
    <t>UNTUK KEBUTUHAN PERLENGKAPAN ALAT KERJA TIM VM</t>
  </si>
  <si>
    <t>24 Feb 2025</t>
  </si>
  <si>
    <t>1.05-VISUAL MERCHANDISE</t>
  </si>
  <si>
    <t>BOR ELECTRIC BOSCH GSR 185-LI 18 VOLT BRUSHLESS</t>
  </si>
  <si>
    <t>INVT/PNT/480</t>
  </si>
  <si>
    <t>ASET/VM-PSV/2025/2</t>
  </si>
  <si>
    <t xml:space="preserve">PENAMBAHAN TOOLS VM 2025 </t>
  </si>
  <si>
    <t>07 Mar 2025</t>
  </si>
  <si>
    <t>CLEAN CUT JIGSAW MACHINE M 4302B</t>
  </si>
  <si>
    <t>INVT/PNT/530</t>
  </si>
  <si>
    <t>ASET/VM-PSV/2025/3</t>
  </si>
  <si>
    <t xml:space="preserve">UNTUK PENAMBAHAN KEBUTUHAN ALAT KERJA VM </t>
  </si>
  <si>
    <t>02 Sep 2025</t>
  </si>
  <si>
    <t>MAKITA MESIN PAKU TEMBAK AF504Z - AIR NAILER MAKITA AF 504 Z</t>
  </si>
  <si>
    <t>INVT/PNT/546</t>
  </si>
  <si>
    <t>ASET/VM-PSV/2025/4</t>
  </si>
  <si>
    <t xml:space="preserve"> UNTUK PENAMBAHAN KEBUTUHAN ALAT KERJA VM URGENT</t>
  </si>
  <si>
    <t>30 Sep 2025</t>
  </si>
  <si>
    <t>MESIN JAHIT KECIL BUTTERFLY JA1-1 KOMPLIT SET</t>
  </si>
  <si>
    <t>INVT/PNT/552</t>
  </si>
  <si>
    <t>ASET/VM-PSV/2025/5</t>
  </si>
  <si>
    <t>PENAMBAHAN ALAT KERJA VM</t>
  </si>
  <si>
    <t>20 Okt 2025</t>
  </si>
  <si>
    <t>MESIN PROFIL 6 MM ROUTER TRIMMER MAKITA 3709</t>
  </si>
  <si>
    <t>INVT/EWK/478</t>
  </si>
  <si>
    <t>ASET/VM-eWalk/2025/1</t>
  </si>
  <si>
    <t xml:space="preserve">UNTUK KEBUTUHAN KELENGKAPAN ALAT AKERJA VM </t>
  </si>
  <si>
    <t>23 Feb 2025</t>
  </si>
  <si>
    <t>MARSTEN BAR TABLE</t>
  </si>
  <si>
    <t>INVT/EWK/491</t>
  </si>
  <si>
    <t>ASET/VM-eWalk/2025/7</t>
  </si>
  <si>
    <t>UNTUK KEBUTUHAN EVENT ACOUSTIC MINGGUAN - VM</t>
  </si>
  <si>
    <t>27 Mei 2025</t>
  </si>
  <si>
    <t>MESIN GERGAJI KAYU 7 INCH (CIRCULAR SAW) MAKITA M 5801B</t>
  </si>
  <si>
    <t>INVT/EWK/493</t>
  </si>
  <si>
    <t>ASET/VM-eWalk/2025/8</t>
  </si>
  <si>
    <t>UNTUK KEBUTUHAN DEKORASI BACK TO SCHOOL PENTACITY</t>
  </si>
  <si>
    <t>13 Jul 25</t>
  </si>
  <si>
    <t>MESIN LAS MIG 138 IZUMI</t>
  </si>
  <si>
    <t>INVT/EWK/496</t>
  </si>
  <si>
    <t>ASET/VM-eWalk/2025/9</t>
  </si>
  <si>
    <t>UNTUK ALAT KERJA VISUAL MERCHANDISE</t>
  </si>
  <si>
    <t>03 Sep 2025</t>
  </si>
  <si>
    <t>RFID FAILED</t>
  </si>
  <si>
    <t>MESIN PROFIL 6MM ROUTER TRIMMER MAKITA 3709</t>
  </si>
  <si>
    <t>INVT/EWK/499</t>
  </si>
  <si>
    <t>ASET/VM-eWalk/2025/10</t>
  </si>
  <si>
    <t>UNTUK PENAMBAHAN ALAT KERJA VISUAL MERCHANDISE</t>
  </si>
  <si>
    <t>Di Store mau di servis</t>
  </si>
  <si>
    <t xml:space="preserve">MARSTEN BAR STOOL ANTIQUE BLACK </t>
  </si>
  <si>
    <t>INVT/EWK/490</t>
  </si>
  <si>
    <t>ASET/VM-eWalk/2025/2-6</t>
  </si>
  <si>
    <t xml:space="preserve">UNTUK KEBUTUHAN EVENT REGULAR VM </t>
  </si>
  <si>
    <t>No. Registrasi tertukar</t>
  </si>
  <si>
    <t>STAPLER NAILER GUN XV 20 V CORDLESS TEKIRO</t>
  </si>
  <si>
    <t>INVT/EWK/511</t>
  </si>
  <si>
    <t>ASET/VM-eWalk/2025/11</t>
  </si>
  <si>
    <t>UNTUK GANTI ALAT KERJA TIM VM</t>
  </si>
  <si>
    <t>14 Okt 2025</t>
  </si>
  <si>
    <t xml:space="preserve">WIPRO AIR NAILER F30 (2 UNT) &amp; MESIN GERINDRA BOSCH GWS 900-100 2
 </t>
  </si>
  <si>
    <t>INVT/EWK/471</t>
  </si>
  <si>
    <t>ASET/VM-eWalk/2025/13-15</t>
  </si>
  <si>
    <t>UNTUK KEBUTUHAN PERLENGKAPAN EVENT IMLEK 2025</t>
  </si>
  <si>
    <t>11 Jan 2025</t>
  </si>
  <si>
    <t>2.04-VISUAL MERCHANDISE</t>
  </si>
  <si>
    <t>Regsiter RFID</t>
  </si>
  <si>
    <t>Wipro air nailer rusak, Jumlah barang lebih dari 1, Belum diregister RFID, 2 Nama barang dalam 1 Kolom, Mesin Gerinda sudah di RFID</t>
  </si>
  <si>
    <t>COMPRESSOR ANGIN LVPM 6501 1HP SHARK</t>
  </si>
  <si>
    <t>INVT/EWK/469</t>
  </si>
  <si>
    <t>ASET/VM-eWalk/2025/12</t>
  </si>
  <si>
    <t>UNTUK PERLANGKAPAN KERJA VM</t>
  </si>
  <si>
    <t>05 Jan 2025</t>
  </si>
  <si>
    <t>MESIN BLUE CLEAN 611, GUN KARCHER, SELANG HEEVY DUTY + CONNECTOR KE GUN KARCHER 10 METER</t>
  </si>
  <si>
    <t>INVT/PNT/458</t>
  </si>
  <si>
    <t>ASET/ENG-PSV/2025/1</t>
  </si>
  <si>
    <t xml:space="preserve">PERLENGKAPAN ENGINEERING UNTUK MAINTENANCE SERVICE AHU </t>
  </si>
  <si>
    <t>25 Jan 2025</t>
  </si>
  <si>
    <t>2.01-ENGINEERING</t>
  </si>
  <si>
    <t>AC 1PK ( INDOOR + OUTDOOR ) MERK AKARI</t>
  </si>
  <si>
    <t>INVT/PNT/467</t>
  </si>
  <si>
    <t>ASET/ENG-PSV/2025/2</t>
  </si>
  <si>
    <t>PEMASANGAN BARU AC DI APARTEMEN A/N HARY ( ASST.MANAGER VM ) ( URGENT )</t>
  </si>
  <si>
    <t>13 Feb 2025</t>
  </si>
  <si>
    <t>Belum register</t>
  </si>
  <si>
    <t>BOSCH BRUSHLESS SABRE SAW / SABRE SAW BATERAI 18 VOLT 2900 SPM GSA 185-LI</t>
  </si>
  <si>
    <t>INVT/PNT/468</t>
  </si>
  <si>
    <t>ASET/ENG-PSV/2025/3</t>
  </si>
  <si>
    <t>ALAT KERJA ENGINEERING MECHANIC UNTUK PEMOTONGAN PIPA PVC DIAMETER BESAR 4 - 6 INCH</t>
  </si>
  <si>
    <t>14 Feb 2025</t>
  </si>
  <si>
    <t>MESIN LAS APR AP39 PRO MIG TIG MMA ARC 130A - 900 WATT</t>
  </si>
  <si>
    <t>INVT/PNT/474</t>
  </si>
  <si>
    <t>ASET/ENG-PSV/2025/4</t>
  </si>
  <si>
    <t>PENGGANTIAN ALAT KERJA MESIN LAS YANG RUSAK UNTUK FABRIKASI ( URGENT ) - ENGINEERING</t>
  </si>
  <si>
    <t>POMPA CENTRIFUGAL EBARA PUMP CDX 120/12 3 PHASE</t>
  </si>
  <si>
    <t>INVT/PNT/495</t>
  </si>
  <si>
    <t>ASET/ENG-PSV/2025/9</t>
  </si>
  <si>
    <t xml:space="preserve">PENGGANTIAN POMPA TRANSFER AIR BILAS ROOFTANK YANG RUSAK KOROSI &amp; TERBAKAR </t>
  </si>
  <si>
    <t>26 Mei 2025</t>
  </si>
  <si>
    <t>MESIN IMPACT APR AP78 PROMAX + TORSI 1850NM - EDISION CVT</t>
  </si>
  <si>
    <t>INVT/PNT/498</t>
  </si>
  <si>
    <t>ASET/ENG-PSV/2025/13</t>
  </si>
  <si>
    <t>ALAT BANTU KERJA PERBAIKAN POMPA &amp; PELEPASAN PEMBONGKARAN BAUT/NUT (ENGINEERING)</t>
  </si>
  <si>
    <t>30 Mei 2025</t>
  </si>
  <si>
    <t>MESIN STEAM CLEANER KYOWA KYC 408 STEAM CLEANER AC</t>
  </si>
  <si>
    <t>INVT/PNT/499</t>
  </si>
  <si>
    <t>ASET/ENG-PSV/2025/14</t>
  </si>
  <si>
    <t>ALAT BANTU KERJA ENGINEERING CUCI OUTDOOR AC ALL AREA OFFCE</t>
  </si>
  <si>
    <t>31 Mei 2025</t>
  </si>
  <si>
    <t>CHILLER PENTACITY -  A</t>
  </si>
  <si>
    <t>INVT/PNT/500</t>
  </si>
  <si>
    <t>ASET/ENG-PSV/2025/15</t>
  </si>
  <si>
    <t xml:space="preserve">PEKERJAAN JASA PEMASANGAN HISENSE AIR COOLED SCROLL MODULLAR CHILLER, PENGADAAN BARU UNIT CHILLER DI PENTACITY </t>
  </si>
  <si>
    <t>FLOW METER AIR LIMBAH 2 INCH DN50 SHM</t>
  </si>
  <si>
    <t>INVT/PNT/503</t>
  </si>
  <si>
    <t>ASET/ENG-PSV/2025/16</t>
  </si>
  <si>
    <t xml:space="preserve">PEMASANGAN FLOW METER PEMBUANGAN AIR LIMBAH STP </t>
  </si>
  <si>
    <t>13 Jun 2025</t>
  </si>
  <si>
    <t>Area STP</t>
  </si>
  <si>
    <t>VACUUM CLEANER STAINLESS-MODEL SC-802J-3</t>
  </si>
  <si>
    <t>INVT/PNT/510</t>
  </si>
  <si>
    <t>ASET/ENG-PSV/2025/17</t>
  </si>
  <si>
    <t>PENGGANTI VACCUM CLEANER YANG RUSAK (ENGINEERING)</t>
  </si>
  <si>
    <t>VACUUM PUMP CHILLER - TYPE 2X-15A; PUMP SPEED 15 LTR/SEC; ULTIMATE PRESSURE 6X10² PA POWER : 3 HP/3 PH/380 V/50 HZ</t>
  </si>
  <si>
    <t>INVT/PNT/527</t>
  </si>
  <si>
    <t>ASET/ENG-PSV/2025/18</t>
  </si>
  <si>
    <t xml:space="preserve">ALAT BANTU KERJA MAINTENANCE ALL CHILLER PENTACITY </t>
  </si>
  <si>
    <t>22 Agu 2025</t>
  </si>
  <si>
    <t xml:space="preserve"> POMPA CENTRIFUGAL EBARA PUMP CDX 120/12 3 PHASE</t>
  </si>
  <si>
    <t>INVT/PNT/526</t>
  </si>
  <si>
    <t>ASET/ENG-PSV/2025/19</t>
  </si>
  <si>
    <t>PENGGANTIAN POMPA TRANSFER AIR BILAS ROOFTANK NO 2</t>
  </si>
  <si>
    <t>26 Agu 2025</t>
  </si>
  <si>
    <t>AC 1PK ( INDOOR + OUTDOOR ) AKARI</t>
  </si>
  <si>
    <t>INVT/PNT/538</t>
  </si>
  <si>
    <t>ASET/ENG-PSV/2025/20</t>
  </si>
  <si>
    <t xml:space="preserve">PEKERJAAN PEMASANGAN AC DIRUANGAN BARU OFFICE BOY/GIRL DAN DRIVER PENTACITY EWALK </t>
  </si>
  <si>
    <t>23 Sep 2025</t>
  </si>
  <si>
    <t>Unit terpasang di Ruang Fitri TR</t>
  </si>
  <si>
    <t>MODULE DSE DEEP SEA (DSE 7220)</t>
  </si>
  <si>
    <t>INVT/PNT/541</t>
  </si>
  <si>
    <t>ASET/ENG-PSV/2025/21</t>
  </si>
  <si>
    <t>UNTUK PEMASANGAN AKSES DOOR DAN EMERGENCY ALARM DI NURSERY ROOM LANTAI FF</t>
  </si>
  <si>
    <t>Genset  No. 2</t>
  </si>
  <si>
    <t>MESIN ASD-120B DEKKSON (PINTU DOUBLE)</t>
  </si>
  <si>
    <t>INVT/PNT/548</t>
  </si>
  <si>
    <t>ASET/ENG-PSV/2025/22</t>
  </si>
  <si>
    <t>PEMASANGAN PINTU SENSOR AREA FOODCOURT PENTACITY</t>
  </si>
  <si>
    <t>02 Okt 2025</t>
  </si>
  <si>
    <t>MESIN ASD-120B DEKKSON (PINTU SINGLE)</t>
  </si>
  <si>
    <t>INVT/PNT/549</t>
  </si>
  <si>
    <t>AC 2PK ( INDOOR + OUTDOOR ) MERK AKARI</t>
  </si>
  <si>
    <t>INVT/PNT/554</t>
  </si>
  <si>
    <t>ASET/ENG-PSV/2025/25</t>
  </si>
  <si>
    <t xml:space="preserve">PEMASANGAN BARU DIRUANG CHIEF ENGINEERING </t>
  </si>
  <si>
    <t>01 Nop 2025</t>
  </si>
  <si>
    <t>MESIN BOR BATERAI BOSCH GBH 180-LI KIT CORDLESS ROTARY HAMMER BOSCH</t>
  </si>
  <si>
    <t>INVT/PNT/561</t>
  </si>
  <si>
    <t>ASET/ENG-PSV/2025/28</t>
  </si>
  <si>
    <t>ALAT BANTU KERJA PENGEBORAN DINDING UNTUK PEMASANGAN INSTALASI LISTRIK</t>
  </si>
  <si>
    <t>01 Des 2025</t>
  </si>
  <si>
    <t>POMPA EBARA 65 DL 51.5 1.5 KW 380 VOLT 4 POLE</t>
  </si>
  <si>
    <t>INVT/PNT/562</t>
  </si>
  <si>
    <t>ASET/ENG-PSV/2025/29</t>
  </si>
  <si>
    <r>
      <t xml:space="preserve">PENGGANTIAN POMPA SUMP PIT </t>
    </r>
    <r>
      <rPr>
        <b/>
        <sz val="8"/>
        <color rgb="FF000000"/>
        <rFont val="Arial"/>
        <family val="2"/>
      </rPr>
      <t>TENANT SOLARIA</t>
    </r>
    <r>
      <rPr>
        <sz val="8"/>
        <color rgb="FF000000"/>
        <rFont val="Arial"/>
        <family val="2"/>
      </rPr>
      <t xml:space="preserve"> YANG RUSAK DAYA HISAP LEMAH</t>
    </r>
  </si>
  <si>
    <t>Posisi didalam air</t>
  </si>
  <si>
    <t>TOOL CART 300 KG PNEUMATIC TYRE ( MODEL NO : PRTM30, DIAMETER : 1382 X 615 X 1140 )</t>
  </si>
  <si>
    <t>INVT/PNT/568</t>
  </si>
  <si>
    <t>ASET/ENG-PSV/2025/30</t>
  </si>
  <si>
    <r>
      <t xml:space="preserve">PERUNTUKAN ALAT BANTU KERJA BAWA UNIT MATERIAL </t>
    </r>
    <r>
      <rPr>
        <b/>
        <sz val="8"/>
        <color rgb="FF000000"/>
        <rFont val="Arial"/>
        <family val="2"/>
      </rPr>
      <t>MESIN STEAM AHU, FILTER AHU</t>
    </r>
    <r>
      <rPr>
        <sz val="8"/>
        <color rgb="FF000000"/>
        <rFont val="Arial"/>
        <family val="2"/>
      </rPr>
      <t xml:space="preserve"> DIRUANG CHILLER</t>
    </r>
  </si>
  <si>
    <t>15 Des 2025</t>
  </si>
  <si>
    <t>TOOL CART 300 KG PNEUMATIC TYRE ( MODEL NO : PRTM30, DIAMETER : 1382 X 615 X 1140</t>
  </si>
  <si>
    <t>INVT/PNT/569</t>
  </si>
  <si>
    <t>ASET/ENG-PSV/2025/31</t>
  </si>
  <si>
    <r>
      <t xml:space="preserve">PERUNTUKAN </t>
    </r>
    <r>
      <rPr>
        <b/>
        <sz val="8"/>
        <color rgb="FF000000"/>
        <rFont val="Arial"/>
        <family val="2"/>
      </rPr>
      <t>ALAT BANTU KERJA BAWA UNIT</t>
    </r>
    <r>
      <rPr>
        <sz val="8"/>
        <color rgb="FF000000"/>
        <rFont val="Arial"/>
        <family val="2"/>
      </rPr>
      <t xml:space="preserve"> MATERIAL PEKERJAAN AREA MALL PENTACITY (URGENT) </t>
    </r>
  </si>
  <si>
    <t>16 Des 2025</t>
  </si>
  <si>
    <t>unit tidak ada, atau double data</t>
  </si>
  <si>
    <t>MESIN BLOWER BOSCH GBL 82-270</t>
  </si>
  <si>
    <t>INVT/EWK/472</t>
  </si>
  <si>
    <t>ASET/ENG-eWalk/2025/12</t>
  </si>
  <si>
    <t>U/N PEKERJAAN PEMBERSIHAN PANEL PUTR,CAPASITOR BANK, PANEL PENERANGAN</t>
  </si>
  <si>
    <t xml:space="preserve">VACUUM CLEANER NT 48/1 WET &amp; DRY KARCHER </t>
  </si>
  <si>
    <t>INVT/EWK/477</t>
  </si>
  <si>
    <t>ASET/ENG-eWalk/2025/17</t>
  </si>
  <si>
    <t>UNTUK GANTI VACUM CLEANER MECHANICAL YANG RUSAK (MOTOR TERBAKAR)</t>
  </si>
  <si>
    <t>01 Feb 2025</t>
  </si>
  <si>
    <t>BLIND RIVETING GUN CORDLESS TORA</t>
  </si>
  <si>
    <t>INVT/EWK/480</t>
  </si>
  <si>
    <t>ASET/ENG-eWalk/2025/18</t>
  </si>
  <si>
    <t>WORKSHOP ENG</t>
  </si>
  <si>
    <t>26 Feb 2025</t>
  </si>
  <si>
    <t>MESIN BOR BETON BOSCH GBH 2-28DFV</t>
  </si>
  <si>
    <t>INVT/EWK/482</t>
  </si>
  <si>
    <t>ASET/ENG-eWalk/2025/29</t>
  </si>
  <si>
    <t xml:space="preserve">(MESIN)-UNTUK GANTI BOR BETON ENGINEERING YANG RUSAK (SPARE PART MESIN BOR SUDAH AUS) </t>
  </si>
  <si>
    <t>26 Mar 2025</t>
  </si>
  <si>
    <t>LANTAI DAN DINDING BETON STP EWALK (XFRESH CITRA PERKASA)</t>
  </si>
  <si>
    <t>INVT/EWK/488</t>
  </si>
  <si>
    <t>ASET/ENG-eWalk/2025/34</t>
  </si>
  <si>
    <t xml:space="preserve">BANGUNAN STP (Reff: AJE-AUDIT-2312001 TGL 31/12/2023)
BKK-BCA-388581(24/10/24), BKK-BCA-24120060 (09/12/24), BKK-BCA388581-24120100 (30/12/24)
XFRESH CITRA PERKASA - PEMBAYARAN PEKERJAAN PELAPISAN LANTAI DAN DINDING BETON STP EWALK </t>
  </si>
  <si>
    <t>30 Apr 2025</t>
  </si>
  <si>
    <t>Tidak Register RFID</t>
  </si>
  <si>
    <t>MESIN CUCI STREAM (GASOLINE HIGH PRESSURE WASHER ) MAST SUMOTO MPW-2600 G</t>
  </si>
  <si>
    <t>INVT/EWK/492</t>
  </si>
  <si>
    <t>ASET/ENG-eWalk/2025/35</t>
  </si>
  <si>
    <t>U/N PEKERJAAN CUCI RADIATOR GENSET</t>
  </si>
  <si>
    <t>17 Jun 2025</t>
  </si>
  <si>
    <t>COMPRESSOR ANGIN SWAN SVU 202 2HP (LISTRIK)</t>
  </si>
  <si>
    <t>INVT/EWK/494</t>
  </si>
  <si>
    <t>ASET/ENG-eWalk/2025/36</t>
  </si>
  <si>
    <t>U/N GANTI COMPRESSOR YANG RUSAK ( ANGIN CAMPUR AIR YANG KELUAR ) ENGINEERING</t>
  </si>
  <si>
    <t>09 Agu 2025</t>
  </si>
  <si>
    <t>TANGGA ALUMUNIUM 8 STEP KRISBOW 4.8M</t>
  </si>
  <si>
    <t>INVT/EWK/497</t>
  </si>
  <si>
    <t>ASET/ENG-eWalk/2025/37</t>
  </si>
  <si>
    <t xml:space="preserve">UNTUK GANTI TANGGA DIVISI ELECTRICAL YANG RUSAK </t>
  </si>
  <si>
    <t>06 Sep 2025</t>
  </si>
  <si>
    <t>FLARING  ELECTRICAL TOOLS VALUE VET 19-LI</t>
  </si>
  <si>
    <t>INVT/EWK/501</t>
  </si>
  <si>
    <t>ASET/ENG-eWalk/2025/42</t>
  </si>
  <si>
    <t xml:space="preserve">UNTUK GANTI ALAT PLEERING AC YANG SUDAH AUS </t>
  </si>
  <si>
    <t>14 Sep 2025</t>
  </si>
  <si>
    <t xml:space="preserve">AUTOMATIC DOOR TYPE VISIO SLIDING </t>
  </si>
  <si>
    <t>INVT/EWK/502</t>
  </si>
  <si>
    <t>ASET/ENG-eWalk/2025/43</t>
  </si>
  <si>
    <t>UNTUK PEREMAJAAN PINTU AUTOMATIS LOBBY TIMUR GF (PINTU MASIH BEROPERASIONAL TAPI TIDAK BISA DIKUNCI)</t>
  </si>
  <si>
    <t>20 Sep 2025</t>
  </si>
  <si>
    <t>MESIN SEMPROT AIR INDUCTION MOTOR QL-1200 H&amp;L</t>
  </si>
  <si>
    <t>INVT/EWK/503</t>
  </si>
  <si>
    <t xml:space="preserve">UNTUK MEMBERSIHKAN OUTDOOR AC TENANT DAN KORIDOR - NOTE : ALAT BARU </t>
  </si>
  <si>
    <t>VACUM PUMP VALUE VRD-15D 3/4 PK</t>
  </si>
  <si>
    <t>INVT/EWK/518</t>
  </si>
  <si>
    <t xml:space="preserve">GANTI POMPA TRANSFER AIR BERSIH YANG SUPPLY KE JATRA UNIT NO. 2 </t>
  </si>
  <si>
    <t>10 Nop 2025</t>
  </si>
  <si>
    <t>AC 7,5 PK PDB FUJIARE (INDOOR)</t>
  </si>
  <si>
    <t>INVT/EWK/522</t>
  </si>
  <si>
    <t>ASET/ENG-eWalk/2025/44</t>
  </si>
  <si>
    <r>
      <t xml:space="preserve">UNTUK GANTI </t>
    </r>
    <r>
      <rPr>
        <b/>
        <sz val="8"/>
        <color rgb="FF000000"/>
        <rFont val="Arial"/>
        <family val="2"/>
      </rPr>
      <t>INDOOR AC TENANT CHRISTOPER SALON</t>
    </r>
    <r>
      <rPr>
        <sz val="8"/>
        <color rgb="FF000000"/>
        <rFont val="Arial"/>
        <family val="2"/>
      </rPr>
      <t xml:space="preserve"> YANG TIDAK BERFUNGSI DENGAN BAIK (SUHU RUANGAN PANAS)</t>
    </r>
  </si>
  <si>
    <t>22 Des 2025</t>
  </si>
  <si>
    <t>di dalam Plavon Tenant</t>
  </si>
  <si>
    <t>KUNCI SHOCK SET FACOM 1/4" 38 PCS (RL NANO)</t>
  </si>
  <si>
    <t>INVT/EWK/524</t>
  </si>
  <si>
    <t>ASET/ENG-eWalk/2025/45</t>
  </si>
  <si>
    <t>UNTUK GANTI TOOLS GENSET KARENA SEBAGIAN KUNCI SOCK HILANG SAAT PEKERJAAN PERBAIKAN GENSET</t>
  </si>
  <si>
    <t>31 Des 2025</t>
  </si>
  <si>
    <t>POMPA SUMPIT EBARA TYPE 65 DL 1,5 KW POWER 1,5 KW 380V</t>
  </si>
  <si>
    <t>INVT/PNT/481</t>
  </si>
  <si>
    <t>ASET/ENG-PSV/2025/5-6</t>
  </si>
  <si>
    <t>PENGGANTIAN POMPA SUMP PIT AREA LG BELAKANG TOILET KARYAWAN &amp; SUMP PIT TURUNAN MOBIL RAM GF</t>
  </si>
  <si>
    <t>08 Mar 2025</t>
  </si>
  <si>
    <t>Jumlah barang lebih dari 1, Belum diregister RFID &amp; Alat pompa didalam sumur</t>
  </si>
  <si>
    <t xml:space="preserve">POMPA EBARA 80 DL53.7 3,7KW/380 VOLT
PENGGANTIAN POMPA SUMPIT DIAREA LG BELAKANG TOILET KARYAWAN YANG SHOOT/AUS </t>
  </si>
  <si>
    <t>INVT/PNT/494</t>
  </si>
  <si>
    <t>ASET/ENG-PSV/2025/7-8</t>
  </si>
  <si>
    <t xml:space="preserve">PENGGANTIAN POMPA SUMPIT DIAREA LG BELAKANG TOILET KARYAWAN YANG SHOOT/AUS </t>
  </si>
  <si>
    <t>MESIN ASD-120B DEKKSON ( PINTU SINGLE )</t>
  </si>
  <si>
    <t>ASET/ENG-PSV/2025/23-24</t>
  </si>
  <si>
    <t>DOSING PUMP TYPE DFD-03-07-M - CAPACITY 3L/H - 220 VOLT - PRESSURE 7BAR - POWER 30W -  MATERIAL PP - NO SERI 211021DFDM0307P26 - MERK NEWDOSE</t>
  </si>
  <si>
    <t>INVT/PNT/555</t>
  </si>
  <si>
    <t>ASET/ENG-PSV/2025/26-27</t>
  </si>
  <si>
    <t>UNTUK TREATMENT CHEMICAL AIR CHILLER HESENSE ROOFTOP</t>
  </si>
  <si>
    <t>MOTOR BLOWER INDOOR AC HAF 497 ( R ) YORK</t>
  </si>
  <si>
    <t>INVT/EWK/506</t>
  </si>
  <si>
    <t>ASET/ENG-eWalk/2025/38-39</t>
  </si>
  <si>
    <t xml:space="preserve">U/N GANTI MOTOR BLOWER INDOOR AC TENANT FUN WORLD YG LEMAH DAN MOTOR BLOWER INDOOR  TENANT ET CETERA </t>
  </si>
  <si>
    <t>Kuantitas lebih dari 1, Didalam mesin AC, tidak Regsitrasi</t>
  </si>
  <si>
    <t>INVT/EWK/507</t>
  </si>
  <si>
    <t>ASET/ENG-eWalk/2025/40-41</t>
  </si>
  <si>
    <t>INVT/PNT/496</t>
  </si>
  <si>
    <t>ASET/ENG-PSV/2025/10-12</t>
  </si>
  <si>
    <t xml:space="preserve">PENGGANTIAN POMPA SUMP PIT YANG RUSAK DIAREA PARKIRAN MOTOR MEZANIN &amp; RAMP TURUNAN &amp; TIKUNGAN PARKIRAN MOBIL 
</t>
  </si>
  <si>
    <t>MODULE DSE DEEPSEA 8610 MK II</t>
  </si>
  <si>
    <t>INVT/EWK/476</t>
  </si>
  <si>
    <t>ASET/ENG-eWalk/2025/13-16</t>
  </si>
  <si>
    <t>UNTUK GANTI DEEPSEA GENSET ( CUMMINS 1500 KVA, PERKINS 1700 KVA (2 UNIT), MTU 2000 KVA ) YANG RUSAK KARENA TIDAK MAU SINCRON</t>
  </si>
  <si>
    <t>29 Jan 2025</t>
  </si>
  <si>
    <t>Jumlah barang lebih dari 1, sudah Register 3 Barang</t>
  </si>
  <si>
    <t>AC AKARI 2 PK (INDOOR &amp; OUTDOOR)</t>
  </si>
  <si>
    <t>INVT/EWK/486</t>
  </si>
  <si>
    <t>ASET/ENG-eWalk/2025/30-33</t>
  </si>
  <si>
    <t xml:space="preserve">U/N GANTI AC RUANG PANEL (GF A - GF B - UG A - UG B) YG TIDAK DINGIN </t>
  </si>
  <si>
    <t>13 Apr 2025</t>
  </si>
  <si>
    <t>Posisi barang tinggi, Belum diregister RFID</t>
  </si>
  <si>
    <t>AC EWALK TAHAP 3.2</t>
  </si>
  <si>
    <t>INVT/EWK/481</t>
  </si>
  <si>
    <t>ASET/ENG-eWalk/2025/19-28</t>
  </si>
  <si>
    <t>BKB/E-WALK/25/II/0073   &amp; BKB/E-WALK/25/II/0148
(PEREMAJAAN UNIT AC TAHAP 3.2)</t>
  </si>
  <si>
    <t>01 Mar 2025</t>
  </si>
  <si>
    <t>Jumlah barang lebih dari 1, register RFID</t>
  </si>
  <si>
    <t>AC 15 PK FDB 150 + FC 150-R407 FUJIAIRE ( INDOOR + OUTDOOR ) - 1 UNT
AC 10 PK FC 100-R407 FUJIAIRE ( OUTDOOR ) - 10 UNT</t>
  </si>
  <si>
    <t>INVT/EWK/475</t>
  </si>
  <si>
    <t>ASET/ENG-eWalk/2025/1-11</t>
  </si>
  <si>
    <t>AC TAHAP III</t>
  </si>
  <si>
    <t>02 Jan 2025</t>
  </si>
  <si>
    <t>STEP AXLE CHAIN</t>
  </si>
  <si>
    <t>INVT/EWK/515</t>
  </si>
  <si>
    <t>U/N GANTI AXLE CHAIN ESCALATOR UTARA NO.4 (66), TENGAH NO. 9 (66) EWALK</t>
  </si>
  <si>
    <t>17 Okt 2025</t>
  </si>
  <si>
    <t>Unit terpasang dalam escalator</t>
  </si>
  <si>
    <t>BOSCH GLM 100 C METERAN LASER BLUETOOTH DIGITAL LASER DISTANCE METER, LINE LASER LEVEL GARIS BOSCH GLL 3-60 XG PROFESSIONAL</t>
  </si>
  <si>
    <t>INVT/PNT/464</t>
  </si>
  <si>
    <t>ASET/SIPIL-PSV/2025/1</t>
  </si>
  <si>
    <t xml:space="preserve">UNTUK PENAMBAHAN ALAT KERJA SIPIL 
</t>
  </si>
  <si>
    <t>10 Jan 2025</t>
  </si>
  <si>
    <t>2.02-CIVIL</t>
  </si>
  <si>
    <t>MESIN ROUTER BOSCH GKF 550 ATAU TRIMMER BOSCH GKF 550 (1 SET)</t>
  </si>
  <si>
    <t>INVT/PNT/469</t>
  </si>
  <si>
    <t>ASET/SIPIL-PSV/2025/2</t>
  </si>
  <si>
    <t xml:space="preserve">UNTUK ALAT KERJA SIPIL PEKERJAAN ATAP ACP (ALUMUNIUM COMPOSITE) </t>
  </si>
  <si>
    <t>17 Feb 2025</t>
  </si>
  <si>
    <t>SCAFFOLDING GALVANIS 1 SET</t>
  </si>
  <si>
    <t>INVT/PNT/528</t>
  </si>
  <si>
    <t>ASET/SIPIL-PSV/2025/3</t>
  </si>
  <si>
    <t>UNTUK KEPERLUAN ALAT KERJA SIPIL PEKERJAAN MAINTENANCE GEDUNG</t>
  </si>
  <si>
    <t>20 Agu 2025</t>
  </si>
  <si>
    <t>ALAT POTONG GRANIT KERAMIK MANUAL 80 CM INGCO (HTC04800AG)</t>
  </si>
  <si>
    <t>INVT/EWK/473</t>
  </si>
  <si>
    <t>ASET/SIPIL-eWalk/2025/1</t>
  </si>
  <si>
    <t>U/N PENAMBAHAN ALAT KERJA SIPIL PEMOTONGAN KERAMIK GRANIT</t>
  </si>
  <si>
    <t>LEMARI BESI 3 PINTU IMP SC-A8 BT</t>
  </si>
  <si>
    <t>INVT/EWK/483</t>
  </si>
  <si>
    <t>ASET/SIPIL-eWalk/2025/2</t>
  </si>
  <si>
    <t>UNTUK KEPERLUAN PENEMPATAN ALAT-ALAT KERJA CIVIL</t>
  </si>
  <si>
    <t>30 Mar 2025</t>
  </si>
  <si>
    <t>MESIN BOR BETON BOSCH GBH2-28DFV &amp; MESIN BOR BOSCH GSH 500</t>
  </si>
  <si>
    <t>INVT/EWK/487</t>
  </si>
  <si>
    <t>ASET/SIPIL-eWalk/2025/3-4</t>
  </si>
  <si>
    <t>PENAMBAHAN ALAT KERJA SIPIL PEKERJAAN BOBOK PENGGANTIAN LANTAI KERAMIK YANG PECAH</t>
  </si>
  <si>
    <t>Jumlah barang lebih dari 1, Belum diregister RFID, Nomor Inventaris tertukar dengan INVT/EWK/486 Ac akari Eng Ewalk</t>
  </si>
  <si>
    <t>HAND DRYER CLEAN DRY TOTO MODEL : TYC322W</t>
  </si>
  <si>
    <t>INVT/PNT/477</t>
  </si>
  <si>
    <t>ASET/OPS-PSV/2025/1</t>
  </si>
  <si>
    <t>UNTUK PENGGANTIAN HAND DRYER YANG RUSAK ( BAU GOSONG DAN BERASAP ) DI TOILET WANITA HYPERMART LG PENTACITY</t>
  </si>
  <si>
    <t>03 Mar 2025</t>
  </si>
  <si>
    <t>2.04-OPERASIONAL</t>
  </si>
  <si>
    <t>INVT/PNT/515</t>
  </si>
  <si>
    <t>ASET/OPS-PSV/2025/4</t>
  </si>
  <si>
    <t>UNTUK KEPERLUAN PEMASANGAN DI TOILET FF KIDS PIRA DAN WANITA</t>
  </si>
  <si>
    <t>22 Jul 2025</t>
  </si>
  <si>
    <t>RAK BESI UK. 120 X 45 X 180 CM 5 TINGKAT</t>
  </si>
  <si>
    <t>INVT/PNT/524</t>
  </si>
  <si>
    <t>ASET/OPS-PSV/2025/9</t>
  </si>
  <si>
    <t>UNTUK KEPERLUAN RAK BARANG OPERASIONAL</t>
  </si>
  <si>
    <t>14 Agu 2025</t>
  </si>
  <si>
    <t>INVT/PNT/531</t>
  </si>
  <si>
    <t>ASET/OPS-PSV/2025/10</t>
  </si>
  <si>
    <t>UNTUK KEPERLUAN PEMASANGAN BARU DI TOILET FF KIDS PRIA DAN WANITA</t>
  </si>
  <si>
    <t>04 Sep 2025</t>
  </si>
  <si>
    <t>INVT/PNT/532</t>
  </si>
  <si>
    <t>ASET/OPS-PSV/2025/11</t>
  </si>
  <si>
    <t>UNTUK KEPERLUAN PENGGANTIAN HAND DRYER YANG RUSAK ( TOMBOL ON OFF TIDAK BERFUNGSI ) DI TOILET FF PRIA FOOD COURT PENTACITY</t>
  </si>
  <si>
    <t>INVT/PNT/533</t>
  </si>
  <si>
    <t>ASET/OPS-PSV/2025/12</t>
  </si>
  <si>
    <t>UNTUK KEPERLUAN PENGGANTIAN HAND DRYER YANG RUSAK ( BAU GOSONG - SUDAH DILAKUKAN PENGECEKAN OLEH TEAM ENGINEERING DAN SUDAH TIDAK BISA DIPERBAIKI KEMBALI ) DI TOILET LG PRIA BELAKANG SOLARIA</t>
  </si>
  <si>
    <t>DISPENSER SWD-72EHL-WH MERK SHARP</t>
  </si>
  <si>
    <t>INVT/PNT/537</t>
  </si>
  <si>
    <t>ASET/OPS-PSV/2025/23</t>
  </si>
  <si>
    <t>UNTUK KEPERLUAN RUANG NURSERY FF KIDDYPOLIS PENTACITY</t>
  </si>
  <si>
    <t>18 Sep 2025</t>
  </si>
  <si>
    <t>LEMARI ARSIP 5 SUSUN</t>
  </si>
  <si>
    <t>INVT/EWK/521</t>
  </si>
  <si>
    <t>ASET/OPS-eWalk/2025/1</t>
  </si>
  <si>
    <r>
      <t xml:space="preserve">UNTUK TEMPAT PENYIMPANAN FILE </t>
    </r>
    <r>
      <rPr>
        <b/>
        <sz val="8"/>
        <color rgb="FF000000"/>
        <rFont val="Arial"/>
        <family val="2"/>
      </rPr>
      <t>OPERASIONAL DAN OPERASIONAL PARKIR</t>
    </r>
  </si>
  <si>
    <t>02 Des 2025</t>
  </si>
  <si>
    <t>Ewalk</t>
  </si>
  <si>
    <t>tertukar salah no INVT/PNT/521</t>
  </si>
  <si>
    <t>INVT/PNT/563</t>
  </si>
  <si>
    <t>ASET/OPS-PSValk/2025/26</t>
  </si>
  <si>
    <r>
      <t xml:space="preserve">UNTUK KEPERLUAN PENGGANTIAN HAND DRYER YANG RUSAK ( BAGIAN MOTOR RUSAK DAN TIDAK BISA DIPERBAIKI LAGI OLEH TIM TEKNISI ) </t>
    </r>
    <r>
      <rPr>
        <b/>
        <sz val="8"/>
        <color rgb="FF000000"/>
        <rFont val="Arial"/>
        <family val="2"/>
      </rPr>
      <t>DI TOILET UG WANITA BELAKANG ADIDAS</t>
    </r>
    <r>
      <rPr>
        <sz val="8"/>
        <color rgb="FF000000"/>
        <rFont val="Arial"/>
        <family val="2"/>
      </rPr>
      <t xml:space="preserve"> ( REF BAKB NO: 003/OPS-BA/PENTACITY/XI/2025</t>
    </r>
  </si>
  <si>
    <t>INVT/PNT/507</t>
  </si>
  <si>
    <t>ASET/OPS-PSV/2025/2-3</t>
  </si>
  <si>
    <t>UNTUK KEPERLUAN PENGGANTIAN HAND DRYER YANG RUSAK ( BAU GOSONG DAN BERASAP ) DI TOILET SF WANITA DAN UG PRIA BELAKANG ADIDAS</t>
  </si>
  <si>
    <t>27 Jun 2025</t>
  </si>
  <si>
    <t>SOFA 10641429 WINZY SWIVEL CHAIR GREY</t>
  </si>
  <si>
    <t>INVT/PNT/550</t>
  </si>
  <si>
    <t>ASET/OPS-PSV/2025/24-25</t>
  </si>
  <si>
    <t>PENEMPATAN DAN PEMASANGAN DI NURSERY ROOM KIDDY POLIS FF PENTACITY</t>
  </si>
  <si>
    <t>Jumlah barang lebih dari 1, RFID</t>
  </si>
  <si>
    <t>COIL CLCP 30 UK. PANJANG 166 CM X TINGGI 176 CM</t>
  </si>
  <si>
    <t>INVT/PNT/519</t>
  </si>
  <si>
    <t>ASET/OPS-PSV/2025/5-8</t>
  </si>
  <si>
    <t xml:space="preserve">PEMASANGAN COIL EVAPORATOR AHU -UG 09 CLCP 030.BELAKANG SKECHERS,MERCY,KORIDOR LIFT SERVICE </t>
  </si>
  <si>
    <t>URINAL SENSOR FLUSH ECO UR01S TOTO</t>
  </si>
  <si>
    <t>INVT/PNT/534</t>
  </si>
  <si>
    <t>ASET/OPS-PSV/2025/13-22</t>
  </si>
  <si>
    <t xml:space="preserve">GANTI MODULE SENSOR URINOIR YG RUSAK DIAREA TOILET SF PRIA NO 01,UG PRIA BLKG OH SOME NO 03,GF PRIA BLKG GUARDIAN NO 02,LG PRIA BLKG SOLARIA NO 02,NO 03,LG PRIA BLKG HYPERMART NO 01,NO 02,NO 05 &amp; STOCK 2 PCS </t>
  </si>
  <si>
    <t>METERAN LASER DIGITAL BOSCH GLM 100-25C</t>
  </si>
  <si>
    <t>INVT/PNT/556</t>
  </si>
  <si>
    <t>ASET/TR-PSV/2025/1</t>
  </si>
  <si>
    <t xml:space="preserve"> TR &amp; TDC</t>
  </si>
  <si>
    <t>3.02-TENANT RELATION</t>
  </si>
  <si>
    <t>RFID, 2 yg ada di lapangan</t>
  </si>
  <si>
    <t>ARBIT SMART HOME WIFI DOOR LOCK WITHOUT HANDLE FINGERPRINT TUYA KACA - GREY GLASS</t>
  </si>
  <si>
    <t>INVT/PNT/472</t>
  </si>
  <si>
    <t>ASET/IT-PSV/2025/16</t>
  </si>
  <si>
    <t xml:space="preserve">UNTUK PEMASANGAN AKSES DOOR KANTOR OPERASIONAL </t>
  </si>
  <si>
    <t>21 Feb 2025</t>
  </si>
  <si>
    <t>5.04-INFORMASI TEKNOLOGI</t>
  </si>
  <si>
    <t>ASUS VIVOBOOK GO 14 E1404GA-FHD351</t>
  </si>
  <si>
    <t>INVT/PNT/475</t>
  </si>
  <si>
    <t>ASET/IT-PSV/2025/17</t>
  </si>
  <si>
    <t>UNTUK KEBUTUHAN PEKERJAAN ASISTEN MANAGER HRD (IBU INEKE )</t>
  </si>
  <si>
    <t>27 Feb 2025</t>
  </si>
  <si>
    <t xml:space="preserve">1 SET KOMPUTER TEAM TDC </t>
  </si>
  <si>
    <t>INVT/PNT/482</t>
  </si>
  <si>
    <t>ASET/IT-PSV/2025/30</t>
  </si>
  <si>
    <t xml:space="preserve">1 SET KOMPUTER UNTUK KEBUTUHAN KERJA TEAM TDC (PIAN) </t>
  </si>
  <si>
    <t>18 Mar 2025</t>
  </si>
  <si>
    <t>PRINTER CANON G2010</t>
  </si>
  <si>
    <t>INVT/PNT/497</t>
  </si>
  <si>
    <t>ASET/IT-PSV/2025/54</t>
  </si>
  <si>
    <t>UNTUK KEPERLUAN KERJA ADMIN VM (SATYA)</t>
  </si>
  <si>
    <t>28 Mei 2025</t>
  </si>
  <si>
    <t>ASUS VIVOBOOK S 14 FLIP OLED TP3402VA I5-13500H 512GB TOUCHSCREEN W11</t>
  </si>
  <si>
    <t>INVT/PNT/506</t>
  </si>
  <si>
    <t>ASET/IT-PSV/2025/59</t>
  </si>
  <si>
    <t xml:space="preserve">UNTUK KEPERLUAN PEKERJAAN MANAGER FINANCE (BPK HANDRIAN) </t>
  </si>
  <si>
    <t>24 Jun 2025</t>
  </si>
  <si>
    <t>RFID Error</t>
  </si>
  <si>
    <t>SWITCH POE 5 PORT+S TP - LINK TL - SG1005P</t>
  </si>
  <si>
    <t>INVT/PNT/511</t>
  </si>
  <si>
    <t>ASET/IT-PSV/2025/60</t>
  </si>
  <si>
    <t>PENAMBAHAN CCTV DI AREA GF DEPAN UNIQLO PENTACITY</t>
  </si>
  <si>
    <t>RFID, dalam plavon</t>
  </si>
  <si>
    <t>MIKROTIK RB960PGS RB960PGS HEX-POE</t>
  </si>
  <si>
    <t>INVT/PNT/512</t>
  </si>
  <si>
    <t>ASET/IT-PSV/2025/61</t>
  </si>
  <si>
    <t>UNTUK KEPERLUAN JARINGAN ACCESS POINT AREA FOODCOURT  , COMMAND CENTER &amp; PEKERJAAN IT</t>
  </si>
  <si>
    <t>17 Jul 2025</t>
  </si>
  <si>
    <t>INVT/PNT/516</t>
  </si>
  <si>
    <t>ASET/IT-PSV/2025/62</t>
  </si>
  <si>
    <t>UNTUK PENGGANTI PRINTER HEAD SPV PURCHASING (IBU MEGA) &amp; STORE (BAPAK ALI)</t>
  </si>
  <si>
    <t>INVT/PNT/517</t>
  </si>
  <si>
    <t>ASET/IT-PSV/2025/67</t>
  </si>
  <si>
    <t>UNTUK PENGGANTI PRINTER LEGAL (IBU EGHO)</t>
  </si>
  <si>
    <t>29 Jul 2025</t>
  </si>
  <si>
    <t xml:space="preserve"> HUAWEI MATEPAD SE 11" TABLET [6+128GB]</t>
  </si>
  <si>
    <t>INVT/PNT/522</t>
  </si>
  <si>
    <t>ASET/IT-PSV/2025/77</t>
  </si>
  <si>
    <t>UNTUK KEPERLUAN PEKERJAAN TIM IT</t>
  </si>
  <si>
    <t>11 Agu 2025</t>
  </si>
  <si>
    <t xml:space="preserve"> PRINTER CANON G2010</t>
  </si>
  <si>
    <t>INVT/PNT/539</t>
  </si>
  <si>
    <t>ASET/IT-PSV/2025/113</t>
  </si>
  <si>
    <t xml:space="preserve"> PEKERJAAN PEMASANGAN AC DIRUANGAN BARU OFFICE BOY/GIRL DAN DRIVER PENTACITY EWALK</t>
  </si>
  <si>
    <t>27 Sep 2025</t>
  </si>
  <si>
    <t>Tidak jelas kebutuhannya</t>
  </si>
  <si>
    <t>ELECTRIC DOOR LOCK SOLUTION, TYPE SOLUTION C3 - RFID CARD 125HZ</t>
  </si>
  <si>
    <t>INVT/PNT/540</t>
  </si>
  <si>
    <t>ASET/IT-PSV/2025/114</t>
  </si>
  <si>
    <t>SUPPORT KEBUTUHAN KERJA CHIEF MEP PENTACITY (BP.HARDIANTO) DAN ASST.CHIEF MEP PENTACITY (BP.HAITUL) &amp; SUPPORT KEBUTUHAN KERJA SPV ENGINEERING MALL PENTACITY</t>
  </si>
  <si>
    <t xml:space="preserve">XIAOMI MI GAMING MONITOR G27I 27 INCH 165HZ IPS FHD 1080P </t>
  </si>
  <si>
    <t>INVT/PNT/542</t>
  </si>
  <si>
    <t>ASET/IT-PSV/2025/115</t>
  </si>
  <si>
    <t>PENGGANTIAN DEEP SEA PANEL GENSET YANG RUSAK (ERROR) - URGENT &amp; PENAMBAHAN FILTER RADIATOR GENSET - URGENT</t>
  </si>
  <si>
    <t>MINI PC GAMING - GEEKOM IT 13 INTEL CORE I9 - 13900HK RAM 64GB/1TB SSD NVME INTEL IRIS XE GRAPHICS WINDOWS 11 PRO</t>
  </si>
  <si>
    <t>INVT/PNT/544</t>
  </si>
  <si>
    <t>ASET/IT-PSV/2025/118</t>
  </si>
  <si>
    <t>PERMAJAAN PC + MONITOR VD ( LUKMAN ) &amp; UNTUK KEPERLUAN PEKERJAAN BACKUP SYSTEM IT</t>
  </si>
  <si>
    <t>REPAIR MODUL SPEAKER RCF 4 PRO 5031-A RCF SERI : NJXX04540</t>
  </si>
  <si>
    <t>INVT/PNT/557</t>
  </si>
  <si>
    <t>ASET/IT-PSV/2025/121</t>
  </si>
  <si>
    <t xml:space="preserve">KEBUTUHAN SPEAKER RCF 4 PRO ATRIUM PENTACITY </t>
  </si>
  <si>
    <t>04 Nop 2025</t>
  </si>
  <si>
    <t>Event Promo, tdk jelas keterangannya</t>
  </si>
  <si>
    <t xml:space="preserve">STREAMPLIFY CAM PRO 4K USB TYPE C PREMIUM WEBCAM STREAMING MICROPHONE GAMING </t>
  </si>
  <si>
    <t>INVT/PNT/560</t>
  </si>
  <si>
    <t>ASET/IT-PSV/2025/124</t>
  </si>
  <si>
    <t xml:space="preserve">TREAMPLIFY CAM PRO 4K USB TYPE C PREMIUM WEBCAM STREAMING MICROPHONE GAMING MEETING </t>
  </si>
  <si>
    <t>24 Nop 2025</t>
  </si>
  <si>
    <t>Barangnya kecil tidak cukup di label, Promo &amp; Event</t>
  </si>
  <si>
    <t>NETWORK VIDEO RECORDER ( NVR ) NAM-R32-S2</t>
  </si>
  <si>
    <t>INVT/EWK/466</t>
  </si>
  <si>
    <t>ASET/IT-eWalk/2025/1</t>
  </si>
  <si>
    <t>UNTUK PENAMBAHAN NVR 20 TITIK CCTV AREA KORIDOR E-WALK DI RUANG COMMAND CENTER</t>
  </si>
  <si>
    <t xml:space="preserve">BDP CCTV </t>
  </si>
  <si>
    <t>INVT/EWK/489</t>
  </si>
  <si>
    <t>ASET/IT-eWalk/2025/2</t>
  </si>
  <si>
    <t>AJE TRIWULAN III EWALK (REFF : JV-AJE-2309001TGL 30/9/2023)</t>
  </si>
  <si>
    <t>RFID Alat CCTV Comand Center</t>
  </si>
  <si>
    <t>MINI PC INTEL CORE I5 12450H</t>
  </si>
  <si>
    <t>INVT/EWK/504</t>
  </si>
  <si>
    <t>ASET/IT-eWalk/2025/8</t>
  </si>
  <si>
    <t xml:space="preserve">UNTUK PERMAJAAN PC + MONITOR CS EWALK </t>
  </si>
  <si>
    <t>25 Sep 2025</t>
  </si>
  <si>
    <t>NETWORK VIDEO RECORDER (NVR) NAM-R32-S2</t>
  </si>
  <si>
    <t>INVT/EWK/505</t>
  </si>
  <si>
    <t>ASET/IT-eWalk/2025/9</t>
  </si>
  <si>
    <t xml:space="preserve">UNTUK PENAMBAHAN PERANGKAT MONITORING CCTV DI COMMAND CENTER </t>
  </si>
  <si>
    <t>29 Sep 2025</t>
  </si>
  <si>
    <t>RUIJIE RG-RAP2260(G) REYEE WI-FI 6 AX1800 CEILING ACCESS POINT</t>
  </si>
  <si>
    <t>INVT/PNT/567</t>
  </si>
  <si>
    <t>ASET/IT-PSV/2025/127</t>
  </si>
  <si>
    <r>
      <t xml:space="preserve">KEPERLUAN PEMASANGAN </t>
    </r>
    <r>
      <rPr>
        <b/>
        <sz val="8"/>
        <color rgb="FF000000"/>
        <rFont val="Arial"/>
        <family val="2"/>
      </rPr>
      <t xml:space="preserve">DI RUANG MEETING P5 </t>
    </r>
  </si>
  <si>
    <t>08 Des 2025</t>
  </si>
  <si>
    <t>MONITOR LG LED LG 20MK400HB 20 INCH HDMI</t>
  </si>
  <si>
    <t>INVT/PNT/465</t>
  </si>
  <si>
    <t>ASET/IT-PSV/2025/1-2</t>
  </si>
  <si>
    <t xml:space="preserve">UNTUK PERMAJAAN PC SPONSORSHIP (BPK DESKA) &amp; (BPK AGUNG) </t>
  </si>
  <si>
    <t>23 Jan 2025</t>
  </si>
  <si>
    <t>MINI PC NUC ASUS RNUC13ANHI30000-8SW5</t>
  </si>
  <si>
    <t>INVT/PNT/466</t>
  </si>
  <si>
    <t>ASET/IT-PSV/2025/3-4</t>
  </si>
  <si>
    <t>UNTUK PERMAJAAN PC SPONSORSHIP (BPK DESKA) &amp; (BPK AGUNG)</t>
  </si>
  <si>
    <t>XIAOMI 2K GAMING MONITOR G27QI</t>
  </si>
  <si>
    <t>INVT/PNT/483</t>
  </si>
  <si>
    <t>ASET/IT-PSV/2025/31-32</t>
  </si>
  <si>
    <t>UNTUK KEBUTUHAN KERJA TEAM TDC (PIAN) DAN KEBUTUHAN KERJA DIGITAL STRATEGY &amp; INOVATION MANAGER (BP. AFFAN)</t>
  </si>
  <si>
    <t>LED P2.5 MODUL MAGNET UKURAN 4,8 X 2,88 M &amp; LED PROCESSOR NOVASTAR VX600</t>
  </si>
  <si>
    <t>INVT/PNT/485</t>
  </si>
  <si>
    <t>ASET/IT-PSV/2025/33-34</t>
  </si>
  <si>
    <t xml:space="preserve">REPLACE UNIT VIDEOTRON ATRIUM LG PENTACITY </t>
  </si>
  <si>
    <t>PALOMA SMART CYLINDER LOCK KUNCI PINTU SILINDER DIGITAL HOME DLP 701 - DLP 701B BLACK</t>
  </si>
  <si>
    <t>INVT/PNT/486</t>
  </si>
  <si>
    <t>ASET/IT-PSV/2025/35-36</t>
  </si>
  <si>
    <t>UNTUK PEMASANGAN DI RUANG PANEL LG A DAN PANEL LG B PENTACITY</t>
  </si>
  <si>
    <t>08 Apr 2025</t>
  </si>
  <si>
    <t>NAM-212FL DOME CAMERA IP 2MP INDOOR</t>
  </si>
  <si>
    <t>INVT/PNT/502</t>
  </si>
  <si>
    <t>ASET/IT-PSV/2025/55-56</t>
  </si>
  <si>
    <t>UNTUK PEMASANGAN KAMERA CCTV AREA UG DEPAN ADIDAS PENTACITY</t>
  </si>
  <si>
    <t>10 Jun 2025</t>
  </si>
  <si>
    <t>Jumlah barang lebih dari 1, Belum diregister RFID, barang posisi tinggi</t>
  </si>
  <si>
    <t>WD CAVIAR RED 12TB - H0D HDD HARDISK INTERNAL 3.5" FOR NAS</t>
  </si>
  <si>
    <t>INVT/PNT/504</t>
  </si>
  <si>
    <t>ASET/IT-PSV/2025/57-58</t>
  </si>
  <si>
    <t>UNTUK KEPERLUAN PENAMBAHAN KAPASITAS PENYIMPANAN NAS KANTOR P5</t>
  </si>
  <si>
    <t>23 Jun 2025</t>
  </si>
  <si>
    <t>INVT/PNT/513</t>
  </si>
  <si>
    <t>ASET/IT-PSV/2025/63-64</t>
  </si>
  <si>
    <t>UNTUK PEMASANAGAN KUNCI ACCESS DOOR PINTU PANEL PENTACITY</t>
  </si>
  <si>
    <t>21 Jul 2025</t>
  </si>
  <si>
    <t>INVT/PNT/514</t>
  </si>
  <si>
    <t>ASET/IT-PSV/2025/65-66</t>
  </si>
  <si>
    <t>ACB E4.2H 4000A EKIP DIP-LI 4P F HR 100KA</t>
  </si>
  <si>
    <t>INVT/PNT/518</t>
  </si>
  <si>
    <t>ASET/IT-PSV/2025/68-69</t>
  </si>
  <si>
    <t>UNTUK PEMASANGAN BARU ACB YANG RETAK DI PANEL INDUK PUTR 1</t>
  </si>
  <si>
    <t>Jumlah barang lebih dari 1, Belum diregister RFID, Barang di eng Pentacity</t>
  </si>
  <si>
    <t>COIL CLCP 40 ( SETARA DENGAN COIL FMA 1622 ) UK. PANJANG 226 CM X TINGGI 178,5 CM )</t>
  </si>
  <si>
    <t>INVT/PNT/521</t>
  </si>
  <si>
    <t>ASET/IT-PSV/2025/75-76</t>
  </si>
  <si>
    <t>PEMASANGAN COIL EVAPORATOR AHU -UG 09 CLCP 030.BELAKANG SKECHERS,MERCY,KORIDOR LIFT SERVICE - CLCP 035.BELAKANG SKECHERS,SAMSONITE,MERCY,BLEND</t>
  </si>
  <si>
    <t>Jumlah barang lebih dari 1, Belum diregister RFID, belum ketemu unitnya</t>
  </si>
  <si>
    <t>INVT/PNT/529</t>
  </si>
  <si>
    <t>ASET/IT-PSV/2025/94-95</t>
  </si>
  <si>
    <t xml:space="preserve">PENAMBAHAN CCTV DI AREA LANTAI GF (DEPAN UNIQLO) MALL PENTACITY </t>
  </si>
  <si>
    <t>29 Agu 2025</t>
  </si>
  <si>
    <t>MONITOR XIAOMI A24I 24 INCH</t>
  </si>
  <si>
    <t>INVT/PNT/543</t>
  </si>
  <si>
    <t>ASET/IT-PSV/2025/116-117</t>
  </si>
  <si>
    <t xml:space="preserve"> PERMAJAAN PC + MONITOR VD ( LUKMAN ) &amp; UNTUK KEPERLUAN PEKERJAAN BACKUP SYSTEM IT</t>
  </si>
  <si>
    <t>Jumlah barang lebih dari 1, Belum diregister RFID, Dipakai di CC</t>
  </si>
  <si>
    <t>MINI PC GAMING AMD RYZEN 7 7840HS GMKTEC K6 PLUS 32GB RAM DDR5 1 TB SSD NVME - WINDOWS 11 PRO 4K VIDEO</t>
  </si>
  <si>
    <t>INVT/PNT/545</t>
  </si>
  <si>
    <t>ASET/IT-PSV/2025/119-120</t>
  </si>
  <si>
    <t>INVT/PNT/558</t>
  </si>
  <si>
    <t>ASET/IT-PSV/2025/122-123</t>
  </si>
  <si>
    <t xml:space="preserve">PEMASANGAN AKSES PINTU COOLING TOWER &amp; RUANGAN VIP FOODCOURT </t>
  </si>
  <si>
    <t>13 Nop 2025</t>
  </si>
  <si>
    <t>MINI PC INTEL CORE I5 12450H -GMKTEC M3 16GB RAM DDR4 512SSD NVME - WINDOWS 11 PRO 4KVIDEO - PC GAMING</t>
  </si>
  <si>
    <t>INVT/PNT/565</t>
  </si>
  <si>
    <t>ASET/IT-PSV/2025/125</t>
  </si>
  <si>
    <r>
      <t xml:space="preserve">SUPPORT KEBUTUHAN KERJA </t>
    </r>
    <r>
      <rPr>
        <b/>
        <sz val="8"/>
        <color rgb="FF000000"/>
        <rFont val="Arial"/>
        <family val="2"/>
      </rPr>
      <t xml:space="preserve">SPV ENGINEERING MALL PENTACITY </t>
    </r>
  </si>
  <si>
    <t>MONITOR XIAOMI A24I</t>
  </si>
  <si>
    <t>INVT/PNT/566</t>
  </si>
  <si>
    <t>ASET/IT-PSV/2025/126</t>
  </si>
  <si>
    <t>INVT/PNT/471</t>
  </si>
  <si>
    <t>ASET/IT-PSV/2025/13-15</t>
  </si>
  <si>
    <t>PENGGANTIAN KAMERA CCTV PENTACITY (AREA PUTR 2, LG LOBBY KIDDYHOPE, TRAFO 1)</t>
  </si>
  <si>
    <t>19 Feb 2025</t>
  </si>
  <si>
    <t>RUIJIE RG-RAP2260(G) REYEE WI-FI 6 AX1800 CEILING ACCESS POINT + TPLINK TL-SG1005P 5-PORT GIGABIT DESKTOP SWITCH WITH 4-PORT POE</t>
  </si>
  <si>
    <t>INVT/PNT/491</t>
  </si>
  <si>
    <t>ASET/IT-PSV/2025/50-53</t>
  </si>
  <si>
    <t xml:space="preserve">UNTUK KEBUTUHAN PEMASANGAN DI AREA FOODCOURT </t>
  </si>
  <si>
    <t>06 Mei 2025</t>
  </si>
  <si>
    <t>COIL CLCP 35 ( SETARA DENGAN COIL FMA 1322 ) UK. PANJANG 196 CM X TINGGI 178,5 CM</t>
  </si>
  <si>
    <t>INVT/PNT/520</t>
  </si>
  <si>
    <t>ASET/IT-PSV/2025/70-74</t>
  </si>
  <si>
    <t>PEMASANGAN COIL EVAPORATOR AHU - CLCP 035.BELAKANG SKECHERS,SAMSONITE,MERCY,BLEND</t>
  </si>
  <si>
    <t>SMART CYLINDER LOCK DIGITAL HOME DLP 701 PALOMA</t>
  </si>
  <si>
    <t>INVT/EWK/495</t>
  </si>
  <si>
    <t>ASET/IT-eWalk/2025/7</t>
  </si>
  <si>
    <t>UNTUK PEMASANGAN ACCESS DOOR DI PINTU PANEL EWALK AREA LG A, LG B, UG A, UG B DAN PANEL AREA XXI</t>
  </si>
  <si>
    <t>16 Agu 2025</t>
  </si>
  <si>
    <t>NETWORK VIDEO RECORDER(NVR) (1), CAMERA CCTV INDOOR (2), CAMERA CCTV OUTDOOR (2)</t>
  </si>
  <si>
    <t>INVT/EWK/520.1 s/d 14</t>
  </si>
  <si>
    <t>ASET/IT-eWalk/2025/10-14</t>
  </si>
  <si>
    <r>
      <t xml:space="preserve">U/N PENAMBAHAN 4 TITIK </t>
    </r>
    <r>
      <rPr>
        <b/>
        <sz val="8"/>
        <color rgb="FF000000"/>
        <rFont val="Arial"/>
        <family val="2"/>
      </rPr>
      <t>CCTV DI AREA DEPAN PINTU TANGGA DARURAT LT.1 MDS, GF EXECUTIVE, UGB DAN GF B EWALK</t>
    </r>
  </si>
  <si>
    <t>NAM-212FL DOME CAMERA IP 2MP INDOOR, SWITCH TP-LINK 8 PORT POE TL-SG1008MP</t>
  </si>
  <si>
    <t>INVT/PNT/488</t>
  </si>
  <si>
    <t>ASET/IT-PSV/2025/37-42</t>
  </si>
  <si>
    <t xml:space="preserve">PEMASANGAN AREA LOBBY THE HALL MALL PENTACITY </t>
  </si>
  <si>
    <t>16 Apr 2025</t>
  </si>
  <si>
    <t>Jumlah barang lebih dari 1, Belum diregister RFID, posisi barang tinggi</t>
  </si>
  <si>
    <t>NAM-218FL BULLET CAMERA IP 2MP OUTDOOR, SWITCH TP-LINK 8 PORT POE TL-SG1008MP</t>
  </si>
  <si>
    <t>INVT/PNT/489</t>
  </si>
  <si>
    <t>ASET/IT-PSV/2025/43-49</t>
  </si>
  <si>
    <t>PENGGANTIAN CCTV AREA CHILLER MALL PENTACITY</t>
  </si>
  <si>
    <t>SLIM LIGHT BOX LED A1</t>
  </si>
  <si>
    <t>INVT/PNT/470</t>
  </si>
  <si>
    <t>ASET/IT-PSV/2025/5-12</t>
  </si>
  <si>
    <t>UNTUK PEMASANGAN DI LOBBY FOODCOURT (FC)</t>
  </si>
  <si>
    <t>NAM-218FL BULLET CAMERA IP 2MP OUTDOOR</t>
  </si>
  <si>
    <t>INVT/PNT/476</t>
  </si>
  <si>
    <t>ASET/IT-PSV/2025/18-29</t>
  </si>
  <si>
    <t>PENGGANTIAN KAMERA CCTV PENTACITY (AREA P5 PARKIRAN OFFICE, P5 PARKIRAN E09, P4 PARKIRAN B05, P4 RAMP, P3 PARKIRAN C05, RAMP 3, LG PARKIRAN MOTOR KELUAR, LG PARKIRAN MOTOR X23, GF LOBBY PINTU GUARDIAN , LG PARKIRAN MOTOR, LG PARKIRAN 3, LG</t>
  </si>
  <si>
    <t>Jumlah barang lebih dari 1, Belum diregister RFID, tinggi</t>
  </si>
  <si>
    <t>INVT/PNT/523</t>
  </si>
  <si>
    <t>ASET/IT-PSV/2025/78-93</t>
  </si>
  <si>
    <t xml:space="preserve">UNTUK PEMASANGAN KUNCI ACCESSDOOR DI PINTU AHU AREA MALL PENTACITY </t>
  </si>
  <si>
    <t>INVT/PNT/536</t>
  </si>
  <si>
    <t>ASET/IT-PSV/2025/96-112</t>
  </si>
  <si>
    <t xml:space="preserve">UNTUK PEMASANGAN KUNCI ACCESSDOOR DI PINTU AHU AREA MALL PENTACITY 
</t>
  </si>
  <si>
    <t>17 Sep 2025</t>
  </si>
  <si>
    <t>MEJA STAINLESS UK. PANJANG 100 CM X LEBAR 65 CM X TINGGI 61 CM</t>
  </si>
  <si>
    <t>INVT/PNT/551</t>
  </si>
  <si>
    <t>ASET/FC-PSV/2025/3</t>
  </si>
  <si>
    <t>KEPERLUAN UNTUK TENANT 13 PENTACITY</t>
  </si>
  <si>
    <t>03 Okt 2025</t>
  </si>
  <si>
    <t>FOODCOURT</t>
  </si>
  <si>
    <t>KRISBOW THREE STEP TROLLEY BLACK W/2 BUCKET</t>
  </si>
  <si>
    <t>INVT/PNT/479</t>
  </si>
  <si>
    <t>ASET/FC-PSV/2025/1-2</t>
  </si>
  <si>
    <t>UNTUK KEPERLUAN OPERASIONAL FOODCOURT</t>
  </si>
  <si>
    <t>Jumlah barang lebih dari 1, RFID 1 unit</t>
  </si>
  <si>
    <t>MESIN CUCI FRONT LOADING ULTIMATECARE 500 ELECTROLUX</t>
  </si>
  <si>
    <t>INVT/EWK/470</t>
  </si>
  <si>
    <t>ASET/HRGA-eWalk/2025/1</t>
  </si>
  <si>
    <t xml:space="preserve">UNTUK DI APARTMENT BPK ALFIALDY (GM) </t>
  </si>
  <si>
    <t>08 Jan 2025</t>
  </si>
  <si>
    <t>5.01- HUMAN RESOURCES</t>
  </si>
  <si>
    <t>MEJA KERJA 1 BIRO ACTIV</t>
  </si>
  <si>
    <t>INVT/EWK/465</t>
  </si>
  <si>
    <t>ASET/HRGA-eWalk/2025/2</t>
  </si>
  <si>
    <t>UNTUK MEJA KERJA MANAGER BUILDING MAINTENANCE ( IBU AYU AULIA )</t>
  </si>
  <si>
    <t>26 Jan 2025</t>
  </si>
  <si>
    <t>TOMMY KURSI BAR WARNA HITAM</t>
  </si>
  <si>
    <t>INVT/PNT/553</t>
  </si>
  <si>
    <t>ASET/HRGA-PSV/2025/18</t>
  </si>
  <si>
    <t>UNTUK KEBUTUHAN KURSI CUSTOMER CARE DI PENTACITY</t>
  </si>
  <si>
    <t>09 Okt 2025</t>
  </si>
  <si>
    <t>KURSI SUSUN MERK LION</t>
  </si>
  <si>
    <t>INVT/PNT/487</t>
  </si>
  <si>
    <t>ASET/HRGA-PSV/2025/1-17</t>
  </si>
  <si>
    <t xml:space="preserve">UNTUK PENGGANTIAN KURSI ATRIUM </t>
  </si>
  <si>
    <t>AC 2PK (INDOOR + OUTDOOR) MERK AKARI</t>
  </si>
  <si>
    <t>INVT/PNT/331</t>
  </si>
  <si>
    <t>Legal P5</t>
  </si>
  <si>
    <t>5.02-GENERAL AFFAIR</t>
  </si>
  <si>
    <t>RFID, Ruang HRGA</t>
  </si>
  <si>
    <t>KASUR SPRINGBED PROCELLA REZUVE (ELYSIAN 1 SET) UK 200 x 200 CM</t>
  </si>
  <si>
    <t>INVT/PNT/501</t>
  </si>
  <si>
    <t>ASET/HRGA-PSV/2025/20</t>
  </si>
  <si>
    <t xml:space="preserve">KASUR SPRINGBED UNTUK KEPERLUAN APARTEMEN BPK ALFIALDY - GM </t>
  </si>
  <si>
    <t>05 Jun 2025</t>
  </si>
  <si>
    <t>MESIN KELEMBABAN UDARA CERDAS AIR PURIFIER BOMIDI UH02 3 IN 1</t>
  </si>
  <si>
    <t>INVT/PNT/505</t>
  </si>
  <si>
    <t>ASET/HRGA-PSV/2025/21</t>
  </si>
  <si>
    <t xml:space="preserve">UNTUK KEBUTUHAN DI RUANGAN APARTEMENT BAPAK ALFIALDY (GENERAL MANAGER) </t>
  </si>
  <si>
    <t>NEW CARRY WIDE DECK AC/PS SILVER 2024</t>
  </si>
  <si>
    <t>INVT/PNT/559</t>
  </si>
  <si>
    <t>ASET/HRGA-PSV/2025/22</t>
  </si>
  <si>
    <t xml:space="preserve">KENDARAAN OPERASIONAL MALL </t>
  </si>
  <si>
    <t>21 Nop 2025</t>
  </si>
  <si>
    <t>PUSHCART UK 1M X 2M</t>
  </si>
  <si>
    <t>INVT/EWK/516</t>
  </si>
  <si>
    <t>ASET/HRGA-eWalk/2025/13</t>
  </si>
  <si>
    <t>UNTUK KEBUTUHAN CASUAL LEASING BERJUALAN DI AREA MALL EWALK &amp; PENTACITY</t>
  </si>
  <si>
    <t xml:space="preserve">AC AKARI 1 PK (INDOOR+OUTDOOR) </t>
  </si>
  <si>
    <t>INVT/EWK/519</t>
  </si>
  <si>
    <t>ASET/HRGA-eWalk/2025/31</t>
  </si>
  <si>
    <t>GANTI AC RUANG PAK WANDI (OPERASIONAL)</t>
  </si>
  <si>
    <t>20 Nop 2025</t>
  </si>
  <si>
    <t>MEJA KERJA 1/2 BIRO</t>
  </si>
  <si>
    <t>INVT/EWK/484</t>
  </si>
  <si>
    <t>ASET/HRGA-eWalk/2025/3-4</t>
  </si>
  <si>
    <t xml:space="preserve">UNTUK PENAMBAHAN DAN KEPERLUAN KERJA - TDC &amp; HRGA </t>
  </si>
  <si>
    <t>09 Apr 2025</t>
  </si>
  <si>
    <t>G ZAKI WORKING CHAIR LOW BACK BLACK</t>
  </si>
  <si>
    <t>INVT/EWK/485</t>
  </si>
  <si>
    <t>ASET/HRGA-eWalk/2025/5-8</t>
  </si>
  <si>
    <t xml:space="preserve">UNTUK PENAMBAHAN DAN KEPERLUAN KERJA - KURSI STAFF TDC, PROMO &amp; HRGA, STAFF STORE YG RUSAK </t>
  </si>
  <si>
    <t>KURSI KERJA FINANCE MALL DI PAM TOWER</t>
  </si>
  <si>
    <t>INVT/PNT/478</t>
  </si>
  <si>
    <t>ASET/HRGA-PSV/2025/19</t>
  </si>
  <si>
    <t>06 Mar 2025</t>
  </si>
  <si>
    <t>INVT/EWK/517</t>
  </si>
  <si>
    <t>ASET/HRGA-eWalk/2025/14-30</t>
  </si>
  <si>
    <t>BOOTH UK. 2 M X 3 M</t>
  </si>
  <si>
    <t>INVT/EWK/510</t>
  </si>
  <si>
    <t>ASET/HRGA-eWalk/2025/9</t>
  </si>
  <si>
    <t>UNTUK KEBUTUHAN CASUAL LEASING BERJUALAN DI AREA LG - LADIES MARKET</t>
  </si>
  <si>
    <t>Tidak ada jumlah barang</t>
  </si>
  <si>
    <t>FOOD STALL UK. 2 M X 3 M</t>
  </si>
  <si>
    <t>INVT/EWK/512</t>
  </si>
  <si>
    <t>ASET/HRGA-eWalk/2025/10</t>
  </si>
  <si>
    <t>UNTUK KEBUTUHAN BERJUALAN DI AREA LG EWALK - LADIES MARKET</t>
  </si>
  <si>
    <t>GATE UK. 10,5 M X 0,8 M X 2,67 M</t>
  </si>
  <si>
    <t>INVT/EWK/513</t>
  </si>
  <si>
    <t>ASET/HRGA-eWalk/2025/11</t>
  </si>
  <si>
    <t>GATE UK. 6,7 M X 0,8 M 2,67 M</t>
  </si>
  <si>
    <t>INVT/EWK/514</t>
  </si>
  <si>
    <t>ASET/HRGA-eWalk/2025/12</t>
  </si>
  <si>
    <t>INVT/EWK/500</t>
  </si>
  <si>
    <t>ASET/K3-eWalk/2025/1</t>
  </si>
  <si>
    <t xml:space="preserve">UNTUK LEMARI PENYIMPANAN BARANG - BARANG MEDIS, DAN PERALATAN HSE </t>
  </si>
  <si>
    <t>11 Sep 2025</t>
  </si>
  <si>
    <t>5.03-K3</t>
  </si>
  <si>
    <t>MESIN LAMINATING JOYKO SIZE A3 F4 &amp; A4</t>
  </si>
  <si>
    <t>INVT/EWK/523</t>
  </si>
  <si>
    <t>ASET/K3-eWalk/2025/2</t>
  </si>
  <si>
    <t xml:space="preserve">UNTUK KEPERLUAN LAMINATING KERTAS SIGN </t>
  </si>
  <si>
    <t>23 Des 2025</t>
  </si>
  <si>
    <t>INVT/PNT/490</t>
  </si>
  <si>
    <t>ASET/LP-PSV/2025/1</t>
  </si>
  <si>
    <t xml:space="preserve">UNTUK KEPERLUAN RAK HADIAH LOYALTI PROGRAM </t>
  </si>
  <si>
    <t>3.03-LOYALTY PROGRAM</t>
  </si>
  <si>
    <t>INVT/PNT/493</t>
  </si>
  <si>
    <t>ASET/LP-PSV/2025/2</t>
  </si>
  <si>
    <t xml:space="preserve">UNTUK KEPERLUAN RAK HADIAH LOYALTY PROGRAM </t>
  </si>
  <si>
    <t>23 Mei 2025</t>
  </si>
  <si>
    <t>KURSI RODA MANUAL FS 863 M GEA</t>
  </si>
  <si>
    <t>INVT/PNT/535</t>
  </si>
  <si>
    <t>ASET/CS-PSV/2025/3</t>
  </si>
  <si>
    <t>UNTUK MENGGANTI KURSI RODA FASILITAS PENGUNJUNG YANG RUSAK</t>
  </si>
  <si>
    <t>3.01-CUSTOMER SERVICE</t>
  </si>
  <si>
    <t xml:space="preserve">KURSI RODA MANUAL </t>
  </si>
  <si>
    <t>INVT/EWK/474</t>
  </si>
  <si>
    <t>ASET/CS-eWalk/2025/4</t>
  </si>
  <si>
    <t>UNTUK GANTI KURSI RODA FASILITAS PENGUNJUNG YANG RUSAK</t>
  </si>
  <si>
    <t>BABY STROLLER MOTHERCARE AMBLE</t>
  </si>
  <si>
    <t>INVT/PNT/484</t>
  </si>
  <si>
    <t>ASET/CS-PSV/2025/1-2</t>
  </si>
  <si>
    <t>UNTUK PENAMBAHAN BABY STROLLER FASILITAS PENGUNJUNG - di CUSTOMER SERVICE MALL</t>
  </si>
  <si>
    <t>20 Mar 2025</t>
  </si>
  <si>
    <t>Jumlah barang lebih dari 1, sudah Register 1 barang, 1 barang belum register</t>
  </si>
  <si>
    <t>Jumlah Total item</t>
  </si>
  <si>
    <t>Jumlah Kuantitas</t>
  </si>
  <si>
    <t>JUMLAH</t>
  </si>
  <si>
    <t xml:space="preserve"> </t>
  </si>
  <si>
    <t>Nama Barang</t>
  </si>
  <si>
    <t>No INV/No Label/Kode Barang</t>
  </si>
  <si>
    <t>RFID ( √ )</t>
  </si>
  <si>
    <t xml:space="preserve">AC 1 PK ( INDOOR + OUTDOOR ) MERK AKARI </t>
  </si>
  <si>
    <t>INVT/PNT/307/</t>
  </si>
  <si>
    <t>Apt Ruby</t>
  </si>
  <si>
    <t>PSV</t>
  </si>
  <si>
    <t>Pak yudhi</t>
  </si>
  <si>
    <t>KASUR BUSA 90x200x18 + RANJANG BESI OLYMPIC 2 TINGKAT</t>
  </si>
  <si>
    <t>INVT/PNT/309/</t>
  </si>
  <si>
    <t>WATER HEATER ARISTON STAR N 15R 350 W</t>
  </si>
  <si>
    <t>INVT/PNT/324/</t>
  </si>
  <si>
    <t>-</t>
  </si>
  <si>
    <t>SET MEJA MAKAN &amp; KURSI MAKAN</t>
  </si>
  <si>
    <t>INVT/PNT/382/</t>
  </si>
  <si>
    <t xml:space="preserve">1 SET MEJA  KURSI MAKAN - DI APT GM </t>
  </si>
  <si>
    <t>BOOTH UK. 2 M X 2 M</t>
  </si>
  <si>
    <t>INVT/PNT/316/</t>
  </si>
  <si>
    <t>Area Mall</t>
  </si>
  <si>
    <t>Mini Portable Shop</t>
  </si>
  <si>
    <t>INVT200018/</t>
  </si>
  <si>
    <t>Staff Pengelola Mall</t>
  </si>
  <si>
    <t>INVT20020/</t>
  </si>
  <si>
    <t>DUST BIN SULO 240L WARNA ABU-ABU</t>
  </si>
  <si>
    <t>INVT/PNT/281/</t>
  </si>
  <si>
    <t>Pentacity Mall</t>
  </si>
  <si>
    <t>CCTV AREA MALL PENTACITY TAHAP I</t>
  </si>
  <si>
    <t>INVT/PNT/338/</t>
  </si>
  <si>
    <t>ASHTRAY CUSTOM DOFF TEBAL 1 MM DIAMETER 30 CM</t>
  </si>
  <si>
    <t>INVT/PNT/333/</t>
  </si>
  <si>
    <t>Depan Lift</t>
  </si>
  <si>
    <t>2 UNIT PUSHCART 2X3 MARKETING</t>
  </si>
  <si>
    <t>INVT/PNT/353/</t>
  </si>
  <si>
    <t>Pentacity</t>
  </si>
  <si>
    <t>6 UNIT PUSHCART 2X3M MARKETING</t>
  </si>
  <si>
    <t>INVT/PNT/354/</t>
  </si>
  <si>
    <t>MESIN DRY ES LOW SMOKE</t>
  </si>
  <si>
    <t>INVT/PNT/295/</t>
  </si>
  <si>
    <t xml:space="preserve">Area Mall </t>
  </si>
  <si>
    <t>SIGN STANDING EXCALATOR UK. 30 X 134 CM</t>
  </si>
  <si>
    <t>INVT/PNT/332/</t>
  </si>
  <si>
    <t>Pentacity &amp; Ewalk</t>
  </si>
  <si>
    <t>LIGHTING</t>
  </si>
  <si>
    <t>INVT/PNT/113/</t>
  </si>
  <si>
    <t>Area Mall Pentacity</t>
  </si>
  <si>
    <t xml:space="preserve">VIDEO TRON P5 Outdor </t>
  </si>
  <si>
    <t>INVT/PNT/114/</t>
  </si>
  <si>
    <t>SOUNDSYSTEM</t>
  </si>
  <si>
    <t>INVT/PNT/115/</t>
  </si>
  <si>
    <t xml:space="preserve">Rubber Fender Type D </t>
  </si>
  <si>
    <t>INVT190042/</t>
  </si>
  <si>
    <t>Hollow dan Besi Hollow</t>
  </si>
  <si>
    <t>INVT200014/</t>
  </si>
  <si>
    <t>Besi hollow black steell Uk 60MM X 50MM X 2MM X 6M</t>
  </si>
  <si>
    <t>INVT200015/</t>
  </si>
  <si>
    <t>Besi Hollow 20MM X 2 MM X 40 MM &amp; KAWAT LAS</t>
  </si>
  <si>
    <t>INVT200016/</t>
  </si>
  <si>
    <t>RANGKA BESI EXHIBITION FIN BLACK GLOSSY PAINT UK. 300 CM X 200 CM X 334 CM</t>
  </si>
  <si>
    <t>INVT/PNT/193/</t>
  </si>
  <si>
    <t>SPEAKER TOA ZS - P1030B/W - AS</t>
  </si>
  <si>
    <t>INVT/PNT/242/</t>
  </si>
  <si>
    <t>INVT/PNT/244/</t>
  </si>
  <si>
    <t>MIXER LIGHTING DMX 512</t>
  </si>
  <si>
    <t>INVT/PNT/263/</t>
  </si>
  <si>
    <t>STAND TRIPOD KATROL 4 METER PAR LED</t>
  </si>
  <si>
    <t>INVT/PNT/264/</t>
  </si>
  <si>
    <t>TRICERATOPS PUPPET &amp; VELOCIRATOR PUPPET UK. L : 0,8M + VELOCIRAPTOR PUPPET &amp; CAMARASAURUS PUPPET UK. L : 1M</t>
  </si>
  <si>
    <t>INVT/PNT/297/</t>
  </si>
  <si>
    <t xml:space="preserve">Staff Pengelola Mall </t>
  </si>
  <si>
    <t xml:space="preserve">TANGGA LIPAT ALUMINIUM 8 STEP KRISBOW UK. 3 METER </t>
  </si>
  <si>
    <t>INVT/PNT/299/</t>
  </si>
  <si>
    <t>TANGGA LIPAT ALUMINIUM 4 STEP KRISBOW UK 3,3 M + TANGGA LIPAT FIBER GLASS 8 STEP MERK KRISBOW</t>
  </si>
  <si>
    <t>INVT/PNT/305/</t>
  </si>
  <si>
    <t>HURUF TIMBUL PAM PLUS</t>
  </si>
  <si>
    <t>INVT/PNT/319/</t>
  </si>
  <si>
    <t>STABILIZER</t>
  </si>
  <si>
    <t>INVT/PNT/116/1</t>
  </si>
  <si>
    <t>INVT/PNT/265/</t>
  </si>
  <si>
    <t>Area Pentacity Mall</t>
  </si>
  <si>
    <t>AC 1 PK (INDOOR + OUTDOOR) MERK AKARI</t>
  </si>
  <si>
    <t>INVT/PNT/213/</t>
  </si>
  <si>
    <t>Casual Leasing</t>
  </si>
  <si>
    <t>Ruang FA Pengelola P5</t>
  </si>
  <si>
    <t xml:space="preserve">AC 2PK (INDOOR + OUTDOOR ) MERK AKARI </t>
  </si>
  <si>
    <t>INVT/PNT/232/</t>
  </si>
  <si>
    <t>Ruang Marketing P5</t>
  </si>
  <si>
    <t>Loyalti</t>
  </si>
  <si>
    <t>PUSHCART UKURAN 2M x 3M 8 UNIT</t>
  </si>
  <si>
    <t>INVT/PNT/363/</t>
  </si>
  <si>
    <t>Depan DIY</t>
  </si>
  <si>
    <t>6 unit Pentacity</t>
  </si>
  <si>
    <t>FEIYUTECH G6 MAX 3-AXIS USB CABLE &amp; WIFI CONTROL STABILIZED HANDHELD GIMBAL</t>
  </si>
  <si>
    <t>INVT/PNT/271/</t>
  </si>
  <si>
    <t>CCD</t>
  </si>
  <si>
    <t>Pak Safwan (PIC)</t>
  </si>
  <si>
    <t>MICROPHONE WIRELESS BLINK500 B1W (TXW+RXW)</t>
  </si>
  <si>
    <t>INVT/PNT/273/</t>
  </si>
  <si>
    <t>CAMERA SONY APLHA A6400 + LENSA FIX YN50MM F1/8S MERK SONY DA DSM</t>
  </si>
  <si>
    <t>INVT/PNT/285/</t>
  </si>
  <si>
    <t>PROCESSOR INTEL CORE I7-12700F LGA1700, XIAOMI CURVED GAMING MONITOR 34 INCH G34WQI BLACK, MOTHERBOAD ASUS PRIME B760M-A D4 LGA 1700</t>
  </si>
  <si>
    <t>INVT/PNT/403/</t>
  </si>
  <si>
    <t xml:space="preserve">UNTUK KEPERLUAN PEKERJAAN DGM ROCHIEM
</t>
  </si>
  <si>
    <t>APPLE MACBOOK PRO M2 - 13INCH / 512GB / SILVER</t>
  </si>
  <si>
    <t>INVT/PNT/404/</t>
  </si>
  <si>
    <t>UNTUK KEPERLUAN PEKERJAAN SPV DGM BPK SAFWAN</t>
  </si>
  <si>
    <t>APPLE IPAD PRO 2024 M4 11 INCH 256GB 5TH GENERATION WIFI SPACE BLACK</t>
  </si>
  <si>
    <t>INVT/PNT/436/</t>
  </si>
  <si>
    <t>APPLE IPAD PRO 2024 M4 11 INCH 256GB 5TH GENERATION WIFI SPACE BLACK  - UNTUK KEPERLUAN PEKERJAAN DGM</t>
  </si>
  <si>
    <t>LOGITECH COMBO TOUCH KEYBOARD CASE IPAD PRO 2024 M4 11 INCH</t>
  </si>
  <si>
    <t>INVT/PNT/437/</t>
  </si>
  <si>
    <t>LOGITECH COMBO TOUCH KEYBOARD CASE IPAD PRO 2024 M4 11 INCH - UNTUK KEPERLUAN PEKERJAAN DGM</t>
  </si>
  <si>
    <t>APPLE PENCIL PRO</t>
  </si>
  <si>
    <t>INVT/PNT/438/</t>
  </si>
  <si>
    <t xml:space="preserve">APPLE PENCIL PRO - UNTUK KEPERLUAN PEKERJAAN DGM </t>
  </si>
  <si>
    <t>SAMSUNG SSD T7 SHIELD 1TB BLACK</t>
  </si>
  <si>
    <t>INVT/PNT/452/</t>
  </si>
  <si>
    <t xml:space="preserve">UNTUK KEPERLUAN PEKERJAAN DGM </t>
  </si>
  <si>
    <t>PRINTER EPSON L3210</t>
  </si>
  <si>
    <t>INVT/PNT/253/</t>
  </si>
  <si>
    <t>Command Center</t>
  </si>
  <si>
    <t>Staff Pengelola Mall city</t>
  </si>
  <si>
    <t>NVR 20CH TC-R3120 TIANDY</t>
  </si>
  <si>
    <t>INVT/PNT/372/</t>
  </si>
  <si>
    <t>command Center</t>
  </si>
  <si>
    <t>UNTUK PENAMBAHAN PERANGKAT MONITORING CCTV DI COMMAND CENTER</t>
  </si>
  <si>
    <t>LED HD TV 43 INCH 43LM5500</t>
  </si>
  <si>
    <t>INVT/PNT/373/</t>
  </si>
  <si>
    <t>UNTUK KEPERLUAN PENAMBAHAN MONITOR CCTV DI RUANG COMMAND CENTER</t>
  </si>
  <si>
    <t>Handy Talky ( Htt ) CP 1660 UHF</t>
  </si>
  <si>
    <t>INVT/PNT/026/</t>
  </si>
  <si>
    <t>Command Center Mall</t>
  </si>
  <si>
    <t>FURNITURE DAN PERALATAN EQUIPMENT</t>
  </si>
  <si>
    <t>INVT/PNT/171/</t>
  </si>
  <si>
    <t>PEMBELIAN PERLENGKAPAN CCTV PEOPLE COUNTING DAN REPLACE CCTV OFF GEDUNG MALL - PO-PSV/WBL/21/III/00059</t>
  </si>
  <si>
    <t>INVT/PNT/187/</t>
  </si>
  <si>
    <t>REMOTE MICROPHONE TOA</t>
  </si>
  <si>
    <t>INVT/PNT/183/</t>
  </si>
  <si>
    <t>Customer Service</t>
  </si>
  <si>
    <t>REMOTE MICROPHONE TOA RM-200M S</t>
  </si>
  <si>
    <t>INVT/PNT/246/</t>
  </si>
  <si>
    <t>RAK BUKU SIDEBOARD 80 CM SHIRO</t>
  </si>
  <si>
    <t>INVT/PNT/320/</t>
  </si>
  <si>
    <t>KURSI RODA MANUAL MODEL FS874</t>
  </si>
  <si>
    <t>INVT/PNT/405/</t>
  </si>
  <si>
    <t xml:space="preserve">UNTUK GANTI KURSI RODA FASILITAS PENGUNJUNG YANG RUSAK  UNTUK KEPERLUAN CUSTOMER SERVICE </t>
  </si>
  <si>
    <t>LOKER BESI 6 PINTU (2 UNIT) &amp; LOKER 9 PINTU (1 UNIT)</t>
  </si>
  <si>
    <t>INVT/PNT/456/</t>
  </si>
  <si>
    <t xml:space="preserve">UNTUK PENGGANTIAN LOKER CUSTOMER SERVICE </t>
  </si>
  <si>
    <t>INVT/PNT/210/</t>
  </si>
  <si>
    <t>CS PENTACITY</t>
  </si>
  <si>
    <t>Pompa STP</t>
  </si>
  <si>
    <t>INVT200019/</t>
  </si>
  <si>
    <t>ENGINEERING</t>
  </si>
  <si>
    <t>ELEVATOR AIR CONDITIONER (GREE) GDT25 - 0,75PK - 6,824 BTUH</t>
  </si>
  <si>
    <t>INVT/PNT/227/</t>
  </si>
  <si>
    <t>di Lift Panoramic 1</t>
  </si>
  <si>
    <t>ROOT BLOWER FUTSU TSC-100 7,5 HP / 7,5 KW</t>
  </si>
  <si>
    <t>INVT/PNT/317/</t>
  </si>
  <si>
    <t xml:space="preserve">AC 2PK (INDOOR + OUTDOOR) MERK AKARI </t>
  </si>
  <si>
    <t>INVT/PNT/361/</t>
  </si>
  <si>
    <t>Purchasing</t>
  </si>
  <si>
    <t>URINAL SENSOR - TTUE602DS CONCEALED URINAL SENSOR FLUSH VALVE (DC TYPE) - MERK TOTO</t>
  </si>
  <si>
    <t>INVT/PNT/364/</t>
  </si>
  <si>
    <t>HANDRAIL ESCALATOR 77MM x 2970MM &amp; 77MM x 2928MM</t>
  </si>
  <si>
    <t>INVT/PNT/365/</t>
  </si>
  <si>
    <t xml:space="preserve">1 Ea Mechanical Tool Set </t>
  </si>
  <si>
    <t>INVT/PNT/132/</t>
  </si>
  <si>
    <t>1 Unit Pompa Ebara</t>
  </si>
  <si>
    <t>INVT/PNT/167/</t>
  </si>
  <si>
    <t>2 Unit Pompa Submersible Ebara</t>
  </si>
  <si>
    <t>INVT/PNT/168/</t>
  </si>
  <si>
    <t>AC Sharp AHA18UCY</t>
  </si>
  <si>
    <t>INVT190039/</t>
  </si>
  <si>
    <t xml:space="preserve">untuk di ruang trafo  ruang panel pentacity </t>
  </si>
  <si>
    <t>Step Ladder Fiberglass Krisbow KW010217</t>
  </si>
  <si>
    <t>INVT190059/</t>
  </si>
  <si>
    <t>AC Standar</t>
  </si>
  <si>
    <t>INVT200021/</t>
  </si>
  <si>
    <t>Chiller P3</t>
  </si>
  <si>
    <t xml:space="preserve">PEMBELIAN AKI BASAH DAN AKI ZUUR PENGGANTIAN LAMPU EMERGENCY DI ALL MALL PENTACITY	</t>
  </si>
  <si>
    <t>INVT200028/</t>
  </si>
  <si>
    <t>LAMPU EMERGENCY DI ALL MALL PENTACITY</t>
  </si>
  <si>
    <t>Penggantian Pompa Yang Sudah Lemah</t>
  </si>
  <si>
    <t>INVT200030/</t>
  </si>
  <si>
    <t>Ruang Pompa Pentacity</t>
  </si>
  <si>
    <t>PEMBELIAN POWER INVERTER 3000W UNTUK PENGGANTIAN LAMPU EMERGENCY DI ALL AREA MALL PENTACITY</t>
  </si>
  <si>
    <t>INVT200031/</t>
  </si>
  <si>
    <t>LAMPU EMERGENCY DI ALL AREA MALL PENTACITY</t>
  </si>
  <si>
    <t>4 UNIT Mechanical Seal  KSB For Omega 200-320A GC, SN. 049-1312380-009 (Part No. 433)</t>
  </si>
  <si>
    <t>INVT200034/</t>
  </si>
  <si>
    <t xml:space="preserve">Di Cooling Tower Lt 6 </t>
  </si>
  <si>
    <t>AC 2 PK (INDOOR + OUTDOOR) MERK AKARI</t>
  </si>
  <si>
    <t>INVT/PNT/202/</t>
  </si>
  <si>
    <t xml:space="preserve">RUANG TRAFO  Engineering </t>
  </si>
  <si>
    <t xml:space="preserve">PEMBELIAN AKI YUASA N200-190H52 12 V 200AH &amp; AIR ZUUR 1 LTR PENGGANTIAN AKI GENSET YANG RUSAK KARENA BANJIR	</t>
  </si>
  <si>
    <t>INVT/PNT/208/</t>
  </si>
  <si>
    <t>Ruang Genset Pentacity</t>
  </si>
  <si>
    <t>COMPRESSOR AIR BEBICON 3 PHASE 5 HP (MERK HITACHI)</t>
  </si>
  <si>
    <t>INVT/PNT/211/</t>
  </si>
  <si>
    <t>GULUNG DYNAMO MOTOR AHU 3 PHASE 15 KW</t>
  </si>
  <si>
    <t>INVT/PNT/212/</t>
  </si>
  <si>
    <t>Terpasang di Dinamo</t>
  </si>
  <si>
    <t>BATERRY CHARGER SEG BL-10-24V 3 PHASE</t>
  </si>
  <si>
    <t>INVT/PNT/220/</t>
  </si>
  <si>
    <t>POWER INVERTER SINUS 3000W 12V + CHARGER ACOUSTIS ACCU AKI BATTERE PSW SINE, BATTERY CHARGER ACCU AKI MERK IWARA 20 AMPERE, TERMINAL BLOCK 12 POLE</t>
  </si>
  <si>
    <t>INVT/PNT/217/</t>
  </si>
  <si>
    <t>UNTUK PEMASANGAN LAMPU EMERGENCY AREA LG - GF UG - SF  UNTUK PERAKITAN LAMPU EMERGENCY AREA LG - SF</t>
  </si>
  <si>
    <t>GAMA UPS/BATERY UPS (TYPE : GP806S)</t>
  </si>
  <si>
    <t>INVT/PNT/225/</t>
  </si>
  <si>
    <t>Ruang Engineering Penta</t>
  </si>
  <si>
    <t>TANDON AIR 5.100 LITER PENGUIN</t>
  </si>
  <si>
    <t>INVT/PNT/228/</t>
  </si>
  <si>
    <t>Rooftop Pentacity</t>
  </si>
  <si>
    <t>INVT/PNT/229/</t>
  </si>
  <si>
    <t>AC 2 PK (INDOOR + INDOOR) MERK AKARI</t>
  </si>
  <si>
    <t>INVT/PNT/235/</t>
  </si>
  <si>
    <t>Ruangan Engineering</t>
  </si>
  <si>
    <t>PLC</t>
  </si>
  <si>
    <t>INVT/PNT/239/</t>
  </si>
  <si>
    <t>Travelator 12 Belakang Tenant KFC</t>
  </si>
  <si>
    <t xml:space="preserve">INVERTER MONARCH 15 KW </t>
  </si>
  <si>
    <t>INVT/PNT/240/</t>
  </si>
  <si>
    <t>KWH SOCOMEC 4850-3003 E20 3PH 63A</t>
  </si>
  <si>
    <t>INVT/PNT/252/</t>
  </si>
  <si>
    <t>Tenant PlaylessSport Station Kids Station Planet Sport</t>
  </si>
  <si>
    <t>TOUCHLESS FAUCET HEIGHT 243MM TLE24006A, CONTROLLER TLE03502A, STOP VALVE W/FLEXIBLE HOSE TX277SV2, CONCEALED URINAL SENSOR 220V TTUE602AS</t>
  </si>
  <si>
    <t>INVT/PNT/259/</t>
  </si>
  <si>
    <t>HANDRAIL ESCALATOR UK. L : 77 MM X P : 29167 MM</t>
  </si>
  <si>
    <t>INVT/PNT/274/</t>
  </si>
  <si>
    <t>Di LG depan Royal Bbq GF Sociolla  HnM FF Foodcourt</t>
  </si>
  <si>
    <t>POMPA EBARA 80 DL53.7 3,7KW/380 VOLT + POMPA EBARA 65DL 51.5 1.5KW 380 VOLT 4 POLE</t>
  </si>
  <si>
    <t>INVT/PNT/268/</t>
  </si>
  <si>
    <t xml:space="preserve">Ruang Engineering Pentacity </t>
  </si>
  <si>
    <t>POMPA EBARA 65DL 51.5 1.5 KW 380 VOLT 4 POLE</t>
  </si>
  <si>
    <t>INVT/PNT/270/</t>
  </si>
  <si>
    <t>ACRYLIC BENING UK 5 MM</t>
  </si>
  <si>
    <t>INVT/PNT/272/</t>
  </si>
  <si>
    <t>KYORITSU TESTER MODEL 3007A INSULATION - CONTINUITY</t>
  </si>
  <si>
    <t>INVT/PNT/275/</t>
  </si>
  <si>
    <t>KOP KACA 3 KAKI KARET ( GLASS SUCTION PLATE )</t>
  </si>
  <si>
    <t>INVT/PNT/282/</t>
  </si>
  <si>
    <t>AC ELEVATOR MERK GREE GDT 35</t>
  </si>
  <si>
    <t>INVT/PNT/287/</t>
  </si>
  <si>
    <t>Lift Aquaboom</t>
  </si>
  <si>
    <t>INVT/PNT/288/</t>
  </si>
  <si>
    <t>TANG AMPERE (FLUKE - 376) TRUE RMS AC/DC/CLAMP METER</t>
  </si>
  <si>
    <t>INVT/PNT/290/</t>
  </si>
  <si>
    <t xml:space="preserve">PANEL POMPA STAR DELTA 5.5 KW ( 4 POMPA ) </t>
  </si>
  <si>
    <t>INVT/PNT/293/</t>
  </si>
  <si>
    <t>Ruang Panel STP</t>
  </si>
  <si>
    <t>VACUM PUMP VALUE VE2100N 1 HP 10 CFM 220V 2 STAGE - 1 PK</t>
  </si>
  <si>
    <t>INVT/PNT/301/</t>
  </si>
  <si>
    <t>BLOWER TANGAN LISTRIK TIPE GBL 82-270 MERK BOSCH</t>
  </si>
  <si>
    <t>INVT/PNT/306/</t>
  </si>
  <si>
    <t>ELECTRIC RIVET MERK TIMEPROOF TAC 500 DAYS 220V - 400W</t>
  </si>
  <si>
    <t>INVT/PNT/311/</t>
  </si>
  <si>
    <t>Engineering</t>
  </si>
  <si>
    <t>MESIN BOR BATERAI CORDLESS DRILL BRUSHLESS GSR 185 LI 1 BATERAI MERK BOSCH-XLINE 25 PCS</t>
  </si>
  <si>
    <t>INVT/PNT/312/</t>
  </si>
  <si>
    <t>KURSI TUNGGU S6014P</t>
  </si>
  <si>
    <t>INVT/PNT/318/</t>
  </si>
  <si>
    <t>MESIN BOR BOSCH GSB 18V-50 + BATERAI CORDLESS DRILL BRUSHLESS</t>
  </si>
  <si>
    <t>INVT/PNT/323/</t>
  </si>
  <si>
    <t>MESIN BOR BETON MERK BOSCH GBH 2-26 DRE</t>
  </si>
  <si>
    <t>INVT/PNT/326/</t>
  </si>
  <si>
    <t>INVT/PNT/329/</t>
  </si>
  <si>
    <t>Mba Emma</t>
  </si>
  <si>
    <t>MESIN PEMANAS PIPA PPR-WELDING DEVICE (MODEL PHL - 98063 - POWER : 800W VOLTAGE : 220V 50HZ)</t>
  </si>
  <si>
    <t>INVT/PNT/334/</t>
  </si>
  <si>
    <t>MESIN CUTTING WHELL MERK BOSCH GCH 10 M X  MITRE SAW MILER</t>
  </si>
  <si>
    <t>INVT/PNT/335/</t>
  </si>
  <si>
    <t>DISPENSER SANKEN HWD - C5201C (GALON BAWAH)</t>
  </si>
  <si>
    <t>INVT/PNT/347/</t>
  </si>
  <si>
    <t>POMPA CENTRIFUGAL EBARA UK 65 X 50 FSJA MECANICAL SEAL</t>
  </si>
  <si>
    <t>INVT/PNT/349/</t>
  </si>
  <si>
    <t>P6</t>
  </si>
  <si>
    <t>INVT/PNT/350/</t>
  </si>
  <si>
    <t>toilet pria pentacity</t>
  </si>
  <si>
    <t>EXHAUST FAN 20 INCH CKE FTA</t>
  </si>
  <si>
    <t>INVT/PNT/351/</t>
  </si>
  <si>
    <t>Ruang Trafo Engineering</t>
  </si>
  <si>
    <t>PANEL STAR DELTA 22KW 3 PHASE (SET)</t>
  </si>
  <si>
    <t>INVT/PNT/368/</t>
  </si>
  <si>
    <t xml:space="preserve"> PANEL STAR DELTA 22KW 3 PHASE SET  - PEMASANGAN INSTALASI LISTRIK AHU LG SAMPING GUDANG ENGINEERING </t>
  </si>
  <si>
    <t xml:space="preserve">VACUUM CLEANER (WET, DRY &amp; BLOW) 80 LITER STAINLESS STEEL WP 2080 A </t>
  </si>
  <si>
    <t>INVT/PNT/371/</t>
  </si>
  <si>
    <t>UNTUK BANTU KERJA - PENGGANTIAN YANG RUSAK DI RUANG ENGINEERING</t>
  </si>
  <si>
    <t>INVT/PNT/374/</t>
  </si>
  <si>
    <t>UNTUK PEMASANGAN POMPA YANG MELUAP DI TENANT KFC YOSINOYA PAPERLUNCH TOILET KARYAWAN LG DAN SPARE MATERIAL</t>
  </si>
  <si>
    <t>POMPA SOLAR &amp; OLI - CAIRAN KENTAL MERK FIRMAN FDP-25</t>
  </si>
  <si>
    <t>INVT/PNT/377/</t>
  </si>
  <si>
    <t>UNTUK PEKERJAAN PENGISIAN OLI  AIR RADIATOR GENSET 4 UNIT DI PENTACITY - RUANG GENSET ENGINEERING</t>
  </si>
  <si>
    <t>EXHAUST FAN 20 INCH CKE FTA - 50 ( POWER 230W, 380V, 50Hz )</t>
  </si>
  <si>
    <t>INVT/PNT/380/</t>
  </si>
  <si>
    <t xml:space="preserve">UNTUK PENAMBAHAN EXHAUST DI RUANG STP PENTACITY </t>
  </si>
  <si>
    <t>FLOW METER SOLAR 1 INCH MERK TOKICO TYPE FGBB835BDL - 02X ( NON RESET )</t>
  </si>
  <si>
    <t>INVT/PNT/387/</t>
  </si>
  <si>
    <t xml:space="preserve"> PENGUKURAN AKURAT JUMLAH LITER SOLAR SETIAP MINGGU  BULAN - DI RUANG GENSET ENGINEERING</t>
  </si>
  <si>
    <t>POMPA CENTRIFUGAL EBARA UK. 65 X 50 FSJA MECANICAL SEAL</t>
  </si>
  <si>
    <t>INVT/PNT/389/</t>
  </si>
  <si>
    <t xml:space="preserve">PENGGANTIAN POMPA YANG RUSAK KARNA PEMAKAIAN SUPPLY AIR DARI GROUNDTANK KE ROOFTANK </t>
  </si>
  <si>
    <t>MESIN SENAI 1/2-3 INCH BSPT 900W 220V MERK KRISBOW (10083578)</t>
  </si>
  <si>
    <t>INVT/PNT/390/</t>
  </si>
  <si>
    <t>ALAT BANTU KERJA ENGINEERING PENYENAIAN PIPA SPRINKLER TENANT FIT OUT MALL PENTACITY - DI RUANG ENGINEERING</t>
  </si>
  <si>
    <t xml:space="preserve">ALAT POTONG DUCTING PU CUTTER REAMER (MERK ST/TD) </t>
  </si>
  <si>
    <t>INVT/PNT/410/</t>
  </si>
  <si>
    <t xml:space="preserve">ALAT KERJA ENGINEERING AC URGENT  ESTIMASI TGL 27 AGUSTUS 2024 </t>
  </si>
  <si>
    <t xml:space="preserve">POMPA CENTRIFUGAL END SUCTION EBARA TYPE 65 X 50 FSJA MS TERKOPEL DENGAN MOTOR ELEKTRIK MERK TECO POWER 11 KW 380V 3000 RPM 2 POLE </t>
  </si>
  <si>
    <t>INVT/PNT/413/</t>
  </si>
  <si>
    <t xml:space="preserve">POMPA SUMPIT EBARA TYPE 65 DL 1,5 KW POWER 1,5 KW 380V </t>
  </si>
  <si>
    <t>INVT/PNT/414/</t>
  </si>
  <si>
    <t xml:space="preserve">PENGGANTIAN POMPA SUMP PIT YANG RUSAK AREA MEZANIN PARKIRAN MOTOR URGENT </t>
  </si>
  <si>
    <t>POMPA SUMPIT EBARA TYPE 80 DL 3,7 KW POWER 3,7 KW 380V</t>
  </si>
  <si>
    <t>INVT/PNT/415/</t>
  </si>
  <si>
    <t>AC 2PK (2 UNIT)  + AC 1PK (1 UNIT) ( INDOOR + OUTDOOR ) MERK AKARI</t>
  </si>
  <si>
    <t>INVT/PNT/416/</t>
  </si>
  <si>
    <t>pentacity</t>
  </si>
  <si>
    <t>MOTOR BLOWER 3 PHASE -380 VOLT - 14.1A - 10HP POLE 7.5 KW RPM 1450 MERK TECO</t>
  </si>
  <si>
    <t>INVT/PNT/423/</t>
  </si>
  <si>
    <t xml:space="preserve">PENGGANTIAN MOTOR BLOWER YANG RUSAK 2 UNIT DI STP PENTACITY URGENT  ESTIMASI TGL  05 SEPTEMBER 2024  </t>
  </si>
  <si>
    <t>LOKER 9 PINTU</t>
  </si>
  <si>
    <t>INVT/PNT/430/</t>
  </si>
  <si>
    <t xml:space="preserve">UNTUK KEBUTUHAN DI RUANG ENGINEERING </t>
  </si>
  <si>
    <t>MESIN BLUE CLEAN 611 , GUN KARCHER, SELANG HEEVY DUTY + CONNECTOR KE GUN KARCHER 10 METER</t>
  </si>
  <si>
    <t>INVT/PNT/434/</t>
  </si>
  <si>
    <t>FUJIARE FCU 20 PK (FDBW 200 SS), FUJIARE FCU 15 PK (FDBW 150 6R SS)</t>
  </si>
  <si>
    <t>INVT/PNT/440/</t>
  </si>
  <si>
    <t>FUJIARE FCU 15 PK (FDBW 150 6R SS</t>
  </si>
  <si>
    <t>INVT/PNT/441/</t>
  </si>
  <si>
    <t>CORDELSS IMPACT DRILL IRCID181 KRISBOW 13 MM 18 V</t>
  </si>
  <si>
    <t>INVT/PNT/445/</t>
  </si>
  <si>
    <t>MAINTENANCE AHU  PEMASANGAN AC URGENT ENGINEERING</t>
  </si>
  <si>
    <t>INVT/PNT/446/</t>
  </si>
  <si>
    <t>PENGGANTIAN AC YANG RUSAK DI RUANGAN IT DI KANTOR P5  MAINTENANCE PENGELASAN AC</t>
  </si>
  <si>
    <t>LAPTOP ASUS VIVOBOOK 14 E1404</t>
  </si>
  <si>
    <t>INVT/PNT/450/</t>
  </si>
  <si>
    <t xml:space="preserve">UNTUK KEBUTUHAN PEKERJAAN CHIEF ENGINEERING  EPI HARI SAPTIANA </t>
  </si>
  <si>
    <t>POMPA EBARA 80 DL53.7 3,7KW/380 VOLT</t>
  </si>
  <si>
    <t>INVT/PNT/457/</t>
  </si>
  <si>
    <t>PENAMBAHAN BARU POMPA SAMPIT RUANG AHU DAN PENAMBAHAN BARU POMPA GWT JALUR GWT EWALK KE GWT PENTACITY - URGENT</t>
  </si>
  <si>
    <t>DRAIN CLEANER - R10000079 - 230V K-1500B27597</t>
  </si>
  <si>
    <t>INVT/PNT/459/</t>
  </si>
  <si>
    <t>ALAT BANTU KERJA PEMBERSIH SALURAN PIPA  POMPA YANG BUNTU DI TENANT ALL AREA - ENGINEERING</t>
  </si>
  <si>
    <t>POMPA EBARA 50 DL 5,75 380 VOLT 0,75 KW 50 HZ</t>
  </si>
  <si>
    <t>INVT/PNT/192/</t>
  </si>
  <si>
    <t xml:space="preserve"> POMPA SUMP PIT DI AREA TANGGA DARURAT TOILET SOLARIA</t>
  </si>
  <si>
    <t>TOOLS/PSV/007/</t>
  </si>
  <si>
    <t>Panel Box Penta</t>
  </si>
  <si>
    <t>POMPA EBARA 65 DL</t>
  </si>
  <si>
    <t>INVT/PNT/201/</t>
  </si>
  <si>
    <t>TOILET LG KARYAWAN  AREA TANGGA DARURAT BELAKANG SOLARIA</t>
  </si>
  <si>
    <t>POMPA EBARA CDXM/A 120-12 (1 PHASE)</t>
  </si>
  <si>
    <t>TOOLS/PSV/008/</t>
  </si>
  <si>
    <t>POMPA ROOF TANK</t>
  </si>
  <si>
    <t>ROBIN PUMP (RTG 300 LH0 3 INCH, SUNNY HOSE 6 BAR PVC 100 METER 3 INCH (2 1 ROLL), SELANG SPIRAL 3 INCH</t>
  </si>
  <si>
    <t>TOOLS/PSV/009/</t>
  </si>
  <si>
    <t>di Engineering</t>
  </si>
  <si>
    <t>AIR TOOL KIT (7 PCS) RRATK7 KW1200250 &amp; COMPRESSOR 3HP 120 L 10B 1P CPPB</t>
  </si>
  <si>
    <t>TOOLS/PSV/010/</t>
  </si>
  <si>
    <t>di Ruang Engineering</t>
  </si>
  <si>
    <t>HOT AIR GUN GHG 20 - 63 FE 0.601.2A6.2KO MERK BOSCH</t>
  </si>
  <si>
    <t>TOOLS/PSV/011/</t>
  </si>
  <si>
    <t>MAIN 10 MM &amp; MAIN 8 MM</t>
  </si>
  <si>
    <t>TOOLS/PSV/013/</t>
  </si>
  <si>
    <t xml:space="preserve">LIFT PANORAMIC 2 - Pergantian Seling di Lift </t>
  </si>
  <si>
    <t>LIGHT METER 941 (LUMEN LEX) MERK FLUKE</t>
  </si>
  <si>
    <t>TOOLS/PSV/014/</t>
  </si>
  <si>
    <t>POMPA CENTRIFUGAL EBARA 80 X 65 FSG</t>
  </si>
  <si>
    <t>TOOLS/PSV/015/</t>
  </si>
  <si>
    <t>di Ruang Pompa</t>
  </si>
  <si>
    <t>TOOLS/PSV/016/</t>
  </si>
  <si>
    <t>di Area LG Karyawan</t>
  </si>
  <si>
    <t>POMPA CELUP 1,5 KW FN - 32U 2HP 1 PHASE</t>
  </si>
  <si>
    <t>TOOLS/PSV/018/</t>
  </si>
  <si>
    <t>di Rooftank</t>
  </si>
  <si>
    <t>REPAIR MOTOR BLOWER 3 PHASE 14.1A 10HP 4 POLE 7,5 KW RPM 1450 TECO (H41540314029)
REPAIR MOTOR BLOWER 3 PHASE 14.1A 10 HP 4 POLE 7,5 KW RPM 1450 TECO (H4154314002)</t>
  </si>
  <si>
    <t>TOOLS/PSV/019/</t>
  </si>
  <si>
    <t>DI STP</t>
  </si>
  <si>
    <t>GULUNG DYNAMO MOTOR AHU 3 PHASE 11 KW MER TECO (NO SER : H6144016</t>
  </si>
  <si>
    <t>TOOLS/PSV/017/</t>
  </si>
  <si>
    <t>MESIN IMPACT WRENCH (PEMBUKA BAUT MUR) MERK MAKITA (TW 0350)M 12,7 MM -220/230V - 1,8 A - 50/60HZ 400 W</t>
  </si>
  <si>
    <t>TOOLS/PSV/020/</t>
  </si>
  <si>
    <t>TOOLS/PSV/021/</t>
  </si>
  <si>
    <t>POMPA CENTRIFUGAL EBARA UK. 65x50 + POMPA CENTRIFUGAL EBARA UK. 50x40</t>
  </si>
  <si>
    <t>TOOLS/PSV/022/</t>
  </si>
  <si>
    <t>TESTO (THERMAL IMAGER) TESTO TYPE 883</t>
  </si>
  <si>
    <t>TOOLS/PSV/023/</t>
  </si>
  <si>
    <t>TOOL CART 300 KG PNEUMATIC TYRE (MODEL NO: PRTM30, DIAMMETER: 1382 X 615 X 1140)</t>
  </si>
  <si>
    <t>TOOLS/PSV/026/</t>
  </si>
  <si>
    <t xml:space="preserve">TOOLS SET TEKIRO 120 PCS KUNCI SOK SET TEKIRO RING PAS SET </t>
  </si>
  <si>
    <t>TOOLS/PSV/025/</t>
  </si>
  <si>
    <t>POMPA EBARA TYPE CDX/E120/12 - 380 VOLT - 3PHASE - 4,5A</t>
  </si>
  <si>
    <t>INVT/PNT/336/</t>
  </si>
  <si>
    <t>1 Unit Jet Washer</t>
  </si>
  <si>
    <t>INVT/PNT/175/</t>
  </si>
  <si>
    <t>Alat Cuci AC di Ruang Engineering</t>
  </si>
  <si>
    <t>CONDENSOR CAPACITY 60 PK (1 OUTDOOR = 2 CONDENSOR = 4 COMPRESSOR SYSTEM TANDEM (2X15PK)X2(MERK TRANE)</t>
  </si>
  <si>
    <t>INVT/PNT/427/</t>
  </si>
  <si>
    <t>PENGGANTIAN CONDENSOR OUTDOOR AC HYPERMART YANG BOCOR KARNA KEROPOS KOROSI</t>
  </si>
  <si>
    <t>MESIN PEMBERSIH PIPA ELECTRIC ( DRAIN CLEANER 30 METER WIPRO W7062 )</t>
  </si>
  <si>
    <t>INVT/PNT/294/</t>
  </si>
  <si>
    <t>INVT/PNT/284/</t>
  </si>
  <si>
    <t>Ruang Mother Room LG  SF</t>
  </si>
  <si>
    <t>MESIN BUBUT - MINI LATHE WOOD WORKING DIY 550W</t>
  </si>
  <si>
    <t>INVT/PNT/362/</t>
  </si>
  <si>
    <t>Pentacity Store P5</t>
  </si>
  <si>
    <t>ESCALATOR CHAIN SMS 884884 STEP CHAIN 2 CHAIN 30 LINKS PER CHAIN</t>
  </si>
  <si>
    <t>INVT/PNT/355/</t>
  </si>
  <si>
    <t>Pentacity Skybridge Ewalk-Penta</t>
  </si>
  <si>
    <t>POMPA FILTER STP (PEDROLLO) PUMP HFM 5AM</t>
  </si>
  <si>
    <t>TOOLS/PSV/012/</t>
  </si>
  <si>
    <t>MOTOR BLOWER + ROOTS 3 PHASE 14.1A 10HP 4POLE 7.5KW RPM 1450 TECO</t>
  </si>
  <si>
    <t>INVT/PNT/356/</t>
  </si>
  <si>
    <t>STP Penta</t>
  </si>
  <si>
    <t>Pohon Natal</t>
  </si>
  <si>
    <t>INVT190044/</t>
  </si>
  <si>
    <t>Event &amp; Promo</t>
  </si>
  <si>
    <t>Gudang Promo P5</t>
  </si>
  <si>
    <t>PRINTER EPSON L1800 A3+</t>
  </si>
  <si>
    <t>INVT/PNT/205/</t>
  </si>
  <si>
    <t>PROMO DESAIN</t>
  </si>
  <si>
    <t>KURSI SUSUN TYPE ERGNAGATO</t>
  </si>
  <si>
    <t>INVT/PNT/215/</t>
  </si>
  <si>
    <t>POHON NATAL UK 480 CM</t>
  </si>
  <si>
    <t>INVT/PNT/231/</t>
  </si>
  <si>
    <t>di Gudang Promo</t>
  </si>
  <si>
    <t>INVT/PNT/277/</t>
  </si>
  <si>
    <t>Ruang SPV Promosi</t>
  </si>
  <si>
    <t>VACUUM CLEANER KRISBOW KW1800306@15 LITER</t>
  </si>
  <si>
    <t>INVT/PNT/322/</t>
  </si>
  <si>
    <t>Promosi</t>
  </si>
  <si>
    <t>POWER SUPPLY SOUND JB0615G027</t>
  </si>
  <si>
    <t>INVT/PNT/226/</t>
  </si>
  <si>
    <t>Atrium Mall Penta</t>
  </si>
  <si>
    <t>Lisensi Accurate Accounting</t>
  </si>
  <si>
    <t>INVT190003/</t>
  </si>
  <si>
    <t>FA</t>
  </si>
  <si>
    <t>LAPTOP HP 14S - DQ5001TU ( INTEL I5 / RAM 8GB / SSD 512</t>
  </si>
  <si>
    <t>INVT/PNT/237/</t>
  </si>
  <si>
    <t>Ruang Pak Handrian PAM Tower</t>
  </si>
  <si>
    <t xml:space="preserve">AC 2PK ( INDOOR + OUTDOOR ) MERK AKARI </t>
  </si>
  <si>
    <t>INVT/PNT/238/</t>
  </si>
  <si>
    <t>Pindah ke Ruby</t>
  </si>
  <si>
    <t>LISENSI SISTEM ACCURATE ACCOUNTING</t>
  </si>
  <si>
    <t>INVT/PNT/241/</t>
  </si>
  <si>
    <t>Komputer Finance P5</t>
  </si>
  <si>
    <t>INVT/PNT/256/</t>
  </si>
  <si>
    <t>INVT/PNT/448/</t>
  </si>
  <si>
    <t>UNTUK KEPERLUAN PEKERJAAN SPV FINANCE BU MILKA</t>
  </si>
  <si>
    <t>POHON BERINGIN LATEK UK. 2 METER</t>
  </si>
  <si>
    <t>INVT/PNT/279/</t>
  </si>
  <si>
    <t xml:space="preserve">Foodcourt </t>
  </si>
  <si>
    <t>INVT/PNT/276/</t>
  </si>
  <si>
    <t>GM</t>
  </si>
  <si>
    <t>Ruang GM Pengelola</t>
  </si>
  <si>
    <t>PRESIDENT 9103 DIRECTOR CHAIR BROWN</t>
  </si>
  <si>
    <t>INVT/PNT/429/</t>
  </si>
  <si>
    <t>UNTUK KURSI KERJA GENERAL MANAGER</t>
  </si>
  <si>
    <t>MINI PC INTEL NUC NUC10I3FNH KIT BAREBONE - CORE I3 10110U</t>
  </si>
  <si>
    <t>INVT/PNT/439/</t>
  </si>
  <si>
    <t xml:space="preserve"> MINI PC INTEL NUC NUC10I3FNH KIT BAREBONE - CORE I3 10110U   - UNTUK KEPERLUAN HOME WORKING PAK ALDY </t>
  </si>
  <si>
    <t>FRAME FOTO DIGITAL 14 INCH</t>
  </si>
  <si>
    <t>INVT/PNT/304/</t>
  </si>
  <si>
    <t>HRD</t>
  </si>
  <si>
    <t>Tidak ada</t>
  </si>
  <si>
    <t>TOYOTA RUSH G B 2854 BYV</t>
  </si>
  <si>
    <t>KEND/PNT/002/</t>
  </si>
  <si>
    <t>HRGA</t>
  </si>
  <si>
    <t>Staff Penta</t>
  </si>
  <si>
    <t>Yamaha FreeGO KT 6439 ZV</t>
  </si>
  <si>
    <t>KEND/PNT/003/</t>
  </si>
  <si>
    <t xml:space="preserve">MACBOOK AIR 2019 </t>
  </si>
  <si>
    <t>INVT190004/</t>
  </si>
  <si>
    <t xml:space="preserve">Bpk Yudhi GM Mall Pentacity </t>
  </si>
  <si>
    <t>AC 1/2PK</t>
  </si>
  <si>
    <t>INVT/PNT/179/</t>
  </si>
  <si>
    <t>Apartement Ruby GM Ewalk  Pentacity Bpk Yudi</t>
  </si>
  <si>
    <t>INVT/PNT/219/</t>
  </si>
  <si>
    <t>UNTUK PENGGANTIAN AC YANG RUSAK DIRUANGAN HRD KANTOR PENGELOLA P5</t>
  </si>
  <si>
    <t>INVT/PNT/280/</t>
  </si>
  <si>
    <t>Ruang Store  HRD</t>
  </si>
  <si>
    <t>LEMARI ES SANKEN SKV235PABB + MICROWAVE SHARP R735MT</t>
  </si>
  <si>
    <t>INVT/PNT/417/</t>
  </si>
  <si>
    <t>UNTUK KEBUTUHAN PERLENGKAPAN PANTRY OFFICE P5</t>
  </si>
  <si>
    <t>INVT/PNT/419/</t>
  </si>
  <si>
    <t xml:space="preserve">PENGADAAN KURSI PENONTON EVENT </t>
  </si>
  <si>
    <t>INVT/PNT/420/</t>
  </si>
  <si>
    <t>PENGADAAN KURSI PENONTON EVENT</t>
  </si>
  <si>
    <t>OSCAR DESK CHAIR BLACK (1 PCS) + G ZAKI WORKING CHAIR LOW BACK BLACK (3 PCS)</t>
  </si>
  <si>
    <t>INVT/PNT/442/</t>
  </si>
  <si>
    <t>PENGGANTIAN KURSI ASMEN HRD IBU INEKE UNTUK PENGADAAN KURSI STAFF GA PENGGANTIAN KURSI FOODCOURT  PENGADAAN KURSI TDC</t>
  </si>
  <si>
    <t>MOTHERBOARD ASUS PRIME H610M, VGA MSI GTX 1650, RAM KINGSTON HYPERX, POWER SUPPLAY CORSAIR, CASING PC COLLER PLATINUM LM200, PROCESSOR INTEL CORE i3 U/ PENAMBAHAN PC LED ATRIUM GF</t>
  </si>
  <si>
    <t>INVT/PNT/260/</t>
  </si>
  <si>
    <t>IT</t>
  </si>
  <si>
    <t>CCTV MALL PENTACITY</t>
  </si>
  <si>
    <t>INVT/PNT/378/</t>
  </si>
  <si>
    <t>TV Information Board</t>
  </si>
  <si>
    <t>INVT190006/</t>
  </si>
  <si>
    <t>1 UNIT NVR 40 CH 8 SLOT HDD  TC-NR5040M7-S8, 1 UNIT NVR 40 CH 4 SLOT HDD  TC-NR5040M7-S4 &amp; 6 UNIT SWITCH HUB POE  8 PORT (UNTUK PEMASANGAN UNIT CCTV MALL PENTACITY)</t>
  </si>
  <si>
    <t>INVT200036/</t>
  </si>
  <si>
    <t>SAMSUNG TAB A7 LITE</t>
  </si>
  <si>
    <t>INVT/PNT/198/</t>
  </si>
  <si>
    <t>Kantor Pengelola</t>
  </si>
  <si>
    <t>INVT/PNT/200/</t>
  </si>
  <si>
    <t>CCTV TIANDY TC - C32XN</t>
  </si>
  <si>
    <t>INVT/PNT/209/</t>
  </si>
  <si>
    <t xml:space="preserve">KANTOR P5 PENTACITY  TR FINANCE  STORE </t>
  </si>
  <si>
    <t>1 SET CCTV INDOOR TIANDY TC - C32XN (CAMERA CCTV OUTDOOR, SWITCH, KABEL, CONNECTOR, PIPA)</t>
  </si>
  <si>
    <t>INVT/PNT/222/</t>
  </si>
  <si>
    <t>UNTUK PEMASANGAN KAMERA CCTV AREA UG KORIDOR TENANT KKV  RAMP</t>
  </si>
  <si>
    <t>2 MP PEOPLE COUNT TIANDY TC-A52P6, CCTV INDOOR TIANDY TC-C32XN, CONNECTOR RJ 45 BELDEN, BOX PANEL 40X30X20 CM, SWITCH TP-LINK 8 PORT POE TL-SG1008MP</t>
  </si>
  <si>
    <t>INVT/PNT/230/</t>
  </si>
  <si>
    <t>di Ruang IT</t>
  </si>
  <si>
    <t>MARS 4AMDL320160 5.12M X 3.04 INDOOR LED DISPLAY
MATERIAL INSTALASI LED</t>
  </si>
  <si>
    <t>INVT/PNT/234/</t>
  </si>
  <si>
    <t>INVT/PNT/251/</t>
  </si>
  <si>
    <t>MONITOR LED LG 22MP410-B 21,4 INCH FHD</t>
  </si>
  <si>
    <t>INVT/PNT/255/</t>
  </si>
  <si>
    <t>CCTV TESTER IP CAMERA CCTV TESTER 1910 PLUS</t>
  </si>
  <si>
    <t>INVT/PNT/291/</t>
  </si>
  <si>
    <t>KEYBOARD LOGITECH MX KEYS WIRELESS ILLUMINATED BLUETHOOTH MULTI DEVICE</t>
  </si>
  <si>
    <t>INVT/PNT/303/</t>
  </si>
  <si>
    <t>Pak Affan</t>
  </si>
  <si>
    <t>MOTHERBOARD ASUS PRIME B760M-A D4 &amp; SSD NVME M2 SAMSUNG 970 EVO 1 TB</t>
  </si>
  <si>
    <t>INVT/PNT/340/</t>
  </si>
  <si>
    <t>Asst. Spv Visual Merchandise</t>
  </si>
  <si>
    <t>VGA MSI RTX 3060 VENTUS 2X 12G 0C - 12GB DDR6 VGA NVIDIA GEFORCE RTX3060</t>
  </si>
  <si>
    <t>INVT/PNT/341/</t>
  </si>
  <si>
    <t>LAPTOP ASUS TUF FX507ZE - 17R5B6G - O</t>
  </si>
  <si>
    <t>INVT/PNT/342/</t>
  </si>
  <si>
    <t>PROCESSOR INTEL CORE, MEMORY KINGSTON FURY BEAST, CASING VENON RX, KEYBOARD &amp; MOUSE, MONITOR LED, POWER SUPPLY</t>
  </si>
  <si>
    <t>INVT/PNT/343/</t>
  </si>
  <si>
    <t>MONITOR LED LG 20MK400H - HDMI</t>
  </si>
  <si>
    <t>INVT/PNT/344/</t>
  </si>
  <si>
    <t>MINI PC INTEL NUC 1013FNH KIT BAREBONE - CORE I3 1011OU</t>
  </si>
  <si>
    <t>INVT/PNT/345/</t>
  </si>
  <si>
    <t>TYPE SOLUTION C3 - RFID CARD 125HZ</t>
  </si>
  <si>
    <t>INVT/PNT/367/</t>
  </si>
  <si>
    <t xml:space="preserve"> TYPE SOLUTION C3 - RFID CARD 125HZ  - UNTUK PEMASANGAN UNIT ACCESS DOOR DI KANTOR TR P5 BESERTA JASA PEMASANGAN</t>
  </si>
  <si>
    <t>INVT/PNT/369/</t>
  </si>
  <si>
    <t xml:space="preserve"> TYPE SOLUTION C3 - RFID CARD 125HZ   - UNTUK PENGGANTIAN MESIN ACCESS DOOR YANG LAMA KANTOR P5</t>
  </si>
  <si>
    <t>SYNOLOGY DS423+ 4 BAY SERVER STORAGE CLOUD 2.0 GHZ 2GB RAM + SEAGATE IRONWOLF 10TB NAS</t>
  </si>
  <si>
    <t>INVT/PNT/370/</t>
  </si>
  <si>
    <t>NAM 212FL DOME &amp; NAM 218FL BULLET CAMERA IP 2MP OUTDOOR</t>
  </si>
  <si>
    <t>INVT/PNT/379/</t>
  </si>
  <si>
    <t xml:space="preserve">LG PARKIRAN MOTOR X18 </t>
  </si>
  <si>
    <t>AUTOMATIC DOOR TYPE VISIO 125 - DOUBLE SLIDING UK. L : 2770 X T : 2690 MM</t>
  </si>
  <si>
    <t>INVT/PNT/388/</t>
  </si>
  <si>
    <t xml:space="preserve">PEMASANGAN MATERIAL UNIT PINTU OTOMATIS DIAREA LG LOBBY SOLARIA </t>
  </si>
  <si>
    <t>INVT/PNT/392/</t>
  </si>
  <si>
    <t xml:space="preserve">UNTUK PEMASANGAN PENAMBAHAN KAMERA DI AREA SF HUB </t>
  </si>
  <si>
    <t xml:space="preserve">LAPTOP ASUS VIVOBOOK 14 A1404 </t>
  </si>
  <si>
    <t>INVT/PNT/393/</t>
  </si>
  <si>
    <t xml:space="preserve">UNTUK KEBUTUHAN PEKERJAAN MANAGER HRGA DAN PROMO PAK REZA DAN PAK YUSHAR </t>
  </si>
  <si>
    <t>User Pak Reza</t>
  </si>
  <si>
    <t>INVT/PNT/394/</t>
  </si>
  <si>
    <t>APPLE IPAD PRO M2 - 11INCH / WIFI ONLY / 256GB / SPACE GREY</t>
  </si>
  <si>
    <t>INVT/PNT/399/</t>
  </si>
  <si>
    <t>UNTUK KEPERLUAN PEKERJAAN MANAGER IT BPK AFFAN</t>
  </si>
  <si>
    <t>APPLE IPAD 9 - 10.2INCH / WIFI / 64GB /
SPACE GREY</t>
  </si>
  <si>
    <t>INVT/PNT/400/</t>
  </si>
  <si>
    <t xml:space="preserve">UNTUK KEPERLUAN PEKERJAAN DIVISI MARKETING 1 Unit DAN LOYALTY PROGRAM 2 Unit </t>
  </si>
  <si>
    <t>INVT/PNT/401/</t>
  </si>
  <si>
    <t xml:space="preserve">UNTUK PEMASANGAN DI KANTOR OPRASIONAL  UNTUK KEBUTUHAN 1 KERJA MANAGER HRD  PAK REZA  </t>
  </si>
  <si>
    <t>GOOJODOQ 4TH GEN MAGIC KEYBOARD FOR IPAD PRO 11 M2 10.9 INCH</t>
  </si>
  <si>
    <t>INVT/PNT/402/</t>
  </si>
  <si>
    <t>VGA MSI RTX3060 VENTUS 2X 12G OC 12GB DDR6 NVIDIA GEFORCE</t>
  </si>
  <si>
    <t>INVT/PNT/406/</t>
  </si>
  <si>
    <t xml:space="preserve">UNTUK KEPERLUAN PEKERJAAN DGM ROCHIEM </t>
  </si>
  <si>
    <t xml:space="preserve">LAPTOP ASUS VIVOBOOK 14 E1404 </t>
  </si>
  <si>
    <t>INVT/PNT/397/</t>
  </si>
  <si>
    <t>INVT/PNT/409/</t>
  </si>
  <si>
    <t xml:space="preserve">UNTUK PEMASANGAN ACCESS POINT DI KANTOR TRTENANT RELATION DAN KANTOR OPS OPERATIONAL </t>
  </si>
  <si>
    <t>INVT/PNT/411/</t>
  </si>
  <si>
    <t>SAMPING TENANT YOSHINOYA SEBANYAK 2 TITIKDAN AREA FF TENANT FUNWORD</t>
  </si>
  <si>
    <t>INVT/PNT/412/</t>
  </si>
  <si>
    <t>REPLACE ASSET ASST MGR VM PAK HARRY LAPTOP TUF GAMING F15 DI SERAH TERIMAKAN KEPADA SPV VM PIAN</t>
  </si>
  <si>
    <t>CONNECTOR RJ 45 BELDEN, NAM-212FL DOME CAMERA IP 2MP INDOOR</t>
  </si>
  <si>
    <t>INVT/PNT/424/</t>
  </si>
  <si>
    <t>SAMSUNG GALAXY TAB S9 FE 6/128 GB 5G</t>
  </si>
  <si>
    <t>INVT/PNT/428/</t>
  </si>
  <si>
    <t xml:space="preserve">UNTUK KEPERLUAN PEKERJAAN TDC  MAS LUKMAN  </t>
  </si>
  <si>
    <t>APPLE IPHONE 15 PRO MAX 256GB NATURAL TITANIUM</t>
  </si>
  <si>
    <t>INVT/PNT/433/</t>
  </si>
  <si>
    <t>APPLE IPHONE 15 PRO MAX 256GB NATURAL TITANIUM - UNTUK KEPERLUAN PEKERJAAN DGM</t>
  </si>
  <si>
    <t>INVT/PNT/451/</t>
  </si>
  <si>
    <t>PEMASANGAN DI RUANGAN GM BPK ALFIALDY</t>
  </si>
  <si>
    <t>NVR NAM R32-S2 ( 32 CHANEL )</t>
  </si>
  <si>
    <t>INVT/PNT/462/</t>
  </si>
  <si>
    <t xml:space="preserve">UNTUK MENGGANTI NVR CCTV DI OFFICE P5 </t>
  </si>
  <si>
    <t>INVT/PNT/461/</t>
  </si>
  <si>
    <t xml:space="preserve">UNTUK PENAMBAHAN ACCESS DOOR DALAM - PINTU KELUAR OFFICE P5 </t>
  </si>
  <si>
    <t>HYDRANT BOX TYPE B UK 125 CM X 75 CM X 18 CM</t>
  </si>
  <si>
    <t>INVT/PNT/218/</t>
  </si>
  <si>
    <t>K3</t>
  </si>
  <si>
    <t>AREA P4 DEPAN MUSHOLLA AXECUTIVE DAN BASAMENT PARKIR MOTOR ATAS PILAR Y20</t>
  </si>
  <si>
    <t>DIFFUSER - BASIC PLUS PACKAGE + STATER KIT</t>
  </si>
  <si>
    <t>INVT/PNT/302/</t>
  </si>
  <si>
    <t>Loyalty Program</t>
  </si>
  <si>
    <t>Costumer Lounge</t>
  </si>
  <si>
    <t>DISPENSER SANKEN HWD - C5201C ( GALON BAWAH )</t>
  </si>
  <si>
    <t>INVT/PNT/245/</t>
  </si>
  <si>
    <t>ACCESS POINT TP-LINK EAP110 WIRELESS</t>
  </si>
  <si>
    <t>INVT/PNT/254/</t>
  </si>
  <si>
    <t>KURSI SUSUN (BUSA STANDART) PRIMER TYPE KS-01</t>
  </si>
  <si>
    <t>INVT/PNT/257/</t>
  </si>
  <si>
    <t>Ruang Meeting P5, RFID</t>
  </si>
  <si>
    <t xml:space="preserve">COVER HITAM </t>
  </si>
  <si>
    <t>INVT/PNT/262/</t>
  </si>
  <si>
    <t>GA</t>
  </si>
  <si>
    <t>BARCODE SCANNER DATALOGIC QD2590 2D/1D</t>
  </si>
  <si>
    <t>INVT/PNT/248/</t>
  </si>
  <si>
    <t>IBM BANQUET HOTEL</t>
  </si>
  <si>
    <t>INVT/PNT/250/</t>
  </si>
  <si>
    <t>GA, Lantai SF, RFID</t>
  </si>
  <si>
    <t>ASHLEY TARRIN SET MEJA TAMU &amp; SISI - HITAM</t>
  </si>
  <si>
    <t>INVT/PNT/266/</t>
  </si>
  <si>
    <t>Depan Ruang Meeting, RFID</t>
  </si>
  <si>
    <t>MEJA MEETING UK. TEBAL 30 MM X PANJANG 240 X LEBAR 120</t>
  </si>
  <si>
    <t>INVT/PNT/269/</t>
  </si>
  <si>
    <t>Ruang Meeting, RFID</t>
  </si>
  <si>
    <t>LAYAR PROJECTOR SCREEN PROJECTOR GANTUNGAN 96 INCH</t>
  </si>
  <si>
    <t>INVT/PNT/278/</t>
  </si>
  <si>
    <t>RFID, Gudang IT P5</t>
  </si>
  <si>
    <t>PALM HIAS + POT</t>
  </si>
  <si>
    <t>INVT/PNT/283/</t>
  </si>
  <si>
    <t>Depan Masjid P4, RFID</t>
  </si>
  <si>
    <t xml:space="preserve">OFFICE CHAIR BLACK + EXC CHAIR </t>
  </si>
  <si>
    <t>INVT/PNT/308/</t>
  </si>
  <si>
    <t>Staff Customer Lounge</t>
  </si>
  <si>
    <t>MEJA COWORKING SPACE UK. 140 X 75 CM ( 1 SET UNTUK 6 SEKAT MEJA )</t>
  </si>
  <si>
    <t>INVT/PNT/315/</t>
  </si>
  <si>
    <t>KURIS KERJA STAFF</t>
  </si>
  <si>
    <t>INVT/PNT/327/</t>
  </si>
  <si>
    <t>Customer Lounge</t>
  </si>
  <si>
    <t>KURSI PIJAT PERFECT HEALTH</t>
  </si>
  <si>
    <t>INVT/PNT/330/</t>
  </si>
  <si>
    <t>RUANG GM &amp; CL, RFID</t>
  </si>
  <si>
    <t>ACCESS POINT TP-LINK EAP653 AX3000</t>
  </si>
  <si>
    <t>INVT/PNT/346/</t>
  </si>
  <si>
    <t>DIGITAL MIXER AMPLIFIER TOA ZA - 3224DM</t>
  </si>
  <si>
    <t>INVT/PNT/359/</t>
  </si>
  <si>
    <t>SOFA MONTE (2-1-1) BLACK MYO SET &amp; LILAC MYO SET</t>
  </si>
  <si>
    <t>INVT/PNT/381/</t>
  </si>
  <si>
    <t>SOFA MONTE 2-1-1 BLACK MYO SET  LILAC MYO SET - DI CUSTOMER LOUNGE</t>
  </si>
  <si>
    <t>SET SOFA HITAM</t>
  </si>
  <si>
    <t>INVT/PNT/383/</t>
  </si>
  <si>
    <t>SOFA - DI CUSTOMER LOUNGE</t>
  </si>
  <si>
    <t>LEMARI ARSIP BESI 4 PINTU</t>
  </si>
  <si>
    <t>INVT/PNT/418/</t>
  </si>
  <si>
    <t>UNTUK KEPERLUAN BERKAS DAN HADIAH - HADIAH ADMINISTRASI LP  SPONSORSHIP  ESTIMASI TGL 20 JULI 2024  DI CUSTOMER LOUNGE</t>
  </si>
  <si>
    <t>SPEAKER TOA ZS-BS301B SATELLITE SYSTEM &amp; AMPLIFIER TOA ZA-3224DM-AS DIGITAL MIXER</t>
  </si>
  <si>
    <t>INVT/PNT/243/</t>
  </si>
  <si>
    <t>Lounge Mall</t>
  </si>
  <si>
    <t>INVT/PNT/449/</t>
  </si>
  <si>
    <t>UNTUK KEPERLUAN PEKERJAAN ASST MGR LOYALTY PROGRAM NANCY OLIVIA KOMALIG</t>
  </si>
  <si>
    <t>Mutasi ke Solih FA</t>
  </si>
  <si>
    <t>TV LED SAMSUNG 49 INCH &amp; HANGING TV  LED</t>
  </si>
  <si>
    <t>INVT190027/</t>
  </si>
  <si>
    <t>Ruang Meeting Lounge Pentacity</t>
  </si>
  <si>
    <t>PEMANAS KOPI COFFEE WARMER GETRA PREMIUM, COFFEE DECANTER 1.8 LTR / TEKO PENGHANGAT KOPI &amp; TEH</t>
  </si>
  <si>
    <t>INVT/PNT/261/</t>
  </si>
  <si>
    <t>CS Lounge Mall</t>
  </si>
  <si>
    <t>HAND DRYER CLEAN DRY TOTO MODEL TYC322W</t>
  </si>
  <si>
    <t>INVT/PNT/206/</t>
  </si>
  <si>
    <t>Operasional</t>
  </si>
  <si>
    <t>DI TOILET SF PRIA MALL PENTACITY</t>
  </si>
  <si>
    <t>INVT/PNT/223/</t>
  </si>
  <si>
    <t>DI TOILET PRIA LG SAMPING TENANT HYPERMART</t>
  </si>
  <si>
    <t>HAND DRYER CLEAN DRY TOTO  MODEL : TYC322W</t>
  </si>
  <si>
    <t>INVT/PNT/224/</t>
  </si>
  <si>
    <t>Foodcourt Wanita</t>
  </si>
  <si>
    <t xml:space="preserve">ECHO WASHER W/ BIDET FUNCTION (SOFT CLOSING) TOTO TCW08S (WHITE) </t>
  </si>
  <si>
    <t>INVT/PNT/296/</t>
  </si>
  <si>
    <t>Toilet Pentacity</t>
  </si>
  <si>
    <t>LAPTOP ASUS VIVOBOOK 14 A1405ZA</t>
  </si>
  <si>
    <t>INVT/PNT/352/</t>
  </si>
  <si>
    <t>Ibu Ayu</t>
  </si>
  <si>
    <t>INVT/PNT/375/</t>
  </si>
  <si>
    <t xml:space="preserve">UNTUK PENGGANTIAN UNIT YANG RUSAK DI TOILET PRIA LG  SAMPING HYPERMART  </t>
  </si>
  <si>
    <t>INVT/PNT/376/</t>
  </si>
  <si>
    <t>UNTUK PENGGANTIAN UNIT YANG RUSAK DI TOILET LG WANITA SOLARIA DAN GF PRIA GUARDIAN</t>
  </si>
  <si>
    <t>RADIO HT HYTERA TC-518 UHF 350 MHZ</t>
  </si>
  <si>
    <t>INVT/PNT/386/</t>
  </si>
  <si>
    <t xml:space="preserve">UNTUK KEPERLUAN PENGGANTIAN HT YANG RUSAK OPERASIONAL COMMAND CENTER </t>
  </si>
  <si>
    <t>INVT/PNT/407/</t>
  </si>
  <si>
    <t>INVT/PNT/455/</t>
  </si>
  <si>
    <t xml:space="preserve"> UNTUK PERGANTIAN HAND DRYER TOILET PRIA LANTAI FF MALL PENTACITY </t>
  </si>
  <si>
    <t>HARIS TASK DESK 120 + DRAWER</t>
  </si>
  <si>
    <t>INVT/PNT/454/</t>
  </si>
  <si>
    <t>UNTUK KEBUTUHAN CS  PENGGANTIAN MEJA OPERASIONAL A/N BPKFAJAR UNTUK KEBUTUHAN CSTDC</t>
  </si>
  <si>
    <t>Meja HRGA 2 Unit Murano</t>
  </si>
  <si>
    <t>Termometer</t>
  </si>
  <si>
    <t>INVT200025/</t>
  </si>
  <si>
    <t>UNTUK KEPERLUAN OPERSIONAL MALL PENTACITY SESUAI IOM</t>
  </si>
  <si>
    <t>Tempat Sampah 3 in 1</t>
  </si>
  <si>
    <t>INVT/PNT/181/</t>
  </si>
  <si>
    <t>OPS</t>
  </si>
  <si>
    <t>AC 1PK (INDOOR + OUTDOOR) MERK AKARI</t>
  </si>
  <si>
    <t>INVT/PNT/337/</t>
  </si>
  <si>
    <t>Purchasing &amp; Store</t>
  </si>
  <si>
    <t>Mba Mega</t>
  </si>
  <si>
    <t>INVT/PNT/366/</t>
  </si>
  <si>
    <t xml:space="preserve"> LAPTOP ASUS VIVOBOOK 14 A1405ZA  - UNTUK KEBUTUHAN PEKERJAAN MANAGER STORE DAN PURCHASING BU ANGEL</t>
  </si>
  <si>
    <t>MESIN INJEKSI BETON M 12 DUTEC + PARKER INJEKSI MERK DUTEC UK B8 : 80MM X 8MM</t>
  </si>
  <si>
    <t>INVT/PNT/358/</t>
  </si>
  <si>
    <t>Sipil</t>
  </si>
  <si>
    <t>TANGGA LIPAT ALUMUNIUM MULTI FUNGSI KRISBOW UK. PANJANG TANGGA LURUS 3,8 M</t>
  </si>
  <si>
    <t>INVT/PNT/384/</t>
  </si>
  <si>
    <t>UNTUK PENAMBAHAN ALAT-ALAT KERJA SIPIL</t>
  </si>
  <si>
    <t>TROLLEY TOOL CART PNEUMATIC TYRE 300KG KRISBOW 10106917,</t>
  </si>
  <si>
    <t>INVT/PNT/385/</t>
  </si>
  <si>
    <t>TRAY TOOL TROLLEY (FLAT PACK) SEN5944030K SENATOR</t>
  </si>
  <si>
    <t>INVT/PNT/391/</t>
  </si>
  <si>
    <t>BOR BATERAI BOSCH BRUSHLESS DRILL DRIVER 18V GSR 185-LI GSR185LI</t>
  </si>
  <si>
    <t>INVT/PNT/398/</t>
  </si>
  <si>
    <t>BOR PENGHANCUR BETON / JACK HAMMER W 6165 WIPRO</t>
  </si>
  <si>
    <t>INVT/PNT/443/</t>
  </si>
  <si>
    <t xml:space="preserve">UNTUK ALAT KERJA SIPIL PEKERJAAN BOBOK LANTAI AREA FF  TENANT GUARDIAN SPILLA JEWELLERY DAN HEY LOCAL </t>
  </si>
  <si>
    <t>KRISBOW HAND PALLET 2 TON 550 X 1150 MM W/PU</t>
  </si>
  <si>
    <t>INVT/PNT/447/</t>
  </si>
  <si>
    <t>UNTUK KEPERLUAN PENAMBAHAN ALAT KERJA SIPIL DEADLINE TGL 19 NOVEMBER 2024</t>
  </si>
  <si>
    <t>TANGGA LIPAT FIBER GLASS 12 STEP 3,6 METER</t>
  </si>
  <si>
    <t>INVT/PNT/463/</t>
  </si>
  <si>
    <t xml:space="preserve">UNTUK PENAMBAHAN ALAT KERJA SIPIL </t>
  </si>
  <si>
    <t>INVT/PNT/460/</t>
  </si>
  <si>
    <t xml:space="preserve">UNTUK KEBUTUHAN PEKERJAAN ASST MGR BUILDING MAINTENANCE  BPK ACHMAD JAKFAR  </t>
  </si>
  <si>
    <t>INVT/PNT/286/</t>
  </si>
  <si>
    <t>TR</t>
  </si>
  <si>
    <t>Ruangan TR/TDC Pentacity</t>
  </si>
  <si>
    <t>MEJA KACA HAZEL DESK GLASS BLACK</t>
  </si>
  <si>
    <t>INVT/PNT/289/</t>
  </si>
  <si>
    <t>LAPTOP ASUS VIVOBOOK14 A1405ZA</t>
  </si>
  <si>
    <t>INVT/PNT/328/</t>
  </si>
  <si>
    <t>Ibu Amel</t>
  </si>
  <si>
    <t>INVT/PNT/357/</t>
  </si>
  <si>
    <t>Manager TR</t>
  </si>
  <si>
    <t>INVT/PNT/325/</t>
  </si>
  <si>
    <t xml:space="preserve">TR </t>
  </si>
  <si>
    <t>Rahma</t>
  </si>
  <si>
    <t>INVT/PNT/396/</t>
  </si>
  <si>
    <t>UNTUK KEPERLUAN PEKERJAAN SPV TR PENTACITY PAK HARI DARMAWAN</t>
  </si>
  <si>
    <t xml:space="preserve">WATER HEATER ARISTON STAR N 15R 350W </t>
  </si>
  <si>
    <t>INVT/PNT/421/</t>
  </si>
  <si>
    <t>VM</t>
  </si>
  <si>
    <t>UNTUK KEPERLUAN APARTEMENT BAPAK HARRY NUGRAHA - ASMEN VM</t>
  </si>
  <si>
    <t>MESIN BOR BOSCH GSB 18V - 50 + BATERAI CORDLESS DRILL BRUSHLESS</t>
  </si>
  <si>
    <t>INVT/PNT/431/</t>
  </si>
  <si>
    <t>UNTUK MELENGKAPI KEBUTUHAN PERALATAN KERJA TIM VM</t>
  </si>
  <si>
    <t>MESIN PEMOTONG STYROFOAM (1 SET)</t>
  </si>
  <si>
    <t>INVT/PNT/432/</t>
  </si>
  <si>
    <t>CLEAN CUT JINGSAW MACHINE M 4302B + MESIN AMPLAS FINISHING SANDER BO 4556 (1 SET)</t>
  </si>
  <si>
    <t>INVT/PNT/444/</t>
  </si>
  <si>
    <t xml:space="preserve">UNTUK KEBUTUHAN PERLENGKAPAN ALAT KERJA TIM VM  NOTE : BARANG SUDAH DIBELI  SUDAH DI AMBIL TEAM VM  </t>
  </si>
  <si>
    <t>Rusak</t>
  </si>
  <si>
    <t>MESIN BOR BATERAI MAKITA DF 333 DWYE</t>
  </si>
  <si>
    <t>INVT/EWK/417/</t>
  </si>
  <si>
    <t>UNTUK KEPERLUAN METERIAL DEKORASI EVENT IMLEK 2024 EWALK DAN PENTACITY</t>
  </si>
  <si>
    <t>APPLE M3 CHIP (CPU 8-CORE, GPU 8- CORE) 24-INCH IMAC WITH RETINA 4.5K DISPLAY M3</t>
  </si>
  <si>
    <t>INVT/PNT/422/</t>
  </si>
  <si>
    <t>DIRUT</t>
  </si>
  <si>
    <t>UNTUK REPLACE IMAC PAK DANIEL WIRAWAN OUTDATED</t>
  </si>
  <si>
    <t>MACBOOK PRO M1 (2020) 8GB RAM, 256GB SSD</t>
  </si>
  <si>
    <t>INVT/PNT/236/</t>
  </si>
  <si>
    <t>Kantor Pengelola P5</t>
  </si>
  <si>
    <t>Pak Yudhi</t>
  </si>
  <si>
    <t>KEPALA VELOCILAPTOR UK 100x35x35 CM + MURAL KANDANG UK 200x150x180 CM</t>
  </si>
  <si>
    <t>INVT/PNT/298/</t>
  </si>
  <si>
    <t>KURSI KERJA STAFF</t>
  </si>
  <si>
    <t>INVT/PNT/310/</t>
  </si>
  <si>
    <t>Staff Pengelola</t>
  </si>
  <si>
    <t>INVT/PNT/360/</t>
  </si>
  <si>
    <t>Yan &amp; Pak Alvret</t>
  </si>
  <si>
    <t>BOOTH-FOODSTALL UK 4 X 2,5 X 3,05 M
BOOTH-FOODSTALL UK 4 X 2,X 3,05 M</t>
  </si>
  <si>
    <t>INVT/PNT/194/</t>
  </si>
  <si>
    <t>LG Mall Penta</t>
  </si>
  <si>
    <t>BOOTH UK 24,65M X 4,00M X 0,15 M, VOLUME : 98,6 
SEKAT PARTISI UK 7,15 M X 0,4 M X 1,20 M VOLUME 8,58
SEKAT PARTISI 4,00 M X 0,4 M X 1,20 M VOLUME : 4,8</t>
  </si>
  <si>
    <t>INVT/PNT/233/</t>
  </si>
  <si>
    <t>AC 1 PK (INDOOR + OUTDOOR) MERK AKARI, PIPA AC 1 PK INVERTER 1/4 X 3/8 INCH HD, DUCT TAPE NON LEM</t>
  </si>
  <si>
    <t>INVT/PNT/314/</t>
  </si>
  <si>
    <t>Lift BSB Pantai</t>
  </si>
  <si>
    <t>BSB Pantai</t>
  </si>
  <si>
    <t xml:space="preserve">AC 2PK MERK AKARI (INDOOR + OUTDOOR) </t>
  </si>
  <si>
    <t>INVT/PNT/339/</t>
  </si>
  <si>
    <t>Masjid P4</t>
  </si>
  <si>
    <t>Masjid</t>
  </si>
  <si>
    <t>INVT/PNT/216/</t>
  </si>
  <si>
    <t>Mess</t>
  </si>
  <si>
    <t>UNTUK PENGGANTIAN AC DI MESS KAMAR 101 A/N DONALD</t>
  </si>
  <si>
    <t>1 UNITAC 5 PK (INDOOR + OUTDOOR) STANDING MERK AKARI UNTUK PENGERJAAN PEMASANGAN AC STANDING DI AREA MUSHOLLA EXECUTIVE P4 ( URGENT )</t>
  </si>
  <si>
    <t>INVT/PNT/196/</t>
  </si>
  <si>
    <t xml:space="preserve">MUSHOLLA EXECUTIVE P4 </t>
  </si>
  <si>
    <t>2 UNITAC 5 PK (INDOOR + OUTDOOR) STANDING MERK AKARI UNTUK PENGERJAAN PEMASANGAN AC STANDING DI AREA MUSHOLLA EXECUTIVE P4 ( URGENT )</t>
  </si>
  <si>
    <t>INVT/PNT/197/</t>
  </si>
  <si>
    <t>INVT/PNT/313/</t>
  </si>
  <si>
    <t>PAM Tower Lt10</t>
  </si>
  <si>
    <t>Riena</t>
  </si>
  <si>
    <t>LAPTOP LENOVO V14 G2, ALC RYZEN 3, RAM 4GB, SSD 256GB</t>
  </si>
  <si>
    <t>INVT/PNT/292/</t>
  </si>
  <si>
    <t>Pam Tower Lt3</t>
  </si>
  <si>
    <t>Richard</t>
  </si>
  <si>
    <t>INVT/PNT/300/</t>
  </si>
  <si>
    <t>PAM Tower Lt3</t>
  </si>
  <si>
    <t>INVT200002/</t>
  </si>
  <si>
    <t>Parkiran P5</t>
  </si>
  <si>
    <t>Mini Portable Shop I</t>
  </si>
  <si>
    <t>INVT200003/</t>
  </si>
  <si>
    <t>LEMARI FILE ODNER 4 SUSUN</t>
  </si>
  <si>
    <t>INVT/PNT/425/</t>
  </si>
  <si>
    <t>SISTEM TALENTA</t>
  </si>
  <si>
    <t>INVT/PNT/207/</t>
  </si>
  <si>
    <t>Terinventaris</t>
  </si>
  <si>
    <t>LOT KWH METER EDMI MKSN</t>
  </si>
  <si>
    <t>INVT200024/</t>
  </si>
  <si>
    <t>untuk ASTARA</t>
  </si>
  <si>
    <t>BOOTH SNACKCORNER 320 X 225 X 300 CM</t>
  </si>
  <si>
    <t>INVT/PNT/195/</t>
  </si>
  <si>
    <t>UNTUK KEBUTUHAN BOBABITS</t>
  </si>
  <si>
    <t>LOCAL HUB LT. FF</t>
  </si>
  <si>
    <t>INVT/PNT/395/</t>
  </si>
  <si>
    <t xml:space="preserve">BDP LOCAL HUB DI LT FF </t>
  </si>
  <si>
    <t>MIC QA ELECTRONICS BY RDW SERI HMD46PRO</t>
  </si>
  <si>
    <t>INVT/PNT/348/</t>
  </si>
  <si>
    <t>Gudang Ewalk</t>
  </si>
  <si>
    <t>TANG AMPERE (FLUKE - 376) TRUE RMS AC/DC/ CLAMP METER</t>
  </si>
  <si>
    <t>INVT/PNT/408/</t>
  </si>
  <si>
    <t xml:space="preserve">UNTUK KEPERLUAN TR/TDC
</t>
  </si>
  <si>
    <t>HILANG</t>
  </si>
  <si>
    <t>MESIN GERGAJI POTONG KAYU TABLE 8 INCH M-608</t>
  </si>
  <si>
    <t>INVT/PNT/435/</t>
  </si>
  <si>
    <t xml:space="preserve"> MESIN GERGAJI POTONG KAYU TABLE 8 INCH M-608  - UNTUK KEBUTUHAN PERLENGKAPAN ALAT KERJA TIM VM </t>
  </si>
  <si>
    <t>Register</t>
  </si>
  <si>
    <t>KOMPOR LISTRIK ( KRIS KOMPOR INDUKSI 2 TUNGKU 3500 WATT</t>
  </si>
  <si>
    <t>INVT/PNT/426/</t>
  </si>
  <si>
    <t>UNTUK KEPERLUAN OPERASIONAL FOODCOURT  UNTUK KEPERLUAN OFFICE FOODCOURT</t>
  </si>
  <si>
    <t>INVT/PNT/331/</t>
  </si>
  <si>
    <t>Legal</t>
  </si>
  <si>
    <r>
      <t xml:space="preserve">RFID ( </t>
    </r>
    <r>
      <rPr>
        <b/>
        <sz val="9"/>
        <color theme="1"/>
        <rFont val="Palace Script MT"/>
        <family val="4"/>
      </rPr>
      <t>√</t>
    </r>
    <r>
      <rPr>
        <b/>
        <sz val="9"/>
        <color theme="1"/>
        <rFont val="Arial Narrow"/>
        <family val="2"/>
      </rPr>
      <t xml:space="preserve"> )</t>
    </r>
  </si>
  <si>
    <t>SIGN STANDING UK. 40 CM X 134 CM</t>
  </si>
  <si>
    <t>INVT/EWK/405/</t>
  </si>
  <si>
    <t>1 unit tangga aluminium telescopic double sided LV 227 tinggi 6,2Meter</t>
  </si>
  <si>
    <t>INVT/EWK/19/12/001/</t>
  </si>
  <si>
    <t>Area Mall Ewalk</t>
  </si>
  <si>
    <t>1 Unit Ladder Multi Purpose untuk Penggantian Tangga Staff Sipil yg rusak</t>
  </si>
  <si>
    <t>INVT/EWK/212/</t>
  </si>
  <si>
    <t>SIGNAGE STANDING MONITOR</t>
  </si>
  <si>
    <t>INVT/EWK/249/</t>
  </si>
  <si>
    <t>TV SAMSUNG 50 INCH</t>
  </si>
  <si>
    <t>INVT/EWK/276/</t>
  </si>
  <si>
    <t>INVT/EWK/277/</t>
  </si>
  <si>
    <t>TV LG 32 INCH</t>
  </si>
  <si>
    <t>INVT/EWK/278/</t>
  </si>
  <si>
    <t>Pembelian handril stakable (Tiang antrian) logo e-walk krisbow untuk Keperluan Pemblokiran Di Area Mall E-Walk</t>
  </si>
  <si>
    <t>INVT/EWK/20/02/001/</t>
  </si>
  <si>
    <t>Human Claw Grabber Machine (PT.DINAMIKA JAYA INDONESIA)</t>
  </si>
  <si>
    <t>INVT/EWK/19/12/004/</t>
  </si>
  <si>
    <t>Area Mall Penta Ewalk</t>
  </si>
  <si>
    <t>Human Claw Grabber Machine (PT.SUTINDO RAYA MULIA)</t>
  </si>
  <si>
    <t>INVT/EWK/19/12/005/</t>
  </si>
  <si>
    <t>PC I3 (soundsytem panggung)</t>
  </si>
  <si>
    <t>INVT/EWK/121/</t>
  </si>
  <si>
    <t>POMPA SUMPIT EBARA 50DL 5,75 380VOLT 0,75KW 50HZ</t>
  </si>
  <si>
    <t>INVT/EWK/246/</t>
  </si>
  <si>
    <t>BASEMENT</t>
  </si>
  <si>
    <t>Pembelian pompa ebara untuk spare pompa sumpit &amp; untuk ganti pompa sumpit loading dock foodmart dan spare pompa sumpit</t>
  </si>
  <si>
    <t>INVT/EWK/20/02/002/</t>
  </si>
  <si>
    <t xml:space="preserve">BASEMENT </t>
  </si>
  <si>
    <t>INVT/EWK/244/</t>
  </si>
  <si>
    <t>BASEMENT BARAT</t>
  </si>
  <si>
    <t>POMPA SUMPIT EBARA 65 DL 51,5 1,5 KW 380VOLT</t>
  </si>
  <si>
    <t>INVT/EWK/245/</t>
  </si>
  <si>
    <t>BASEMENT EMBASSY</t>
  </si>
  <si>
    <t xml:space="preserve">1 Set computer,processor Intel Core i3 2100 3,1 Ghz, dll </t>
  </si>
  <si>
    <t>INVT/EWK/038/</t>
  </si>
  <si>
    <t>SAFWAN PR</t>
  </si>
  <si>
    <t>KAMERA FUJI XA2</t>
  </si>
  <si>
    <t>INVT/EWK/323/</t>
  </si>
  <si>
    <t>AC Split 2 PK Hitachi (Ruang Tamu)</t>
  </si>
  <si>
    <t>INVT/EWK/008/</t>
  </si>
  <si>
    <t>COMMAND CENTER</t>
  </si>
  <si>
    <t>COMMAND CENTER KANTOR OPERATION</t>
  </si>
  <si>
    <t>AC Split 2 PK Hitachi (Promosi)</t>
  </si>
  <si>
    <t>INVT/EWK/009/</t>
  </si>
  <si>
    <t>Exhaust Fan</t>
  </si>
  <si>
    <t>INVT/EWK/031/</t>
  </si>
  <si>
    <t>Ruang Command Center</t>
  </si>
  <si>
    <t>Mesin Compressor LG 1,5 PK</t>
  </si>
  <si>
    <t>INVT/EWK/033/</t>
  </si>
  <si>
    <t>Handphone sennheiser HD 249 + Handy talky motorola mag one A8</t>
  </si>
  <si>
    <t>INVT/EWK/049/</t>
  </si>
  <si>
    <t xml:space="preserve">Motherboard + Hardisk + Power supply </t>
  </si>
  <si>
    <t>INVT/EWK/062/</t>
  </si>
  <si>
    <t>Command Center Kantor Operation</t>
  </si>
  <si>
    <t>TV LG Plasma 50</t>
  </si>
  <si>
    <t>INVT/EWK/069/</t>
  </si>
  <si>
    <t>Intel core i3 socket 1156 (2) + mainboard intel socket (2) + LCD LG (2)</t>
  </si>
  <si>
    <t>INVT/EWK/091/</t>
  </si>
  <si>
    <t>DIVAR 16 Chanel (1) + Kamera CCTV (5)</t>
  </si>
  <si>
    <t>INVT/EWK/109/</t>
  </si>
  <si>
    <t>AC Split LG 2 PK (pak jaka)</t>
  </si>
  <si>
    <t>INVT/EWK/133/</t>
  </si>
  <si>
    <t>Ruang IT Command Center</t>
  </si>
  <si>
    <t>AC 2 PK 2 untuk di ruang promosi e-walk  dan untuk penggantian Ac di ruang security</t>
  </si>
  <si>
    <t>INVT/EWK/159/</t>
  </si>
  <si>
    <t>AC 1 PK</t>
  </si>
  <si>
    <t>INVT/EWK/161/</t>
  </si>
  <si>
    <t>Mesin fotocopy Bizhub 184/164 General</t>
  </si>
  <si>
    <t>INVT/EWK/165/</t>
  </si>
  <si>
    <t>unit AC akari 1 1/2 PK</t>
  </si>
  <si>
    <t>INVT/EWK/175/</t>
  </si>
  <si>
    <t>Ruang CCVT Command Center</t>
  </si>
  <si>
    <t>LUMBUNG BERKAT SEJAHTERA  1 unit UPS ICA 2000VA Replace UPS di ruang finance yang rusak (travo terbakar)</t>
  </si>
  <si>
    <t>INVT/EWK/205/</t>
  </si>
  <si>
    <t>compresor AC 2 PK</t>
  </si>
  <si>
    <t>INVT/EWK/220/</t>
  </si>
  <si>
    <t>HT Alinco DJ</t>
  </si>
  <si>
    <t>INVT/EWK/223/</t>
  </si>
  <si>
    <t>INVT/EWK/224/</t>
  </si>
  <si>
    <t>INVT/EWK/225/</t>
  </si>
  <si>
    <t>INVT/EWK/226/</t>
  </si>
  <si>
    <t>MESIN KETAM BOSH GHO</t>
  </si>
  <si>
    <t>INVT/EWK/234/</t>
  </si>
  <si>
    <t>PRINTER HP P1102</t>
  </si>
  <si>
    <t>INVT/EWK/243/</t>
  </si>
  <si>
    <t xml:space="preserve">PEMBELIAN THERMOGUN EWALK 5 UNIT </t>
  </si>
  <si>
    <t>INVT/EWK/20/03/006/</t>
  </si>
  <si>
    <t>VGA CARD MSI NVIDIA GETFORCE GTX 1650  AERO ITX 4G OC UNTUK PEMASANGAN BARU RUANG COMMAND CENTER KANTOR OPERATION</t>
  </si>
  <si>
    <t>INVT/EWK/21/01/001/</t>
  </si>
  <si>
    <t>MESIN BOBOK RYU DEMOLITION HAMMER RDH 50 JACK HAMMER</t>
  </si>
  <si>
    <t>INVT/EWK/320/</t>
  </si>
  <si>
    <t>NVR 10CH H.265 2HDD TC-R3210 TIANDY &amp; NVR 40CH H.265 4HDD TC-R3440 TIANDY</t>
  </si>
  <si>
    <t>INVT/EWK/358/</t>
  </si>
  <si>
    <t>AC AKARI 2 PK (INDOOR + OUTDOOR)</t>
  </si>
  <si>
    <t>INVT/EWK/403/</t>
  </si>
  <si>
    <t>INVT/EWK/404/</t>
  </si>
  <si>
    <t>KURSI KERJA STAFF PUTAR RODA ACTIV KENT KM 102</t>
  </si>
  <si>
    <t>INVT/EWK/416/</t>
  </si>
  <si>
    <t>UNTUK GANTI KURSI YANG RUSAK KARYAWAN ENGINEERING 2-UNTUK KURSI BARU KARYAWAN COMMAND CENTER</t>
  </si>
  <si>
    <t>TV LED LG 43 INCH</t>
  </si>
  <si>
    <t>INVT/EWK/425/</t>
  </si>
  <si>
    <t>DI RUANG COMMAND CENTER</t>
  </si>
  <si>
    <t>INVT/EWK/429/</t>
  </si>
  <si>
    <t>INVT/EWK/464/</t>
  </si>
  <si>
    <t xml:space="preserve">OPERASIONAL COMMAND CENTER </t>
  </si>
  <si>
    <t>7 unit AC LG 1 PK (Indoor + outdoor) @Rp. 3.000.000 Untuk pemasangan AC di kantor pengelola baru</t>
  </si>
  <si>
    <t>INVT/EWK/179/</t>
  </si>
  <si>
    <t>PRINTER EPSON L220</t>
  </si>
  <si>
    <t>INVT/EWK/265/</t>
  </si>
  <si>
    <t xml:space="preserve">COMMAND CENTER </t>
  </si>
  <si>
    <t>AC AKARI 1PK (INDOOR+OUTDOOR)</t>
  </si>
  <si>
    <t>INVT/EWK/273/</t>
  </si>
  <si>
    <t>FINGERPRINT SOLUTIONS X601</t>
  </si>
  <si>
    <t>INVT/EWK/274/</t>
  </si>
  <si>
    <t>Absensi Command Center</t>
  </si>
  <si>
    <t>Pembelian TV LED untuk replace TV monitor CCTV DVR 2</t>
  </si>
  <si>
    <t>INVT/EWK/20/03/004/</t>
  </si>
  <si>
    <t>INVT/EWK/327/</t>
  </si>
  <si>
    <t>UNTUK PENGGANTIAN MONITOR CCTV DI COMMAND CENTER YANG RUSAK</t>
  </si>
  <si>
    <t>Pegging / Plena Bosch</t>
  </si>
  <si>
    <t>INVT/EWK/315/</t>
  </si>
  <si>
    <t>Ganti Pegging Customer Service</t>
  </si>
  <si>
    <t>KURSI RODA MANUAL</t>
  </si>
  <si>
    <t>INVT/EWK/390/</t>
  </si>
  <si>
    <t>CS EWALK</t>
  </si>
  <si>
    <t>OSCAR DESK CHAIR BLACK (3 UNT) &amp; G ZAKI WORKING CHAIR LOW BACK BLACK (2 UNT)</t>
  </si>
  <si>
    <t>INVT/EWK/460/</t>
  </si>
  <si>
    <t>UNTUK GANTI KURSI CS EWALK 2-UNTUK GANTI KURSI OPERSIONAL</t>
  </si>
  <si>
    <t>Oscar Desk</t>
  </si>
  <si>
    <t>Kursi roda corona</t>
  </si>
  <si>
    <t>INVT/EWK/077/</t>
  </si>
  <si>
    <t xml:space="preserve">Komputer PC (4)+ Hardisk external (1) </t>
  </si>
  <si>
    <t>INVT/EWK/126/</t>
  </si>
  <si>
    <t>Computer (div admin art &amp; design)</t>
  </si>
  <si>
    <t>INVT/EWK/117/</t>
  </si>
  <si>
    <t>CUSTOMER SERVIS</t>
  </si>
  <si>
    <t>CV. ADCHA ZULKARNAEN 1 pcs Pegging / Plena Bosch S/N LBB1946/00 Untuk Tools Enginering ( Mesin Las yang lama Rusak )</t>
  </si>
  <si>
    <t>INVT/EWK/206/</t>
  </si>
  <si>
    <t>CS Mall</t>
  </si>
  <si>
    <t>Pembelian setrika uap philips Untuk Keperluan BFW Dan Grooming CS</t>
  </si>
  <si>
    <t>INVT/EWK/20/03/002/</t>
  </si>
  <si>
    <t>RUANG CS PENTA</t>
  </si>
  <si>
    <t>Mesin Work Platform 14m 200kg Double column</t>
  </si>
  <si>
    <t>MESIN/EWK/001/</t>
  </si>
  <si>
    <t>GENSET PERKIN 1500 KVA - Engine NO DGDM6008  U13659A</t>
  </si>
  <si>
    <t>MESIN/EWK/002/</t>
  </si>
  <si>
    <t>Ruangan Genset Ewalk</t>
  </si>
  <si>
    <t>POMPA SUMPIT EBARA 50 DL 5.75 380 VOLT 0.75 KW 50 HZ</t>
  </si>
  <si>
    <t>INVT/EWK/20/11/001/</t>
  </si>
  <si>
    <t>Basement</t>
  </si>
  <si>
    <t>Printer Zebra P110i</t>
  </si>
  <si>
    <t>INVT/EWK/010/</t>
  </si>
  <si>
    <t>Ruang Eng Ewalk</t>
  </si>
  <si>
    <t>AC Split Merk Hitachi 2 PK (Ruang Promosi &amp; Transroom)</t>
  </si>
  <si>
    <t>INVT/EWK/022/</t>
  </si>
  <si>
    <t>engineering</t>
  </si>
  <si>
    <t>Kantor Pengelola Ewalk</t>
  </si>
  <si>
    <t>Kursi  hadap + kursi kerja</t>
  </si>
  <si>
    <t>INVT/EWK/048/</t>
  </si>
  <si>
    <t>RUANG ENGINEERING EWALK</t>
  </si>
  <si>
    <t>Terminal LSA + Roll kabel + telp panasonic</t>
  </si>
  <si>
    <t>INVT/EWK/061/</t>
  </si>
  <si>
    <t>DVR AVTech 16 channer &amp; HDD 1 terra</t>
  </si>
  <si>
    <t>INVT/EWK/068/</t>
  </si>
  <si>
    <t>Printer + komputer</t>
  </si>
  <si>
    <t>INVT/EWK/071/</t>
  </si>
  <si>
    <t>RUANG ADMIN ENGINEERING</t>
  </si>
  <si>
    <t>UPS ICA CE 1200 VA DC in 24V (4) + UPS ICA CE2000 VA DC in 36V</t>
  </si>
  <si>
    <t>INVT/EWK/092/</t>
  </si>
  <si>
    <t xml:space="preserve">Driver Bosch GSR </t>
  </si>
  <si>
    <t>INVT/EWK/093/</t>
  </si>
  <si>
    <t>Grundfos Motor Pompa</t>
  </si>
  <si>
    <t>INVT/EWK/096/</t>
  </si>
  <si>
    <t>RUANG POMPA ENGINEERING</t>
  </si>
  <si>
    <t>DVR JMK H 264 16 ch (1) + Hardisk 1 TB Seagate (1)</t>
  </si>
  <si>
    <t>INVT/EWK/097/</t>
  </si>
  <si>
    <t>ENGINEERING EWALK</t>
  </si>
  <si>
    <t>Las Listrik Welcraft 1200W</t>
  </si>
  <si>
    <t>INVT/EWK/101/</t>
  </si>
  <si>
    <t>Computer tanpa monitor (1) + Computer set (1) - div enginering</t>
  </si>
  <si>
    <t>INVT/EWK/113/</t>
  </si>
  <si>
    <t>MULYANA ADM ENGINEERING</t>
  </si>
  <si>
    <t>Lemari kabinet 4 susun (2) + loker 6 pintu (2)-div enginering</t>
  </si>
  <si>
    <t>INVT/EWK/119/</t>
  </si>
  <si>
    <t>Kamera CCTV (ruang genset)</t>
  </si>
  <si>
    <t>INVT/EWK/125/</t>
  </si>
  <si>
    <t>Ruang Engineering Ewalk</t>
  </si>
  <si>
    <t xml:space="preserve">portable test telephone fluke TS19 </t>
  </si>
  <si>
    <t>INVT/EWK/167/</t>
  </si>
  <si>
    <t xml:space="preserve">1 unit fluke 925 anemometer wind speed air flow velocity  untuk Tool engineering </t>
  </si>
  <si>
    <t>INVT/EWK/171/</t>
  </si>
  <si>
    <t>RuangAdmin Engineering</t>
  </si>
  <si>
    <t>fluke 924 F45 AMPROBE SM-10</t>
  </si>
  <si>
    <t>INVT/EWK/172/</t>
  </si>
  <si>
    <t>1 unit AC akari 2 PK</t>
  </si>
  <si>
    <t>INVT/EWK/176/</t>
  </si>
  <si>
    <t>RUANG PANEL B MALL</t>
  </si>
  <si>
    <t>Pembelian 1 Unit Refrigeration Digital Manifold Gauge Meter Testo 549 Gauge 0560 
Ket : Replace karena rusak</t>
  </si>
  <si>
    <t>INVT/EWK/19/11/002/</t>
  </si>
  <si>
    <t>RUANG ENGINEERNG</t>
  </si>
  <si>
    <t>Pembelian Mesin Salju &amp; Snow Liquid</t>
  </si>
  <si>
    <t>INVT/EWK/19/11/008/</t>
  </si>
  <si>
    <t>WORKSHOP ELECTRICAL</t>
  </si>
  <si>
    <t>Pembelian 1 unit metsepm5350 power meter untuk ganti power logic PUTR 2</t>
  </si>
  <si>
    <t>INVT/EWK/19/12/006/</t>
  </si>
  <si>
    <t>Ruang Panel Basement</t>
  </si>
  <si>
    <t>1 unit AC Akari 1 1/2 PK @Rp. 3.600.000Untuk keperluan pemasangan AC di ruang K3 yang baru</t>
  </si>
  <si>
    <t>INVT/EWK/194/</t>
  </si>
  <si>
    <t>RUANG PANEL MALL</t>
  </si>
  <si>
    <t>1 unit pompa ebara @Rp. 11.669.000 Untuk stock pompa transfer</t>
  </si>
  <si>
    <t>INVT/EWK/196/</t>
  </si>
  <si>
    <t xml:space="preserve"> 1 unit mesin bor beton bosch @Rp. 3.220.000 Untuk keperluan perbaikan kebocoran di rooftop di lantai 5 dan untuk pererjaan staff sipil</t>
  </si>
  <si>
    <t>INVT/EWK/198/</t>
  </si>
  <si>
    <t>TRITUNGGAL EKA PERKASA, CV 2 unit UPS ICA Untuk back up kontrol lampu RGB</t>
  </si>
  <si>
    <t>INVT/EWK/201/</t>
  </si>
  <si>
    <t>DATACOM, UD Untuk replace DVR 1 CCTV yang rusak dan untuk pemasangan DVR CCTV yang baru sisanya untuk spare</t>
  </si>
  <si>
    <t>INVT/EWK/202/</t>
  </si>
  <si>
    <t>INVT/EWK/203/</t>
  </si>
  <si>
    <t xml:space="preserve">TRITUNGGAL EKA PERKASA, CV 2 unit pompa sumpit ebara </t>
  </si>
  <si>
    <t>INVT/EWK/204/</t>
  </si>
  <si>
    <t>BASEMENT POMPA</t>
  </si>
  <si>
    <t>1Unit Oriental Koshin Gear Pump untuk pengurasan Oli Genset</t>
  </si>
  <si>
    <t>INVT/EWK/208/</t>
  </si>
  <si>
    <t>RUANG GENSET</t>
  </si>
  <si>
    <t>1 Unit Lemari Arsip Besi VIP 202 untuk Ops ART</t>
  </si>
  <si>
    <t>INVT/EWK/209/</t>
  </si>
  <si>
    <t>mixer audio analog</t>
  </si>
  <si>
    <t>INVT/EWK/227/</t>
  </si>
  <si>
    <t xml:space="preserve">POMPA EBARA </t>
  </si>
  <si>
    <t>INVT/EWK/231/</t>
  </si>
  <si>
    <t>laptop asus X550IK</t>
  </si>
  <si>
    <t>INVT/EWK/232/</t>
  </si>
  <si>
    <t>PAK JAKA ENGINEERING PAM LT3</t>
  </si>
  <si>
    <t>POMPA EBARA 80X</t>
  </si>
  <si>
    <t>INVT/EWK/235/</t>
  </si>
  <si>
    <t xml:space="preserve">pompa grundfos CR 15-10 11KW </t>
  </si>
  <si>
    <t>INVT/EWK/239/</t>
  </si>
  <si>
    <t>KOMPUTER INTEL CORE I5 + MONITOR</t>
  </si>
  <si>
    <t>INVT/EWK/250/</t>
  </si>
  <si>
    <t>Komputer Pak Epi Command Center</t>
  </si>
  <si>
    <t>Pompa Ebara 80 x 65 FSG Motor</t>
  </si>
  <si>
    <t>INVT/EWK/268/</t>
  </si>
  <si>
    <t xml:space="preserve">BASEMENT KANTOR PENGELOLA </t>
  </si>
  <si>
    <t>INVT/EWK/269/</t>
  </si>
  <si>
    <t>LEMARI FILLING GRAY INFORMA</t>
  </si>
  <si>
    <t>INVT/EWK/280/</t>
  </si>
  <si>
    <t>Lemari Ruang Pak Epi Command Center</t>
  </si>
  <si>
    <t>Pembelian KWH Socomec untuk pemasangan KWH Panel AC GF A, GF B, LT. 1A Dan LT. 1B</t>
  </si>
  <si>
    <t>INVT/EWK/20/07/001/</t>
  </si>
  <si>
    <t>MALL EWALK GF A GF B LT A</t>
  </si>
  <si>
    <t>lampu hannochs bulat</t>
  </si>
  <si>
    <t>INVT/EWK/313/</t>
  </si>
  <si>
    <t>lampu hannochs bulat Untuk Instalasi Lampu Di Area Fun World</t>
  </si>
  <si>
    <t>Kabel,pipa listrik,kabel ties,MCB,Stop kontak,Rel MCB</t>
  </si>
  <si>
    <t>INVT/EWK/314/</t>
  </si>
  <si>
    <t>instalasi lampu di FUN WORLD</t>
  </si>
  <si>
    <t>COMPRESOR AC DANFOS</t>
  </si>
  <si>
    <t>INVT/EWK/316/</t>
  </si>
  <si>
    <t>AC TENANT EPRISE  MATAHARI</t>
  </si>
  <si>
    <t>MESIN BOR CORDLESS CHARGE BOSCH 18OLI IMPACT DRILL 18V</t>
  </si>
  <si>
    <t>INVT/EWK/318/</t>
  </si>
  <si>
    <t>Ruang Admin Engineering</t>
  </si>
  <si>
    <t>POMPA SUMPIT EBARA 65 DL 51,5 1,5 KW 380VOLT 4 POLE</t>
  </si>
  <si>
    <t>INVT/EWK/324/</t>
  </si>
  <si>
    <t>UNTUK JALUR INSTALASI PENAMPUNGAN AIR BERSIH DI STP BARAT</t>
  </si>
  <si>
    <t>INVT/EWK/325/</t>
  </si>
  <si>
    <t>UNTUK GANTI POMPA SUMPIT DI STP TIMUR</t>
  </si>
  <si>
    <t>POMPA GRUNDFOS CR10-16 A-FJ-A-EHQQE (POMPA JOCKEY)</t>
  </si>
  <si>
    <t>INVT/EWK/335/</t>
  </si>
  <si>
    <t>POMPA EBARA MODEL 80 X 65 FS2JA RPM 2900</t>
  </si>
  <si>
    <t>INVT/EWK/336/</t>
  </si>
  <si>
    <t>UNTUK GANTI POMPA POMPA LAMA CEKAT</t>
  </si>
  <si>
    <t>RANGKA BESI EXHIBITION FIN BLACK GLOSSY PAINT UK 300CM X 200CM X 334 CM</t>
  </si>
  <si>
    <t>INVT/EWK/326/</t>
  </si>
  <si>
    <t>UNTUK PENAMBAHAN RANGKA BESI DI LADIES MARKET DI AREA LG E-WALK</t>
  </si>
  <si>
    <t>INVT/EWK/339/</t>
  </si>
  <si>
    <t>UNTUK GANTI AC DI APARTEMEN KAMAR GM PAK YUDHI</t>
  </si>
  <si>
    <t>VACUUM CLEANER NT 48/1 WET &amp; DRY KARCHER</t>
  </si>
  <si>
    <t>INVT/EWK/346/</t>
  </si>
  <si>
    <t>Parkiran Ewalk</t>
  </si>
  <si>
    <t>INVT/EWK/345/</t>
  </si>
  <si>
    <t>Ruang Panel Mall</t>
  </si>
  <si>
    <t>TANDON AIR ( GENERAL TANK / TANGKI UMUM ) KAPASITAS : 5100 LITER ( TB 500 ) PENGUIN</t>
  </si>
  <si>
    <t>INVT/EWK/347/</t>
  </si>
  <si>
    <t>Rooftop Water Tank Ewalk</t>
  </si>
  <si>
    <t>INVT/EWK/348/</t>
  </si>
  <si>
    <t>Ruang Ground Tank Parkiran Ewalk</t>
  </si>
  <si>
    <t>INVT/EWK/349/</t>
  </si>
  <si>
    <t>INVT/EWK/350/</t>
  </si>
  <si>
    <t>INVT/EWK/351/</t>
  </si>
  <si>
    <t>INVT/EWK/352/</t>
  </si>
  <si>
    <t>FLARING HYDRAULIC TUB EXPANDER 2ZR 300L 3/8 INCH - 1 5/8 INCH (11 HEADHERS )</t>
  </si>
  <si>
    <t>INVT/EWK/343/</t>
  </si>
  <si>
    <t>Plering Pipa Refrigerant Ac Tenant Matahari Penambahan Alat Kerja</t>
  </si>
  <si>
    <t>KWH SOCOMEC 4850-3008 E40 3PH CT /5A</t>
  </si>
  <si>
    <t>INVT/EWK/353/</t>
  </si>
  <si>
    <t>Panel Box Area Mall</t>
  </si>
  <si>
    <t>EXHAUST AXIAL FUN DF5B-4 20 INCH</t>
  </si>
  <si>
    <t>INVT/EWK/354/</t>
  </si>
  <si>
    <t>INVT/EWK/357/</t>
  </si>
  <si>
    <t>Ewalk GF A</t>
  </si>
  <si>
    <t>INVT/EWK/365/</t>
  </si>
  <si>
    <t>Ewalk LG A</t>
  </si>
  <si>
    <t>INVT/EWK/366/</t>
  </si>
  <si>
    <t>Ewalk LG B</t>
  </si>
  <si>
    <t>POMPA SUMPIT EBARA 65 DL 51,5 1,5 KW 380 VOLT 4 POLE, POMPA SUMPIT EBARA 80 DL 53,7 3,7KW/380 VOLT 4 POLE, POMPA SUMPIT EBARA 50 DL 5,75 380 VOLT 0,75 KW 50 HZ</t>
  </si>
  <si>
    <t>INVT/EWK/367/</t>
  </si>
  <si>
    <t>POMPA SUMPIT EBARA 65 DL 51,5 1,5 KW 380 VOLT 4 POLE &amp; POMPA SUMPIT EBARA 50 DL 5,75 380 VOLT 0,75 KW 50 HZ</t>
  </si>
  <si>
    <t>INVT/EWK/368/</t>
  </si>
  <si>
    <t>Basement Ewalk</t>
  </si>
  <si>
    <t>HANDRAIL ESCALATOR UK. 27.740 MM</t>
  </si>
  <si>
    <t>INVT/EWK/369/</t>
  </si>
  <si>
    <t>Escalator Mall Ewalk</t>
  </si>
  <si>
    <t>POWER INVERTER + CHARGER 3000 W</t>
  </si>
  <si>
    <t>INVT/EWK/370/</t>
  </si>
  <si>
    <t>CLAMP TESTER / TANG AMPERE DIGITAL EARTH KYORITSU KEW 4202</t>
  </si>
  <si>
    <t>INVT/EWK/371/</t>
  </si>
  <si>
    <t>TRANSFORMER (TRAFO) NEON TUBES T151122</t>
  </si>
  <si>
    <t>INVT/EWK/373/</t>
  </si>
  <si>
    <t>OPTIMA SELECTOR MANUSA</t>
  </si>
  <si>
    <t>INVT/EWK/374/</t>
  </si>
  <si>
    <t>AUTOMATIC DOOR RADAR EDRM05 MANUSA</t>
  </si>
  <si>
    <t>INVT/EWK/375/</t>
  </si>
  <si>
    <t>STEP ESCALATOR HYUNDAI</t>
  </si>
  <si>
    <t>INVT/EWK/376/</t>
  </si>
  <si>
    <t>VACUUM CLEANER STAINLESS 80L WET &amp; DRY</t>
  </si>
  <si>
    <t>INVT/EWK377/</t>
  </si>
  <si>
    <t>INVT/EWK378/</t>
  </si>
  <si>
    <t>MESIN STEAM POWER SPRAYER SANCHIN SCN 30</t>
  </si>
  <si>
    <t>INVT/EWK379/</t>
  </si>
  <si>
    <t>AUTOMATIC DOOR TYPE VISIO 125 DOUBLE SLIDING</t>
  </si>
  <si>
    <t>INVT/EWK380/</t>
  </si>
  <si>
    <t>Pintu Mall Ewalk</t>
  </si>
  <si>
    <t>INVT/EWK/382/</t>
  </si>
  <si>
    <t>Ruang SPV Eng Ewalk</t>
  </si>
  <si>
    <t>CONTACTOR LC1D115M7 3P 115A SCHNEIDER</t>
  </si>
  <si>
    <t>INVT/EWK/384/</t>
  </si>
  <si>
    <t>MCCB COMPACT NSX100F TM100D C10F3TM100 3P 100A 36KA SCHEIDER</t>
  </si>
  <si>
    <t>INVT/EWK/385/</t>
  </si>
  <si>
    <t>MESIN LAS MIG 130 IZUMI</t>
  </si>
  <si>
    <t>INVT/EWK/386/</t>
  </si>
  <si>
    <t>MESIN LAS FLUX MIG-130 A RHINO</t>
  </si>
  <si>
    <t>INVT/EWK/389/</t>
  </si>
  <si>
    <t>Workshop Electrical</t>
  </si>
  <si>
    <t>THERMOMETER INFRARED FLUKE 59 MAX</t>
  </si>
  <si>
    <t>INVT/EWK/391/</t>
  </si>
  <si>
    <t>Engineeering Ewalk</t>
  </si>
  <si>
    <t>alatnya kecil tdk bisa ditempel</t>
  </si>
  <si>
    <t>STEP AXEL CHAIN</t>
  </si>
  <si>
    <t>INVT/EWK/392/</t>
  </si>
  <si>
    <t>INVT/EWK/393/</t>
  </si>
  <si>
    <t>LINE LASER LEVEL BOSCH GLL 5-50 X + TRIPOD BT 150 5/8 INCH, METERLAN LASER DIDIGTAL 40 METER BOSCH GLM 400 PROFESIONAL</t>
  </si>
  <si>
    <t>INVT/EWK/395/</t>
  </si>
  <si>
    <t>POMPA EBARA50 DL 5,75 380 VOLT 0.75 KW, POMPA EBARAR 60 DL 1,5KW</t>
  </si>
  <si>
    <t>INVT/EWK/396/</t>
  </si>
  <si>
    <t>INVT/EWK/397/</t>
  </si>
  <si>
    <t>INVT/EWK/398/</t>
  </si>
  <si>
    <t>Ruang Spv Engineering</t>
  </si>
  <si>
    <t>AXIAL FAN DIRECT 28,4 INCH (710 MM)</t>
  </si>
  <si>
    <t>INVT/EWK/400/</t>
  </si>
  <si>
    <t>MAGNETIC BRAKE ESCALATOR</t>
  </si>
  <si>
    <t>INVT/EWK/408/</t>
  </si>
  <si>
    <t>MESIN BOR DUDUK WESTLAKE ZQ4116</t>
  </si>
  <si>
    <t>INVT/EWK/411/</t>
  </si>
  <si>
    <t>RUANG ENG</t>
  </si>
  <si>
    <t>MANIFOLD GAUGE VALUE VRM2-B-0401</t>
  </si>
  <si>
    <t>INVT/EWK/415/</t>
  </si>
  <si>
    <t xml:space="preserve">UNTUK GANTI MANIFOLD AC YANG RUSAK PEMBACAAN ERROR </t>
  </si>
  <si>
    <t>MESIN POTONG CORDLESS RECIPROCATING BOSCH GSA 185 LI</t>
  </si>
  <si>
    <t>INVT/EWK/418/</t>
  </si>
  <si>
    <t>WORKSHOP ENGINEERING EWALK - UNTUK GANTI MESIN GERGAJI POTONG HILTI YANG RUSAK MESIN HIDUP TAPI TIDAK BISA MEMOTONG</t>
  </si>
  <si>
    <t>MANIFOLD DIGITAL 557S TESTO</t>
  </si>
  <si>
    <t>INVT/EWK/419/</t>
  </si>
  <si>
    <t>WORKSHOP ENGINEERING EWALK - U/N PEKERJAAN START UP AC SETELAH GANTI OUTDOOR AC DAN GANTI EXPANSION VALVE</t>
  </si>
  <si>
    <t>POMPA GRUNDFOS  OS CR 10-16</t>
  </si>
  <si>
    <t>INVT/EWK/422/</t>
  </si>
  <si>
    <t>UNTUK GANTI POMPA TRANSFER JATRA NO1 YANG BOCOR DAN YANG SUDAH LEMAH</t>
  </si>
  <si>
    <t>CLAMP METER / TANG AMPERE DIGITAL KYORITSU KEW SNAP 2003A</t>
  </si>
  <si>
    <t>INVT/EWK/420/</t>
  </si>
  <si>
    <t>POMPA EBARA 65 X 50 FSHA MS MOTOR TECO</t>
  </si>
  <si>
    <t>INVT/EWK/421/</t>
  </si>
  <si>
    <t>UNTUK POMPA AIR BERSIH DARI TANDON KE GROUND TANK</t>
  </si>
  <si>
    <t>GREASE TRAP STAINLESS UK. 60 X 40 CM X 30 CM</t>
  </si>
  <si>
    <t>INVT/EWK/423/</t>
  </si>
  <si>
    <t xml:space="preserve">UNTUK KEBUTUHAN TEMPAT CUCI SNACK CORNER E-WALK </t>
  </si>
  <si>
    <t>SPRAY GUN (PISTOL SEMPROT CAT) INGCO CSGLI2001 + BATTERAI + CHARGER - CSGLI2003 4AH</t>
  </si>
  <si>
    <t>INVT/EWK/424/</t>
  </si>
  <si>
    <t>Pak Haitul</t>
  </si>
  <si>
    <t>POMPA GRUNDFOS OS CR 15-10</t>
  </si>
  <si>
    <t>INVT/EWK/432/</t>
  </si>
  <si>
    <t xml:space="preserve">UNTUK GANTI POMPA JOCKEY YANG RUSAK AS MOTOR POMPA PATAH  PUMP FIRE HYDRANT  </t>
  </si>
  <si>
    <t>INVT/EWK/433/</t>
  </si>
  <si>
    <t>U/N GANTI STEP EXLE CAHIN YG AUS DI ESCALATOR TENGAH NO11 UG-GF</t>
  </si>
  <si>
    <t>INVT/EWK/434/</t>
  </si>
  <si>
    <t xml:space="preserve">U/N GANTI STEP EXLE CHAIN YG AUS DI ESCALATOR TENGAH NO10 GF-UG </t>
  </si>
  <si>
    <t>INVT/EWK/435/</t>
  </si>
  <si>
    <t xml:space="preserve">U/N GANTI STEP EXLE CHAIN YG AUS DI ESCALATOR TENGAH NO12 UG-LT1 KE MATAHARI </t>
  </si>
  <si>
    <t>MESIN JET CLEANER KYOWA KYC-408</t>
  </si>
  <si>
    <t>INVT/EWK/437/</t>
  </si>
  <si>
    <t>ENG WORKSHOP</t>
  </si>
  <si>
    <t>PELAMPUNG STAINLESS STEEL FLOAT BALL ( FLOAT VALVE KUNINGAN FLANGE ) 4 INCH</t>
  </si>
  <si>
    <t>INVT/EWK/451/</t>
  </si>
  <si>
    <t>UNTUK PEMASANGAN FLOAT VALVE GROUND TANK DAN BAK PENAMPUNGAN</t>
  </si>
  <si>
    <t>Dalam tank</t>
  </si>
  <si>
    <t>PELAMPUNG STAINLESS STEEL FLOAT BALL VALVE 2 INCH</t>
  </si>
  <si>
    <t>INVT/EWK/452/</t>
  </si>
  <si>
    <t>U/N PEMASANGAN FLOAT VALVE GROUND TANK DAN BA PENAMPUNGAN</t>
  </si>
  <si>
    <t>REFRIGERANT LEAK DETECTOR VALUE VML-1</t>
  </si>
  <si>
    <t>INVT/EWK/454/</t>
  </si>
  <si>
    <t>MESIN SENAI PIPA - THREADING MCH 1/2-4 INCH BSPT 10083579 KRISBOW</t>
  </si>
  <si>
    <t>INVT/EWK/455/</t>
  </si>
  <si>
    <t xml:space="preserve">UNTUK GANTI MESIN YANG RUSAK  TUAS MATA SENAI PATAH TEMPAT OLI MESIN BOCOR  </t>
  </si>
  <si>
    <t>MESIN IMPACT WRENCH (PEMBUKA BAUT MUR) 1/2 INCH MAKITA TW 0350</t>
  </si>
  <si>
    <t>INVT/EWK/461/</t>
  </si>
  <si>
    <t>POMPA SUMPIT EBARA 50 DL 5,75 380 VOLT 0,75 KW 50 HZ - 6 UNT, POMPA SUMPIT EBARA 80 DL 53,7 3,7KW/380 VOLT - 1 UNT</t>
  </si>
  <si>
    <t>INVT/EWK/468/</t>
  </si>
  <si>
    <t>GROUND TANK BARU</t>
  </si>
  <si>
    <t>TABUNG OKSIGEN 1M*3</t>
  </si>
  <si>
    <t>INVT/EWK/372/</t>
  </si>
  <si>
    <t>Hilti Sawing M WSR-1200 (Tehnisi)</t>
  </si>
  <si>
    <t>INVT/EWK/056/</t>
  </si>
  <si>
    <t xml:space="preserve">ENGINEERING </t>
  </si>
  <si>
    <t>Rak terbuka + Rak 2 pintu + kunci frontline</t>
  </si>
  <si>
    <t>INVT/EWK/036/</t>
  </si>
  <si>
    <t>AC Sharp 2 PK (promosi &amp; transroom)</t>
  </si>
  <si>
    <t>INVT/EWK/034/</t>
  </si>
  <si>
    <t>EVENT &amp; PROMO</t>
  </si>
  <si>
    <t>RUANG PROMO KANTOR PENGELOLA EWALK</t>
  </si>
  <si>
    <t>INVT/EWK/040/</t>
  </si>
  <si>
    <t>IRVAN PROMO</t>
  </si>
  <si>
    <t>Equalizer 31 band BSS FCS 96631 band (1) + Microphone wireless scheinzer EW100 (2)</t>
  </si>
  <si>
    <t>INVT/EWK/103/</t>
  </si>
  <si>
    <t>Atrium Mall Ewalk</t>
  </si>
  <si>
    <t xml:space="preserve">Komputer PC </t>
  </si>
  <si>
    <t>INVT/EWK/104/</t>
  </si>
  <si>
    <t>Ruang Promo Ewalk</t>
  </si>
  <si>
    <t>PT.Chitrataruna Audiotech</t>
  </si>
  <si>
    <t>INVT/EWK/151/</t>
  </si>
  <si>
    <t>Soundsystem Atrium</t>
  </si>
  <si>
    <t>LAMPU PANGGUNG PAR LED</t>
  </si>
  <si>
    <t>INVT/EWK/252/</t>
  </si>
  <si>
    <t>Lighting Atrium</t>
  </si>
  <si>
    <t xml:space="preserve">Pentacity </t>
  </si>
  <si>
    <t>PRINTER EPSON L220 &amp; L3110</t>
  </si>
  <si>
    <t>INVT/EWK/253/</t>
  </si>
  <si>
    <t>Ruang Promo EWalk</t>
  </si>
  <si>
    <t>L3110</t>
  </si>
  <si>
    <t>CPU INTEL CORE + MONITOR</t>
  </si>
  <si>
    <t>INVT/EWK/261/</t>
  </si>
  <si>
    <t>CPU INTEL CORE</t>
  </si>
  <si>
    <t>INVT/EWK/266/</t>
  </si>
  <si>
    <t>INVT/EWK/463/</t>
  </si>
  <si>
    <t xml:space="preserve">UNTUK PERLENGKAPAN EVENT MALL TIM EVENT  PROMO </t>
  </si>
  <si>
    <t>Barracuda fire safe office -sentry safe home &amp; office (brankas OA-5835</t>
  </si>
  <si>
    <t>INVT/EWK/055/</t>
  </si>
  <si>
    <t>ruangan Pak Handrian</t>
  </si>
  <si>
    <t>Barracuda fire safe office -sentry safe home &amp; office (ruang pak robby)</t>
  </si>
  <si>
    <t>INVT/EWK/127/</t>
  </si>
  <si>
    <t>ruangan finance Kantor pengelola pentacity</t>
  </si>
  <si>
    <t>Printer Epson LX-310 dot matrix A4 (1) + Wifi access point TL-WDR 4900 TP-Link (2)</t>
  </si>
  <si>
    <t>INVT/EWK/129/</t>
  </si>
  <si>
    <t>Ruang FA Ewalk</t>
  </si>
  <si>
    <t>printer epson L220</t>
  </si>
  <si>
    <t>INVT/EWK/177/</t>
  </si>
  <si>
    <t>PEMBELIAN 7 LICENSE ACCURATE</t>
  </si>
  <si>
    <t>INVT/EWK/19/11/009/</t>
  </si>
  <si>
    <t>RUANG FINANCE  ACCOUNTING</t>
  </si>
  <si>
    <t>1 unit lemari arsip tinggi pintu sliding kaca @Rp. 2.500.000 Untuk keperluan kerja administrasi marketing</t>
  </si>
  <si>
    <t>INVT/EWK/190/</t>
  </si>
  <si>
    <t>Ruang Finance  Accounting</t>
  </si>
  <si>
    <t>INVT/EWK/230/</t>
  </si>
  <si>
    <t>Kursi Staff AR Yuni</t>
  </si>
  <si>
    <t>PRINTER EPSO L3110</t>
  </si>
  <si>
    <t>INVT/EWK/255/</t>
  </si>
  <si>
    <t>REDMI NOTE 12 PRO</t>
  </si>
  <si>
    <t>INVT/EWK/426/</t>
  </si>
  <si>
    <t>AP FINANCE MAS YAN</t>
  </si>
  <si>
    <t>LISENSI ACCURATE</t>
  </si>
  <si>
    <t>INVT/EWK/311/</t>
  </si>
  <si>
    <t>FINANCE</t>
  </si>
  <si>
    <t>Pembelian 1unit meteran air DN50 untuk ganti meteran air foodmart krna error</t>
  </si>
  <si>
    <t>INVT/EWK/19/11/007/</t>
  </si>
  <si>
    <t>FOODMART</t>
  </si>
  <si>
    <t>Pick up KT 8435 Y</t>
  </si>
  <si>
    <t>KEND/EWK/002/</t>
  </si>
  <si>
    <t>Motor Honda KT 2418 LV - Honda SUPRA X</t>
  </si>
  <si>
    <t>KEND/EWK/004/</t>
  </si>
  <si>
    <t>HONDA BEAT KT 5876 LW</t>
  </si>
  <si>
    <t>KEND/EWK/007/</t>
  </si>
  <si>
    <t xml:space="preserve"> AVANZA 1.3 G M/T KT 1817 ZC</t>
  </si>
  <si>
    <t>KEND/EWK/008/</t>
  </si>
  <si>
    <t>SUZUKI XL-7 ALPHA HYBRID KT 1432 ZB</t>
  </si>
  <si>
    <t>INVT/EWK/431/</t>
  </si>
  <si>
    <t>Mesin Foto Copy Konika Minolta BZ 163 16CPM (Ktr Pengelola Ewalk)</t>
  </si>
  <si>
    <t>INVT/EWK/011/</t>
  </si>
  <si>
    <t>Processor + Hardisk + Motherboard + dll</t>
  </si>
  <si>
    <t>INVT/EWK/052/</t>
  </si>
  <si>
    <t>Ruang HRD Pengelola</t>
  </si>
  <si>
    <t xml:space="preserve">AC Sharp 2 PK </t>
  </si>
  <si>
    <t>INVT/EWK/094/</t>
  </si>
  <si>
    <t>RUANG GA  OPERASIONAL KANTOR PENGELOLA EWALK</t>
  </si>
  <si>
    <t>Pembelian penghancur kertas Untuk Menghancurkan Kertas - Kertas Bekas HRD Yang Sudah Tidak Terpakai</t>
  </si>
  <si>
    <t>INVT/EWK/20/03/005/</t>
  </si>
  <si>
    <t>RUANG HRD</t>
  </si>
  <si>
    <t>MEJA KERJA 1/2 BIRO AKTIV &amp; KURSI KERJA STAFF PUTAR RODA ALFA JAYA</t>
  </si>
  <si>
    <t>INVT/EWK/334/</t>
  </si>
  <si>
    <t>Meja Pak Reza HRD</t>
  </si>
  <si>
    <t>PROGRAM TALENTA (HRD)</t>
  </si>
  <si>
    <t>INVT/EWK/338/</t>
  </si>
  <si>
    <t>UNTUK KEPERLUAN HRD</t>
  </si>
  <si>
    <t>MESIN CUCI ELECTROLUX EWT2H88M1SB ( TOP LOADING 12,5 KG )</t>
  </si>
  <si>
    <t>INVT/EWK/341/</t>
  </si>
  <si>
    <t>MESIN PENGHANCUR KERTAS (PAPER SHREDDER) S290 KRISBOW</t>
  </si>
  <si>
    <t>INVT/EWK/427/</t>
  </si>
  <si>
    <t>DI RUANG HRD P5</t>
  </si>
  <si>
    <t>1 Set computer intel core i7 + motherboard + dll</t>
  </si>
  <si>
    <t>INVT/EWK/042/</t>
  </si>
  <si>
    <t>Ruang IT Pengelola</t>
  </si>
  <si>
    <t>user Akbar</t>
  </si>
  <si>
    <t>Scanner + hardisk + dll</t>
  </si>
  <si>
    <t>INVT/EWK/054/</t>
  </si>
  <si>
    <t>KANTOR PENGELOLA EWALK</t>
  </si>
  <si>
    <t>Mainboard + deskop board +chasing + dll</t>
  </si>
  <si>
    <t>INVT/EWK/070/</t>
  </si>
  <si>
    <t>IT Pengelola P5</t>
  </si>
  <si>
    <t>User Ifal</t>
  </si>
  <si>
    <t>Mainboard + processor +monitor + dll</t>
  </si>
  <si>
    <t>INVT/EWK/075/</t>
  </si>
  <si>
    <t>RUANG IT EWALK</t>
  </si>
  <si>
    <t>User riky</t>
  </si>
  <si>
    <t xml:space="preserve">UPS ICA SIN 1100 C 20A </t>
  </si>
  <si>
    <t>INVT/EWK/081/</t>
  </si>
  <si>
    <t>IT EWALK</t>
  </si>
  <si>
    <t>command center</t>
  </si>
  <si>
    <t>Printer id card fargo DTC 100</t>
  </si>
  <si>
    <t>INVT/EWK/106/</t>
  </si>
  <si>
    <t>Ruang Pak Affan</t>
  </si>
  <si>
    <t>DATACOM, UD (147/INV/D/2010 - Tgl.08/02/10)</t>
  </si>
  <si>
    <t>INVT/EWK/147/</t>
  </si>
  <si>
    <t>PC Atrium utk LED</t>
  </si>
  <si>
    <t>Laptop Asus ROG G501 JW</t>
  </si>
  <si>
    <t>INVT/EWK/162/</t>
  </si>
  <si>
    <t>RUANGAN IT</t>
  </si>
  <si>
    <t>Check point chip TCP 200</t>
  </si>
  <si>
    <t>INVT/EWK/164/</t>
  </si>
  <si>
    <t>barang tidak dikenal user</t>
  </si>
  <si>
    <t>INVT/EWK/169/</t>
  </si>
  <si>
    <t>Ruang IT  Command Center</t>
  </si>
  <si>
    <t>intel prosesor core</t>
  </si>
  <si>
    <t>INVT/EWK/178/</t>
  </si>
  <si>
    <t>Komputer Atrium Ewalk</t>
  </si>
  <si>
    <t>INVT/EWK/185/</t>
  </si>
  <si>
    <t>1 unit seagate NAS Pro 2-Bay @Rp. 10.800.000Upgrade NAS e-Walk</t>
  </si>
  <si>
    <t>INVT/EWK/189/</t>
  </si>
  <si>
    <t>1 pcs camera CCTV outdoor @Rp. 3.500.000 Untuk replace camera cctv area parkir yang rusak</t>
  </si>
  <si>
    <t>INVT/EWK/195/</t>
  </si>
  <si>
    <t>LUMBUNG BERKAT SEJAHTERA 1 unit printer epson L360  Untuk replace printer purchasing yang rusak</t>
  </si>
  <si>
    <t>INVT/EWK/199/</t>
  </si>
  <si>
    <t>Ruang Store EwalkPenta</t>
  </si>
  <si>
    <t>amsung solid state 250GB</t>
  </si>
  <si>
    <t>INVT/EWK/222/</t>
  </si>
  <si>
    <t>Ruang IT</t>
  </si>
  <si>
    <t>INVT/EWK/254/</t>
  </si>
  <si>
    <t>Ruang Promo  Ruang Sekretaris Ruang IT Command Center</t>
  </si>
  <si>
    <t>MONITOR LG 16 INCH</t>
  </si>
  <si>
    <t>INVT/EWK/256/</t>
  </si>
  <si>
    <t xml:space="preserve">Ruang IT </t>
  </si>
  <si>
    <t>INVT/EWK/258/</t>
  </si>
  <si>
    <t>TV Information Board Area Mall</t>
  </si>
  <si>
    <t>INVT/EWK/264/</t>
  </si>
  <si>
    <t xml:space="preserve"> 1 unit projector epson EB-X400</t>
  </si>
  <si>
    <t>INVT/EWK/20/01/003/</t>
  </si>
  <si>
    <t>Pembelian compresor AC 2 PK untuk ganti di panel LG B yang terbakar</t>
  </si>
  <si>
    <t>INVT/EWK/20/01/004/</t>
  </si>
  <si>
    <t>RUANG PANEL LG B</t>
  </si>
  <si>
    <t>1 UNIT VGA CARD MSI NVIDIA GETFORCE GTX 1650  AERO ITX 4G OC (UNTUK PEMASANGAN DI KOMPUTER DESIGN (HERU))</t>
  </si>
  <si>
    <t>INVT/EWK/20/11/003/</t>
  </si>
  <si>
    <t>LAPTOP HP 14S-CF2517/18</t>
  </si>
  <si>
    <t>INVT/EWK/328/</t>
  </si>
  <si>
    <t>UNTUK REPLACEMENT UNIT LAPTOP LAMA DEPUTY GM BUSINESS</t>
  </si>
  <si>
    <t>KITCHEN SET (TOP)  UK. 170CM X 133CM</t>
  </si>
  <si>
    <t>INVT/EWK/329/</t>
  </si>
  <si>
    <t>UNTUK KEPERLUAN DI APARTEMEN GM PAK YUDHI</t>
  </si>
  <si>
    <t>SAMSUNG GALAXY TAB A7 LITE</t>
  </si>
  <si>
    <t>INVT/EWK/330/</t>
  </si>
  <si>
    <t>Marketing P5</t>
  </si>
  <si>
    <t>INVT/EWK/332/</t>
  </si>
  <si>
    <t>INVT/EWK/344/</t>
  </si>
  <si>
    <t>Mutasi ke CS Ewalk</t>
  </si>
  <si>
    <t>CAMERA 2MP FIXED PEOPLE COUNTING 4MM TC-A52P6 TIANDY</t>
  </si>
  <si>
    <t>INVT/EWK/359/</t>
  </si>
  <si>
    <t>CAMERA 2MP STARLIGHT VANDALPROOF MINI IR DOME 2,8MM TC-C32KS TIANDY</t>
  </si>
  <si>
    <t>INVT/EWK/361/</t>
  </si>
  <si>
    <t>CAMERA 2MP FIXED PEOPLE COUNTING 4MM TC-A32P6 TIANDY</t>
  </si>
  <si>
    <t>INVT/EWK/448/</t>
  </si>
  <si>
    <t>UNTUK PENAMBAHAN KAMERA CCTV PEOPLE COUNTING AREA LOBBY UTAMA AKSES PINTU JATRA KE LOBBY UTAMA</t>
  </si>
  <si>
    <t>HARDDISK WD PURPLE SURVEILLANCE DRIVE 4TB SATA III</t>
  </si>
  <si>
    <t>INVT/EWK/449/</t>
  </si>
  <si>
    <t>UNTUK GANTI HARDDISK NVR CCTV E-WALK YANG RUSAK</t>
  </si>
  <si>
    <t>NANO STATION M5</t>
  </si>
  <si>
    <t>INVT/EWK/456/</t>
  </si>
  <si>
    <t xml:space="preserve">UNTUK PEMASANGAN KAMERA CCTV DI LIFT BARANG EWALK </t>
  </si>
  <si>
    <t>CAMERA CCTV INDOOR DOME NAM-212FL</t>
  </si>
  <si>
    <t>INVT/EWK/457/</t>
  </si>
  <si>
    <t>INVT/EWK/445/</t>
  </si>
  <si>
    <t>DVD-RW Portable external ASUS (1) + kabel belden USA (1) + Monitor LG (2)</t>
  </si>
  <si>
    <t>INVT/EWK/089/</t>
  </si>
  <si>
    <t>IT Ewalk</t>
  </si>
  <si>
    <t>Pembelian 1 set TOA ZS 1030 amplifier</t>
  </si>
  <si>
    <t>INVT/EWK/19/12/003/</t>
  </si>
  <si>
    <t xml:space="preserve">IT </t>
  </si>
  <si>
    <t>Kursi type EC 020 Frontaline + Meja Type OD 220 RK saga+ Lemari type BC 8002 PK saga</t>
  </si>
  <si>
    <t>INVT/EWK/030/</t>
  </si>
  <si>
    <t>Ruang Legal Pengelola</t>
  </si>
  <si>
    <t>Laptop Apple Mbair 11,6/1,7 (pak robby)</t>
  </si>
  <si>
    <t>INVT/EWK/076/</t>
  </si>
  <si>
    <t>lemari 5 susun</t>
  </si>
  <si>
    <t>INVT/EWK/184/</t>
  </si>
  <si>
    <t>Ruang Legal Ewalk</t>
  </si>
  <si>
    <t>AC floor standing 5 PK carrier</t>
  </si>
  <si>
    <t>INVT/EWK/174/</t>
  </si>
  <si>
    <t>OPERASIONAL</t>
  </si>
  <si>
    <t>RUANG OPERASIONAL KANTOR PENGELOLA EWALK</t>
  </si>
  <si>
    <t>AC AKARI 1 PK ( INDOOR + OUTDOOR )</t>
  </si>
  <si>
    <t>INVT/EWK/441/</t>
  </si>
  <si>
    <t>DI RUANG PAK ALVER</t>
  </si>
  <si>
    <t>INVT/EWK/442/</t>
  </si>
  <si>
    <t>DI RUANG BU AYU  RUANG K3</t>
  </si>
  <si>
    <t>User Achmad Jakfar</t>
  </si>
  <si>
    <t>TANGGA LIPAT ALUMUNIUM 8 STEP KRISBOW &amp; TANGGA LIPAT MULTI FUNGSI KRISBOW</t>
  </si>
  <si>
    <t>INVT/EWK/331/</t>
  </si>
  <si>
    <t>PURCHASING &amp; STORE</t>
  </si>
  <si>
    <t>MESIN IJEKSI BETON M12 DUTEC &amp; 300 UNIT PACKER INJEKSI BETON DUTEC UK. B8 80MM X 8 MM</t>
  </si>
  <si>
    <t>INVT/EWK/322/</t>
  </si>
  <si>
    <t>SIPIL</t>
  </si>
  <si>
    <t>Civil P5</t>
  </si>
  <si>
    <t>TROLLEY BARANG 300 KG 10106917 KRISBOW</t>
  </si>
  <si>
    <t>INVT/EWK/462/</t>
  </si>
  <si>
    <t>U/N ALAT KERJA SIPIL</t>
  </si>
  <si>
    <t>THERMOMETER INFRARED FLUKE 62 MAX</t>
  </si>
  <si>
    <t>INVT/EWK/428/</t>
  </si>
  <si>
    <t>TDC</t>
  </si>
  <si>
    <t>UNTUK OPERASIONAL TDC</t>
  </si>
  <si>
    <t>LIGHT METER 400.000 LUX KRISBOW</t>
  </si>
  <si>
    <t>INVT/EWK/458/</t>
  </si>
  <si>
    <t>UPS ICA</t>
  </si>
  <si>
    <t>INVT/EWK/187/</t>
  </si>
  <si>
    <t>KOMPUTER INTEL CORE + MONITOR</t>
  </si>
  <si>
    <t>INVT/EWK/247/</t>
  </si>
  <si>
    <t>TR Pengelola</t>
  </si>
  <si>
    <t>KOMPUTER INTEL CORE I3 + MONITOR</t>
  </si>
  <si>
    <t>INVT/EWK/257/</t>
  </si>
  <si>
    <t>Meja Kantor Modera M Class Type MOD 150</t>
  </si>
  <si>
    <t>INVT/EWK/259/</t>
  </si>
  <si>
    <t>MEJA KANTOR STAFF MODERA MOD 122</t>
  </si>
  <si>
    <t>INVT/EWK/260/</t>
  </si>
  <si>
    <t>INVT/EWK/262/</t>
  </si>
  <si>
    <t>Resepsionis TR</t>
  </si>
  <si>
    <t>INVT/EWK/263/</t>
  </si>
  <si>
    <t>PRINTER EPSON L2210</t>
  </si>
  <si>
    <t>INVT/EWK/267/</t>
  </si>
  <si>
    <t xml:space="preserve">Astro Brush Mat (keset) </t>
  </si>
  <si>
    <t>INVT/EWK/029/</t>
  </si>
  <si>
    <t xml:space="preserve">I PAD 3 + Chasing </t>
  </si>
  <si>
    <t>INVT/EWK/065/</t>
  </si>
  <si>
    <t>Blackbery Q10 (Bp.Agustinus)</t>
  </si>
  <si>
    <t>INVT/EWK/095/</t>
  </si>
  <si>
    <t>Wine Cellar Signmatic (ruangan Direktur di pam tower)</t>
  </si>
  <si>
    <t>INVT/EWK/124/</t>
  </si>
  <si>
    <t>Adjustment audit 2019 no 6</t>
  </si>
  <si>
    <t>INVT/EWK/342/</t>
  </si>
  <si>
    <t>TV XIAOMI A2 32 INCH</t>
  </si>
  <si>
    <t>INVT/EWK/387/</t>
  </si>
  <si>
    <t>LEMARI LACI PLASTIK 4 SUSUN OLYMPUST</t>
  </si>
  <si>
    <t>INVT/EWK/394/</t>
  </si>
  <si>
    <t>INVT/EWK/399/</t>
  </si>
  <si>
    <t>INVT/EWK/406/</t>
  </si>
  <si>
    <t>KASUR SPRING BED SINGLE KECIL</t>
  </si>
  <si>
    <t>INVT/EWK/407/</t>
  </si>
  <si>
    <t>BOOTH UK. 2M X 2M</t>
  </si>
  <si>
    <t>INVT/EWK/410/</t>
  </si>
  <si>
    <t>AC AKARI 1 PK (INDOOR + OUTDOOR)</t>
  </si>
  <si>
    <t>INVT/EWK/402/</t>
  </si>
  <si>
    <t>INVT/EWK/409/</t>
  </si>
  <si>
    <t>INVT/EWK/412/</t>
  </si>
  <si>
    <t>INVT/EWK/413/</t>
  </si>
  <si>
    <t>MOTOR + GEARBBOX HYUNDAI 7,5 KW</t>
  </si>
  <si>
    <t>INVT/EWK/414/</t>
  </si>
  <si>
    <t>CCTV MALL EWALK</t>
  </si>
  <si>
    <t>INVT/EWK/430/</t>
  </si>
  <si>
    <t>HYDRAULIC CRIMPING TOOL SET HHY - 400AF BARTON</t>
  </si>
  <si>
    <t>INVT/EWK/446/</t>
  </si>
  <si>
    <t>Blackberry 9810 + A/G SPY + Perdana Simpati</t>
  </si>
  <si>
    <t>INVT/EWK/064/</t>
  </si>
  <si>
    <t>BPK ROBBY ANTONIUS POMPA</t>
  </si>
  <si>
    <t>INVT/EWK/150/</t>
  </si>
  <si>
    <t xml:space="preserve"> ENGINEERING</t>
  </si>
  <si>
    <t>TRITUNGGAL EKA PERKASA, CV (125/TEP/V-11)</t>
  </si>
  <si>
    <t>INVT/EWK/014/</t>
  </si>
  <si>
    <t>Anthena Ewalk</t>
  </si>
  <si>
    <t>MICROWAVE OVEN XIAOMI</t>
  </si>
  <si>
    <t>INVT/EWK/453/</t>
  </si>
  <si>
    <t xml:space="preserve">APARTEMEN IBU MEIVY </t>
  </si>
  <si>
    <t>Koreksi inventory ke peralatan kantor</t>
  </si>
  <si>
    <t>INVT/EWK/146/</t>
  </si>
  <si>
    <t>Compressor AC Tenant Ewalk</t>
  </si>
  <si>
    <t xml:space="preserve">PEMBELIAN 2 UNIT COLD FOG + MANUAL BOOK UNTUK MALL EWALK				</t>
  </si>
  <si>
    <t>INVT/EWK/20/07/002/</t>
  </si>
  <si>
    <t>Dipinjamkan Ke Mandiri Facility</t>
  </si>
  <si>
    <t>PT.HOME CENTER INDONESIA 08,10,000169</t>
  </si>
  <si>
    <t>INVT/EWK/018/</t>
  </si>
  <si>
    <t>TRITUNGGAL EKA PERKASA, CV 204/TEP/VII-11</t>
  </si>
  <si>
    <t>INVT/EWK/017/</t>
  </si>
  <si>
    <t>Fire Nozzle Gun Command Center</t>
  </si>
  <si>
    <t>PT.HITACHI MODERN SALES INDONESIA NT.24837</t>
  </si>
  <si>
    <t>INVT/EWK/019/</t>
  </si>
  <si>
    <t>Karunia Elektronik (NT,00334)</t>
  </si>
  <si>
    <t>INVT/EWK/016/</t>
  </si>
  <si>
    <t>PC CS Ewalk</t>
  </si>
  <si>
    <t>AIR CURTAIN FM-1512T/Y FUJIARE</t>
  </si>
  <si>
    <t>INVT/EWK/436/</t>
  </si>
  <si>
    <t>AC TENANT EWALK TAHAP I</t>
  </si>
  <si>
    <t>INVT/EWK/440/</t>
  </si>
  <si>
    <t>AC EWALK TAHAP II</t>
  </si>
  <si>
    <t>INVT/EWK/450/</t>
  </si>
  <si>
    <t>AIR CURTAIN FM-1512T/Y FUJIAIRE</t>
  </si>
  <si>
    <t>INVT/EWK/363/</t>
  </si>
  <si>
    <t>Gate Mall Ewalk</t>
  </si>
  <si>
    <t>INVT/EWK/364/</t>
  </si>
  <si>
    <t>INVT/EWK/333/</t>
  </si>
  <si>
    <t>Kantor P5</t>
  </si>
  <si>
    <t>AC SHARP 1 PK</t>
  </si>
  <si>
    <t>INVT/EWK/248/</t>
  </si>
  <si>
    <t xml:space="preserve">KANTOR PENGELOLA </t>
  </si>
  <si>
    <t>Software program undian belanja</t>
  </si>
  <si>
    <t>INVT/EWK/078/</t>
  </si>
  <si>
    <t>Keset 10 Meter</t>
  </si>
  <si>
    <t>INVT/EWK/058/</t>
  </si>
  <si>
    <t>Meja ODFL 01 Frontline (3) + Kursi type MI 02 (3)</t>
  </si>
  <si>
    <t>INVT/EWK/080/</t>
  </si>
  <si>
    <t>Computer tanpa monitor (1) + computer (1)-hrd &amp; purchasing</t>
  </si>
  <si>
    <t>INVT/EWK/114/</t>
  </si>
  <si>
    <t>UPS (div tenan relation &amp; komputer soundsystem)</t>
  </si>
  <si>
    <t>INVT/EWK/122/</t>
  </si>
  <si>
    <t>Pindahbuku telephone 150.000 dan 7 unit gerobak dari investasi ke peralatan kantor</t>
  </si>
  <si>
    <t>INVT/EWK/145/</t>
  </si>
  <si>
    <t>KANTOR PENGELOLA P5</t>
  </si>
  <si>
    <t xml:space="preserve">meja kerja 1/2 biro &amp; kursi kerja </t>
  </si>
  <si>
    <t>INVT/EWK/186/</t>
  </si>
  <si>
    <t>KURIS KERJA STAFF INDACHI</t>
  </si>
  <si>
    <t>INVT/EWK/214/</t>
  </si>
  <si>
    <t>KURSI KERJA STAFF ACTIVE</t>
  </si>
  <si>
    <t>INVT/EWK/215/</t>
  </si>
  <si>
    <t>INVT/EWK/217/</t>
  </si>
  <si>
    <t>INVT/EWK/219/</t>
  </si>
  <si>
    <t>INVT/EWK/240/</t>
  </si>
  <si>
    <t>KURSI KERJA indachi D-800</t>
  </si>
  <si>
    <t>INVT/EWK/242/</t>
  </si>
  <si>
    <t>SOFA DUDUKAN DUA MINIMALIS</t>
  </si>
  <si>
    <t>INVT/EWK/251/</t>
  </si>
  <si>
    <t>METERAN DIGITAL + KAMERA 80 METER SW-S80 SNDWAY</t>
  </si>
  <si>
    <t>INVT/EWK/388/</t>
  </si>
  <si>
    <t xml:space="preserve">KURSI KERJA STAFF PUTAR RODA AKTIV KENT KM 102 </t>
  </si>
  <si>
    <t>INVT/EWK/401/</t>
  </si>
  <si>
    <t>Spull Twitter + Input Speaker</t>
  </si>
  <si>
    <t>INVT/EWK/108/</t>
  </si>
  <si>
    <t>Kantor Pengelolah P5</t>
  </si>
  <si>
    <t>1 Unit Automatic Hand Sanitizer 1500 ML Stainless Steel Satin Color With Fingerprint L135 x W102 x H292mm &amp; 5 Unit Automatic Hand Sanitizer Disinfection Station Stainless Steel Color Silver D320 x H1200 - 1560mm L810 x W300 x H195mm</t>
  </si>
  <si>
    <t>INVT/EWK/20/09/001/</t>
  </si>
  <si>
    <t>Lift Ewalk</t>
  </si>
  <si>
    <t>Pindahbuku inventori ke keperalatan kantor (rincian terlampir di voucher)</t>
  </si>
  <si>
    <t>INVT/EWK/144/</t>
  </si>
  <si>
    <t>Lobby Ewalk</t>
  </si>
  <si>
    <t>PT.BARAT JAYA SENTOSA PERKASA (PRF 006)</t>
  </si>
  <si>
    <t>INVT/EWK/015/</t>
  </si>
  <si>
    <t>Mesin Compressor Tenant Ewalk</t>
  </si>
  <si>
    <t>SetSpringbed Central Horida</t>
  </si>
  <si>
    <t>INVT/EWK/013/</t>
  </si>
  <si>
    <t xml:space="preserve">Mess Karyawan </t>
  </si>
  <si>
    <t>Perlengkapan inventaris mess karyawan</t>
  </si>
  <si>
    <t>INVT/EWK/063/</t>
  </si>
  <si>
    <t>Sping bed (mess pak robby)</t>
  </si>
  <si>
    <t>INVT/EWK/118/</t>
  </si>
  <si>
    <t>Meja makan merk silent</t>
  </si>
  <si>
    <t>INVT/EWK/136/</t>
  </si>
  <si>
    <t>KASUR SPRING BED SINGLE BESAR</t>
  </si>
  <si>
    <t>INVT/EWK/467/</t>
  </si>
  <si>
    <t>MESS KARYAWAN AN YUSHAR FAHRIZAL</t>
  </si>
  <si>
    <t>AC 1 1/2 PK untuk ruang GAD yang baru &amp; untuk mushola lama</t>
  </si>
  <si>
    <t>INVT/EWK/160/</t>
  </si>
  <si>
    <t>MUSHOLA EWALK</t>
  </si>
  <si>
    <t>Pembelian 1 unit AC Split duct high static 5 PK daikin FDR05NY14 (Indoor + Outdoor) untuk pemasangan AC di toilet LG di koridor toilet LG-LT. 1</t>
  </si>
  <si>
    <t>INVT/EWK/20/01/001/</t>
  </si>
  <si>
    <t>SUMBER MAS ELEKTRONIK 2 unit AC Akari 2PK Untuk pemasangan AC di musholla baru e-walk</t>
  </si>
  <si>
    <t>INVT/EWK/200/</t>
  </si>
  <si>
    <t>MUSHOLA PRIA  WANITA EWALK</t>
  </si>
  <si>
    <t>1 unit laptop asus N551 @Rp. 10.350.000 Untuk back up data dan setting modul genset dan panel PKG</t>
  </si>
  <si>
    <t>INVT/EWK/180/</t>
  </si>
  <si>
    <t>PAM</t>
  </si>
  <si>
    <t>PAK ANDI ENGINEERING PAM LT3</t>
  </si>
  <si>
    <t>LAPTOP LENOVO V14 3150U SSD 256GB</t>
  </si>
  <si>
    <t>INVT/EWK/319/</t>
  </si>
  <si>
    <t>PAM lt 10</t>
  </si>
  <si>
    <t>Mobil Voxy B 2914 BRZ</t>
  </si>
  <si>
    <t>INVT/PNT/191/</t>
  </si>
  <si>
    <t xml:space="preserve">PAM Tower </t>
  </si>
  <si>
    <t xml:space="preserve">Duluxe Playing Center </t>
  </si>
  <si>
    <t>INVT/EWK/083/</t>
  </si>
  <si>
    <t>Air Curtain (untuk QQ Suki lobi timur LG)</t>
  </si>
  <si>
    <t>INVT/EWK/037/</t>
  </si>
  <si>
    <t>PINTU TIMUR LG</t>
  </si>
  <si>
    <t>CV. MULYA WIJAYA, tempat sampah</t>
  </si>
  <si>
    <t>INVT/EWK/207/</t>
  </si>
  <si>
    <t>Tempat Sampah Area Mall</t>
  </si>
  <si>
    <t>WASTE BIN STAINLESS STEEL</t>
  </si>
  <si>
    <t>INVT/EWK/270/</t>
  </si>
  <si>
    <t>INVT/EWK/272/</t>
  </si>
  <si>
    <t>TOTO TOILET CW630PJ</t>
  </si>
  <si>
    <t>INVT/EWK/275/</t>
  </si>
  <si>
    <t>Toilet Area Mall LG</t>
  </si>
  <si>
    <t>KURSI KERJA ADM</t>
  </si>
  <si>
    <t>INVT/EWK/236/</t>
  </si>
  <si>
    <t>Ruang Desain Ewalk</t>
  </si>
  <si>
    <t>KABINET FILLING COKLAT</t>
  </si>
  <si>
    <t>INVT/EWK/279/</t>
  </si>
  <si>
    <t>meja kerja 1/2 biro &amp; kursi kerja staff</t>
  </si>
  <si>
    <t>INVT/EWK/183/</t>
  </si>
  <si>
    <t>Ruang Design Ewalk</t>
  </si>
  <si>
    <t>Guard Tour Cheecking system</t>
  </si>
  <si>
    <t>INVT/EWK/163/</t>
  </si>
  <si>
    <t>RUANG SECURITY KANTOR PENGELOLA EWALK</t>
  </si>
  <si>
    <t>printer epson LX 310</t>
  </si>
  <si>
    <t>INVT/EWK/170/</t>
  </si>
  <si>
    <t>Ruang Store Pengelola</t>
  </si>
  <si>
    <t>MUSNAH</t>
  </si>
  <si>
    <t>Computer PC dan Printer Canon MP-258 (secretaris Dir &amp; Staff HRD )-028/NC/I/X/2011</t>
  </si>
  <si>
    <t>INVT/EWK/021/</t>
  </si>
  <si>
    <t>Laptop pak agustinus</t>
  </si>
  <si>
    <t>INVT/EWK/148/</t>
  </si>
  <si>
    <t>RUSAK</t>
  </si>
  <si>
    <t>Laptop asus ROG Intel i7-6700HQ 15,6</t>
  </si>
  <si>
    <t>INVT/EWK/166/</t>
  </si>
  <si>
    <t>Brankas Uchida Type BK-K 730</t>
  </si>
  <si>
    <t>INVT/EWK/002/</t>
  </si>
  <si>
    <t>Submersible Pumps Type 80 DF (Pompa Banjir)</t>
  </si>
  <si>
    <t>INVT/EWK/006/</t>
  </si>
  <si>
    <t>BASEMENT TIMUR</t>
  </si>
  <si>
    <t>Mesin AC Komprsor Jet Washer ( Robby A)</t>
  </si>
  <si>
    <t>INVT/EWK/007/</t>
  </si>
  <si>
    <t>AC LG 2 PK (ruang panel)</t>
  </si>
  <si>
    <t>INVT/EWK/111/</t>
  </si>
  <si>
    <t>RUANG PANEL REPLACE UNIT HITACHI</t>
  </si>
  <si>
    <t>AC LG 1 1/2 PK</t>
  </si>
  <si>
    <t>INVT/EWK/173/</t>
  </si>
  <si>
    <t>Pembelian 1 unit compresor AC 2PK Untuk Ganti Compresor AC Di Ruang Panel GF B Yang Shot Body</t>
  </si>
  <si>
    <t>INVT/EWK/19/11/003/</t>
  </si>
  <si>
    <t>Ruang Panel</t>
  </si>
  <si>
    <t>3 unit motor blower indoor AC HAF496 dan  3 unit motor blower indoor AC HAF497 @Rp. 6.515.000 Untuk ganti motor blower indoor AC tenant dan stock</t>
  </si>
  <si>
    <t>INVT/EWK/197/</t>
  </si>
  <si>
    <t>GIORDANO</t>
  </si>
  <si>
    <t>Pembelian compresor AC untuk Ganti Compresor AC Tenant Gosh Yang Jebol</t>
  </si>
  <si>
    <t>INVT/EWK/20/03/001/</t>
  </si>
  <si>
    <t>RUANG PANEL GF</t>
  </si>
  <si>
    <t>1 UNIT COMPRESOR AC 5 PK R22 SANYO ( Untuk Ganti Compresor AC Tenant Loly Poly Yang Shot Body )</t>
  </si>
  <si>
    <t>INVT/EWK/20/11/002/</t>
  </si>
  <si>
    <t>OUTDOOR TENANT NAUGHTY</t>
  </si>
  <si>
    <t>Motor Blower Indoor AC</t>
  </si>
  <si>
    <t>INVT/EWK/312/</t>
  </si>
  <si>
    <t>TENANT GIORDANO LITTLE X  KIDS STATION</t>
  </si>
  <si>
    <t>ELECTRIC WATER HEATER (PEMANAS AIR LISTRIK) AN 2RS 15 LITER ARISTON</t>
  </si>
  <si>
    <t>INVT/EWK/337/</t>
  </si>
  <si>
    <t>UNTUK GANTI WATER HEATER DI APARTEMEN KAMAR GM PAK YUDHI</t>
  </si>
  <si>
    <t>COMPRESSOR ANGIN DIRECT COUMPLING POWER 2HP DCC-200/30GD MULTIPRO EXPERT</t>
  </si>
  <si>
    <t>INVT/EWK/340/</t>
  </si>
  <si>
    <t>TANGGA LIPAT ALUMINIUM 8 STEP KRISBOW UK. PANJANG TANGGA LURUS : 4,8 M</t>
  </si>
  <si>
    <t>INVT/EWK/381/</t>
  </si>
  <si>
    <t>CLAMP METER/TANG AMPERE DIGITAL KYORITSU KEW SNAP 2003A</t>
  </si>
  <si>
    <t>INVT/EWK/383/</t>
  </si>
  <si>
    <t>INVT/EWK/168/</t>
  </si>
  <si>
    <t>INDRA STAFF FOODCOURT</t>
  </si>
  <si>
    <t>Tidak ditempel</t>
  </si>
  <si>
    <t>Tidak ditempel, Pintu lobi pantai</t>
  </si>
  <si>
    <t>di dalam casing CPU Pian TDC, Tidak ditempel</t>
  </si>
  <si>
    <t>Barang tertukar DGM/CCD ke Pak Affan, tidak di tempel, INVT/PNT/437</t>
  </si>
  <si>
    <t>dalam casing CPU</t>
  </si>
  <si>
    <t>INVT/PNT/572</t>
  </si>
  <si>
    <t>07 Jan 2026</t>
  </si>
  <si>
    <t>LED POSTER LIPAT INDOOR P2.5 SMD2020</t>
  </si>
  <si>
    <t>INVT/PNT/573</t>
  </si>
  <si>
    <t>19 Jan 2026</t>
  </si>
  <si>
    <t>HUAWEI MATEPAD SE 11" TABLET [6+128GB] | 2K EYE COMFORT DISPLAY | 7700MAH | METAL UNIBOD- NEBULA GREY</t>
  </si>
  <si>
    <t>INVT/PNT/574</t>
  </si>
  <si>
    <t>BRACKET TV UNIVERSAL + LED HD TV 43 INCH 43LM5500</t>
  </si>
  <si>
    <t>INVT/PNT/575</t>
  </si>
  <si>
    <t>26 Jan 2026</t>
  </si>
  <si>
    <t>MESIN GERINDA GWS 18V-8 BOSCH</t>
  </si>
  <si>
    <t>INVT/PNT/576</t>
  </si>
  <si>
    <t>30 Jan 2026</t>
  </si>
  <si>
    <t>MESIN GERGAJI SIRKEL CORDLESS ( CIRCULAR SAW ) BOSCH GKS 12 V-LI - 12V (UNIT ONLY)</t>
  </si>
  <si>
    <t>INVT/PNT/577</t>
  </si>
  <si>
    <t>14 Jan 2026</t>
  </si>
  <si>
    <t>MESIN GERGAJI JIGSAW BOSCH GST 185 LI</t>
  </si>
  <si>
    <t>INVT/PNT/578</t>
  </si>
  <si>
    <t>HARDWARE -- RFID UHF INTEGRATED READER (ASETA)</t>
  </si>
  <si>
    <t>INVT/PNT/579</t>
  </si>
  <si>
    <t>4.01-FINANCE ACCOUNTING</t>
  </si>
  <si>
    <t>PENGGANTIAN POMPA SUMP PIT DIAREA LG TENANT BAKOEL BAMBU, SOLARIA &amp; PARKIRAN MOTOR MEZANINE</t>
  </si>
  <si>
    <t>UNTUK MEDIA PROMOSI MALL PENTACITY 
Depan pintu Lift GF, depan escalator MLB, depan escalator sociolla, depan escalator garmin</t>
  </si>
  <si>
    <t>UNTUK KEPERLUAN MENDUKUNG KINERJA PEKERJAAN DAN PROGRAM PAPERLESS OLEH DEPARTEMEN TENANT RELATION &amp; SERVIS</t>
  </si>
  <si>
    <t>UNTUK PENAMBAHAN KAMERA CCTV TANGGA DARURAT &amp; RUANG AHU PENTACITY</t>
  </si>
  <si>
    <t xml:space="preserve">UNTUK KEPERLUAN PENAMBAHAN ALAT KERJA SIPIL PEKERJAAN PARTISI DAN PEKERJAAN MEBEL </t>
  </si>
  <si>
    <t xml:space="preserve">ASSET MANAGEMENT SYSTEM (ENTERPRICE) - ASETA
</t>
  </si>
  <si>
    <t>Penta</t>
  </si>
  <si>
    <t>PETZL RIG DESCENDER SAFETY RESCUE + CARABINER PETZL OXAN SCREWLOCK</t>
  </si>
  <si>
    <t>INVT/PNT/580</t>
  </si>
  <si>
    <t>04 Feb 2026</t>
  </si>
  <si>
    <t>INVT/PNT/581</t>
  </si>
  <si>
    <t>06 Feb 2026</t>
  </si>
  <si>
    <t>KURSI SUSUN MERK IRON</t>
  </si>
  <si>
    <t>INVT/PNT/582</t>
  </si>
  <si>
    <t>07 Feb 2026</t>
  </si>
  <si>
    <t>INVT/PNT/583</t>
  </si>
  <si>
    <t>09 Feb 2026</t>
  </si>
  <si>
    <t>INVT/PNT/584</t>
  </si>
  <si>
    <t>4.02-PURCHASING &amp; STORE</t>
  </si>
  <si>
    <t>HOLLYLAND SOLIDCOM SE 5S GLOBAL VERSION</t>
  </si>
  <si>
    <t>INVT/PNT/585</t>
  </si>
  <si>
    <t>MESIN KOPI FULL OTOMATIS FRANCESCO 02 HG - VENUELLA FULLY AUTOMATIC COFFEE MACHINE</t>
  </si>
  <si>
    <t>INVT/PNT/586</t>
  </si>
  <si>
    <t>20 Feb 2026</t>
  </si>
  <si>
    <t>LABEL WORKS LW-Z900FK EPSON</t>
  </si>
  <si>
    <t>INVT/PNT/587</t>
  </si>
  <si>
    <t>24 Feb 2026</t>
  </si>
  <si>
    <t>LAPTOP ASUS EXPERTBOOK P1403CVA S63850WS 14 FHD INTEL CORE I3</t>
  </si>
  <si>
    <t>INVT/PNT/588</t>
  </si>
  <si>
    <t>26 Feb 2026</t>
  </si>
  <si>
    <t>UNTUK KEPERLUAN RESCUE PADA KECELAKAAN KERJA PADA KETINGGIAN (K3)</t>
  </si>
  <si>
    <t>UNTUK KEPERLUAN PENYIMPANAN BARANG BARANG EVENT DALAM GUDANG EVENT PROMO</t>
  </si>
  <si>
    <t>UNTUK KEBUTUHAN PENGADAAN MEJA DAN KURSI PERLENGKAPAN MALL, DEPT. EVENT &amp; PROMO</t>
  </si>
  <si>
    <t>UNTUK LEMARI ARSIP STORE</t>
  </si>
  <si>
    <t xml:space="preserve">UNTUK KEBUTUHAN FASILITAS KARYAWAN (PANTRY KANTOR P5) </t>
  </si>
  <si>
    <t>ALAT BANTU KERJA LABEL PANEL, LABEL KABEL DAN GRUPING INSTALASI - ENGINEERING</t>
  </si>
  <si>
    <t>UNTUK KEBUTUHAN PENGELOLAAN DATA ASET PERUSAHAAN - GA</t>
  </si>
  <si>
    <t>RAK BESI 5 TINGKAT KRISBOW</t>
  </si>
  <si>
    <t>INVT/PNT/589</t>
  </si>
  <si>
    <t>02 Mar 2026</t>
  </si>
  <si>
    <t>KURSI KERJA MANAGER</t>
  </si>
  <si>
    <t>INVT/PNT/590</t>
  </si>
  <si>
    <t>04 Mar 2026</t>
  </si>
  <si>
    <t>APPLE IPAD AIR M3 2025 WIFI 256 GB 11 INCH SPACE GRAY</t>
  </si>
  <si>
    <t>INVT/PNT/591</t>
  </si>
  <si>
    <t>LOGITECH FOLIO TOUCH KEYBOARD IPAD AIR M3 11 INCH 2025</t>
  </si>
  <si>
    <t>INVT/PNT/592</t>
  </si>
  <si>
    <t>INVT/PNT/593</t>
  </si>
  <si>
    <t>09 Mar 2026</t>
  </si>
  <si>
    <t>INVT/PNT/594</t>
  </si>
  <si>
    <t>12 Mar 2026</t>
  </si>
  <si>
    <t>INVT/PNT/595</t>
  </si>
  <si>
    <t>MEJA MAKAN + 4 KURSI</t>
  </si>
  <si>
    <t>INVT/PNT/596</t>
  </si>
  <si>
    <t>17 Mar 2026</t>
  </si>
  <si>
    <t>LEMARI KABINET 2 PINTU AYUN METAL LOW + LEMARI ARSIP METAL 2 PINTU AKRILIK HALF</t>
  </si>
  <si>
    <t>INVT/PNT/597</t>
  </si>
  <si>
    <t xml:space="preserve">UNTUK KEPERLUAN PENYIMPANAN BARANG DI GUDANG TIM PROMO RAB BULAN JANUARI - FEBRUARI 2026 </t>
  </si>
  <si>
    <t>KEBUTUHAN KURSI MANAGER HRGA &amp; LEGAL (BPK REZA ILYASA)</t>
  </si>
  <si>
    <t>UNTUK KEPERLUAN KERJA GENERAL MANAGER ( BPK ALFIALDY )</t>
  </si>
  <si>
    <t>UNTUK KEPERLUAN PEREMAJAAN MONITOR DIVISI CCD (BPK DIDIT)</t>
  </si>
  <si>
    <t xml:space="preserve">PENGGANTIAN PAGGING COSTUMER SERVICE YANG RUSAK </t>
  </si>
  <si>
    <t>UNTUK KEBUTUHAN DI AREA APARTEMEN GM DI RUBBY TOWER</t>
  </si>
  <si>
    <t>UNTUK KEBUTUHAN DI RUANG KERJA GM KANTOR P5 PENTACITY</t>
  </si>
  <si>
    <t>OPPO A5 NFC 8/256GB</t>
  </si>
  <si>
    <t>INVT/EWK/530</t>
  </si>
  <si>
    <t>01 Jan 2026</t>
  </si>
  <si>
    <t>CLAMP METER TRUE RMS FLUKE 376</t>
  </si>
  <si>
    <t>INVT/EWK/531</t>
  </si>
  <si>
    <t>UNTUK GANTI CLAMP METER YANG RUSAK (PEMBACAAN TIDAK AKURAT)</t>
  </si>
  <si>
    <t>27 Jan 2026</t>
  </si>
  <si>
    <t xml:space="preserve">UNTUK PENGGANTIAN TABLET RUANG COMMAND CENTER </t>
  </si>
  <si>
    <t>THERMOMETER DIGITAL OMRON MC-720</t>
  </si>
  <si>
    <t>INVT/EWK/532</t>
  </si>
  <si>
    <t>19 Feb 2026</t>
  </si>
  <si>
    <t>TANGGA LIPAT FIBERGLASS 12 STEP</t>
  </si>
  <si>
    <t>INVT/EWK/533</t>
  </si>
  <si>
    <t>12 Feb 2026</t>
  </si>
  <si>
    <t xml:space="preserve">MOTOR BEAT STREET </t>
  </si>
  <si>
    <t>KEND/EWK/009</t>
  </si>
  <si>
    <t>01 Feb 2026</t>
  </si>
  <si>
    <t>UNTUK PERLENGKAPAN FIRST AID - K3</t>
  </si>
  <si>
    <t>UNTUK PENAMBAHAN ALAT KERJA - VISUAL MERCHANDISE</t>
  </si>
  <si>
    <t xml:space="preserve">REALISASI KASBON PEMBELIAN 1 UNIT KENDARAAN MOTOR UNTUK OPERASIONAL KARYAWAN DI JAKARTA </t>
  </si>
  <si>
    <t>AC MIDEA 2 PK (INDOOR + OUTDOOR)</t>
  </si>
  <si>
    <t>INVT/EWK/534</t>
  </si>
  <si>
    <t>01 Mar 2026</t>
  </si>
  <si>
    <t>INVT/EWK/535</t>
  </si>
  <si>
    <t>INVT/EWK/536</t>
  </si>
  <si>
    <t>03 Mar 2026</t>
  </si>
  <si>
    <t>INVT/EWK/538</t>
  </si>
  <si>
    <t>23 Mar 2026</t>
  </si>
  <si>
    <t>POMPA SUMPIT EBARA 80 DL 53,7 3,7 KW/380 VOLT 4 POLE</t>
  </si>
  <si>
    <t>INVT/EWK/539</t>
  </si>
  <si>
    <t>28 Mar 2026</t>
  </si>
  <si>
    <t>MESIN CUT OFF SAW BOSCH GCO 14-24 PROFESIONAL</t>
  </si>
  <si>
    <t>INVT/EWK/540</t>
  </si>
  <si>
    <t>29 Mar 2026</t>
  </si>
  <si>
    <t>SOLIDCOM SE 5S GLOBAL HOLLYLAND</t>
  </si>
  <si>
    <t>INVT/EWK/541</t>
  </si>
  <si>
    <t>BOX PANEL OUTDOOR UK 80 CM X 120 CM X 30 CM</t>
  </si>
  <si>
    <t>INVT/EWK/542</t>
  </si>
  <si>
    <t>VACUUM CLEANER WET ABD DRY HOME USE BUDDY II</t>
  </si>
  <si>
    <t>INVT/EWK/543</t>
  </si>
  <si>
    <t>INVT/EWK/544</t>
  </si>
  <si>
    <t xml:space="preserve">UNTUK PEMASANGAN UNIT BARU TENANT J'DELI </t>
  </si>
  <si>
    <t>UNTUK KEPERLUAN PENYIMPANAN BARANG DI GUDANG TIM PROMO</t>
  </si>
  <si>
    <t>UNTUK GANTI PRINTER ADMIN ENGINERING E-WALK ( IBU MULYANA ), KERUSAKAN PADA ENCODER / SENSOR TINTA</t>
  </si>
  <si>
    <t>UNTUK KEPERLUAN PENGGANTIAN MONITOR CS EWALK</t>
  </si>
  <si>
    <t>UNTUK GANTI POMPA SUMPIT RAMP STARBUCK YANG SUDAH LEMAH</t>
  </si>
  <si>
    <t>UNTUK GANTI MESIN CUTTING WHEEL ENGINEERING YANG RUSAK / MOTOR SUDAH LEMAH</t>
  </si>
  <si>
    <t>UNTUK PERLENGKAPAN EVENT MALL TIM EVENT &amp; PROMO</t>
  </si>
  <si>
    <t xml:space="preserve">U/N PENAMBAHAN BOX PANEL LAMPU LOGO LT. 10 </t>
  </si>
  <si>
    <t>UNTUK ALAT PERAWATAN DAN KEBERSIHAN GUDANG STORE</t>
  </si>
  <si>
    <t>eWalk</t>
  </si>
  <si>
    <t>TAHUN 2026</t>
  </si>
  <si>
    <t>Tidak ditempel karena tinggi areanya</t>
  </si>
  <si>
    <t>MEJA PANJANG LIPAT</t>
  </si>
  <si>
    <t>Revisi Nama</t>
  </si>
  <si>
    <t>UP FOTO</t>
  </si>
  <si>
    <t>DISPENSER SWD-78EHL-SL MERK SHARP</t>
  </si>
  <si>
    <t>INVT/PNT/598</t>
  </si>
  <si>
    <t>INVT/PNT/599</t>
  </si>
  <si>
    <t xml:space="preserve">AC 1PK ( INDOOR + OUTDOOR ) MERK AKARI </t>
  </si>
  <si>
    <t>INVT/PNT/600</t>
  </si>
  <si>
    <t>INVT/PNT/601</t>
  </si>
  <si>
    <t>INVT/PNT/602</t>
  </si>
  <si>
    <t xml:space="preserve">POMPA GRUNDFOS CR5-24 A-FGJ-A-E-HQQE ( POMPA JOCKEY ) </t>
  </si>
  <si>
    <t>INVT/PNT/603</t>
  </si>
  <si>
    <t>INVT/PNT/604</t>
  </si>
  <si>
    <t xml:space="preserve">UNTUK KEBUTUHAN DI APARTEMENT GM AREA RUBBY TOWER </t>
  </si>
  <si>
    <t>UNTUK KEBUTUHAN PENGANTIAN UNIT AC YANG RUSAK DI KAMAR ANAK AREA APARRTEMENT GM RUBBY TOWER</t>
  </si>
  <si>
    <t>UNTUK KEBUTUHAN PENGANTIAN UNIT AC YANG RUSAK DI KAMAR UTAMA AREA APARRTEMENT GM RUBBY TOWER</t>
  </si>
  <si>
    <t>UNTUK KEPERLUAN PENAMBAHAN KAMERA CCTV AREA THE HALL</t>
  </si>
  <si>
    <t>PERUNTUKAN PENGGANTIAN POMPA SUMP PIT TENANT KFC NO. 02 YANG SHORT/TERBAKAR</t>
  </si>
  <si>
    <t>PENGGANTIAN UNIT POMPA JOCKEY PUMP YANG RUSAK KOROSI &amp; DAYA HISAPDORONG SUDAH TIDAK MAKSIMAL KARNA PEMAKAIAN - DI RUANG POMPA PENTACITY</t>
  </si>
  <si>
    <t>SWITCH POE 5 PORTS TP - LINK TL - SG1005P (3pcs) + NAM-212FL DOME CAMERA IP 2MP INDOOR (6pcs)</t>
  </si>
  <si>
    <t>No</t>
  </si>
  <si>
    <t>Nama Aset</t>
  </si>
  <si>
    <t>Kode Aset</t>
  </si>
  <si>
    <t>No Register</t>
  </si>
  <si>
    <t>Tanggal Perolehan</t>
  </si>
  <si>
    <t>Vendor</t>
  </si>
  <si>
    <t>Spesifikasi</t>
  </si>
  <si>
    <t>Department</t>
  </si>
  <si>
    <t>Asset User</t>
  </si>
  <si>
    <t>Pak Daniel</t>
  </si>
  <si>
    <t>DAIHATSU Xenia 1.3 X A/T KT 1629 AH</t>
  </si>
  <si>
    <t>/000001</t>
  </si>
  <si>
    <t>TOYOTA AVANZA VELOZ B 2305 BFO</t>
  </si>
  <si>
    <t>Kendaraan Ewalk (KT2645 YZ/2895ZI)</t>
  </si>
  <si>
    <t>PAM Tower</t>
  </si>
  <si>
    <t>Developer</t>
  </si>
  <si>
    <t>WBL</t>
  </si>
  <si>
    <t>Kijang Inova KT 1958 KR</t>
  </si>
  <si>
    <t>JKT</t>
  </si>
  <si>
    <t>Pak Kiki</t>
  </si>
  <si>
    <t>Project</t>
  </si>
  <si>
    <t>LEXUS RX300 LUXURY B 1983 PJT</t>
  </si>
  <si>
    <t>Owner</t>
  </si>
  <si>
    <t>Pak Tri</t>
  </si>
  <si>
    <t>Ibu Vero</t>
  </si>
  <si>
    <t>Ruby Tower</t>
  </si>
  <si>
    <t>Estate</t>
  </si>
  <si>
    <t>Kawasan BSB</t>
  </si>
  <si>
    <t>Pembelian Mesin Kopi untuk Astara Pentapolis PO:0150/WBL/PRJCT-PENTAPOLIS/PO/V/2017</t>
  </si>
  <si>
    <t>0/000001</t>
  </si>
  <si>
    <t>Hotel Astara</t>
  </si>
  <si>
    <t xml:space="preserve"> Generator Set (Genset) - Kap. 1000 KVA, buatan india, open</t>
  </si>
  <si>
    <t xml:space="preserve"> Pompa Simpit</t>
  </si>
  <si>
    <t xml:space="preserve"> Genset - Perkins 800 KVA, open</t>
  </si>
  <si>
    <t>Power House</t>
  </si>
  <si>
    <t>Reserve Osmosis System</t>
  </si>
  <si>
    <t>WTP</t>
  </si>
  <si>
    <t>Project Lt.3</t>
  </si>
  <si>
    <t>Staff Civil</t>
  </si>
  <si>
    <t>WTP Kawasan</t>
  </si>
  <si>
    <t>Power House Kawasan</t>
  </si>
  <si>
    <t>1 Unit Water Meter Fouzhu B&amp;R Uk 2"</t>
  </si>
  <si>
    <t>P/Kawasan-012</t>
  </si>
  <si>
    <t>P/Kawasan-012/000001</t>
  </si>
  <si>
    <t>1 Unit Tangga Lipat</t>
  </si>
  <si>
    <t>P/Kawasan-025</t>
  </si>
  <si>
    <t>P/Kawasan-025/000001</t>
  </si>
  <si>
    <t>WATER HEATER APT 701</t>
  </si>
  <si>
    <t>P/Kawasan-028</t>
  </si>
  <si>
    <t>P/Kawasan-028/000001</t>
  </si>
  <si>
    <t>Pembelian Note Book dan printer ( Pinjamanan ke Developer)</t>
  </si>
  <si>
    <t>WBL/AT/AQB/17-01</t>
  </si>
  <si>
    <t>WBL/AT/AQB/17-01/000001</t>
  </si>
  <si>
    <t xml:space="preserve">Carpet Warry Grid Untuk Tempat Wudhu Musholah </t>
  </si>
  <si>
    <t>WBL/AT/AQB/17-02</t>
  </si>
  <si>
    <t>WBL/AT/AQB/17-02/000001</t>
  </si>
  <si>
    <t>Aquaboom</t>
  </si>
  <si>
    <t xml:space="preserve">Pembelian Mesin Finger X-100 C </t>
  </si>
  <si>
    <t>WBL/AT/AQB/17-03</t>
  </si>
  <si>
    <t>WBL/AT/AQB/17-03/000001</t>
  </si>
  <si>
    <t>Office AQB</t>
  </si>
  <si>
    <t>Acrilyc susu ( Ukuran Tinggi Badan) po 01/X/AQB/2017</t>
  </si>
  <si>
    <t>WBL/AT/AQB/17-06</t>
  </si>
  <si>
    <t>WBL/AT/AQB/17-06/000001</t>
  </si>
  <si>
    <t>Beli Print Server Untuk FnB</t>
  </si>
  <si>
    <t>WBL/AT/AQB/18-01</t>
  </si>
  <si>
    <t>WBL/AT/AQB/18-01/000001</t>
  </si>
  <si>
    <t>GudangAQB</t>
  </si>
  <si>
    <t>Office Aquaboom</t>
  </si>
  <si>
    <t>Staff Aquaboom</t>
  </si>
  <si>
    <t>UPS ica CE 60 untuk Marketing</t>
  </si>
  <si>
    <t>WBL/AT/AQB/18-03</t>
  </si>
  <si>
    <t>WBL/AT/AQB/18-03/000001</t>
  </si>
  <si>
    <t>Ruang Server AQB</t>
  </si>
  <si>
    <t>HP Xiaomi redmi 3A untuk edc Pampasy</t>
  </si>
  <si>
    <t>WBL/AT/AQB/18-05</t>
  </si>
  <si>
    <t>WBL/AT/AQB/18-05/000001</t>
  </si>
  <si>
    <t>WBL/AT/AQB/18-05/000002</t>
  </si>
  <si>
    <t>WBL/AT/AQB/18-05/000003</t>
  </si>
  <si>
    <t>WBL/AT/AQB/18-05/000004</t>
  </si>
  <si>
    <t>WBL/AT/AQB/18-05/000005</t>
  </si>
  <si>
    <t>WBL/AT/AQB/18-05/000006</t>
  </si>
  <si>
    <t>WBL/AT/AQB/18-05/000007</t>
  </si>
  <si>
    <t>Timbangan Digital Untuk dimedis Dan Beli Selimut Untuk Dimedi</t>
  </si>
  <si>
    <t>WBL/AT/AQB/18-06</t>
  </si>
  <si>
    <t>WBL/AT/AQB/18-06/000001</t>
  </si>
  <si>
    <t>Ruang Medis AQB</t>
  </si>
  <si>
    <t xml:space="preserve">Pembelian Printer sunmi 5.5 Android With printer </t>
  </si>
  <si>
    <t>WBL/AT/AQB/18-07</t>
  </si>
  <si>
    <t>WBL/AT/AQB/18-07/000001</t>
  </si>
  <si>
    <t>Gudang AQB Sebelah Ruang Medis</t>
  </si>
  <si>
    <t>Kolam AQB</t>
  </si>
  <si>
    <t>Vacum Head merk Pentair r201388 2 Pcs</t>
  </si>
  <si>
    <t>WBL/AT/AQB/18-11</t>
  </si>
  <si>
    <t>WBL/AT/AQB/18-11/000001</t>
  </si>
  <si>
    <t>Leaf skimer Pentair R 121126</t>
  </si>
  <si>
    <t>WBL/AT/AQB/18-14</t>
  </si>
  <si>
    <t>WBL/AT/AQB/18-14/000001</t>
  </si>
  <si>
    <t>Mess AQB</t>
  </si>
  <si>
    <t>pintu PVC untuk mess aquaboom</t>
  </si>
  <si>
    <t>WBL/AT/AQB/18-17</t>
  </si>
  <si>
    <t>WBL/AT/AQB/18-17/000001</t>
  </si>
  <si>
    <t>WBL/AT/AQB/18-17/000002</t>
  </si>
  <si>
    <t>WBL/AT/AQB/18-17/000003</t>
  </si>
  <si>
    <t>Pembelian 1 Seagete back up plus TB 1 seagate plus ultra slim ( hard disk)</t>
  </si>
  <si>
    <t>WBL/AT/AQB/18-19</t>
  </si>
  <si>
    <t>WBL/AT/AQB/18-19/000001</t>
  </si>
  <si>
    <t>Lemari pakaian 1 Pintu</t>
  </si>
  <si>
    <t>WBL/AT/AQB/19-01</t>
  </si>
  <si>
    <t>WBL/AT/AQB/19-01/000001</t>
  </si>
  <si>
    <t>WBL/AT/AQB/19-01/000002</t>
  </si>
  <si>
    <t>WBL/AT/AQB/19-01/000003</t>
  </si>
  <si>
    <t>Pembelian 6 selimut ukuran 150 x 200</t>
  </si>
  <si>
    <t>WBL/AT/AQB/19-02</t>
  </si>
  <si>
    <t>WBL/AT/AQB/19-02/000001</t>
  </si>
  <si>
    <t>Pembelian 1 Bed Sheet Single 100 x 200 dan 120 x 200</t>
  </si>
  <si>
    <t>WBL/AT/AQB/19-03</t>
  </si>
  <si>
    <t>WBL/AT/AQB/19-03/000001</t>
  </si>
  <si>
    <t>pembelian Time on delay ladiz  Schneider 1 Pcs</t>
  </si>
  <si>
    <t>WBL/AT/AQB/19-05</t>
  </si>
  <si>
    <t>WBL/AT/AQB/19-05/000001</t>
  </si>
  <si>
    <t>Beli water boiler</t>
  </si>
  <si>
    <t>WBL/AT/AQB/19-06</t>
  </si>
  <si>
    <t>WBL/AT/AQB/19-06/000001</t>
  </si>
  <si>
    <t>Pembelian plong ID Card</t>
  </si>
  <si>
    <t>WBL/AT/AQB/19-07</t>
  </si>
  <si>
    <t>WBL/AT/AQB/19-07/000001</t>
  </si>
  <si>
    <t>Pembelian corsair so dimm ddr 4 16 GB</t>
  </si>
  <si>
    <t>WBL/AT/AQB/19-08</t>
  </si>
  <si>
    <t>WBL/AT/AQB/19-08/000001</t>
  </si>
  <si>
    <t>Laptop Pak Arman BSB Beach</t>
  </si>
  <si>
    <t>Pak Arman</t>
  </si>
  <si>
    <t xml:space="preserve">Pembelian Baterai Osmo Itelegent </t>
  </si>
  <si>
    <t>WBL/AT/AQB/19-09</t>
  </si>
  <si>
    <t>WBL/AT/AQB/19-09/000001</t>
  </si>
  <si>
    <t>Oli Mesin utk HK , Cetok Semen utk HK , Keperluan HK</t>
  </si>
  <si>
    <t>WBL/AT/AQB/19-14</t>
  </si>
  <si>
    <t>WBL/AT/AQB/19-14/000001</t>
  </si>
  <si>
    <t>Pembelian michowafe</t>
  </si>
  <si>
    <t>WBL/AT/AQB/19-16</t>
  </si>
  <si>
    <t>WBL/AT/AQB/19-16/000001</t>
  </si>
  <si>
    <t>Pembelian mesin cuci</t>
  </si>
  <si>
    <t>WBL/AT/AQB/19-18</t>
  </si>
  <si>
    <t>WBL/AT/AQB/19-18/000001</t>
  </si>
  <si>
    <t>Loker Wanita AQB</t>
  </si>
  <si>
    <t>Ruang Mesin P6</t>
  </si>
  <si>
    <t xml:space="preserve">Pembelian 8 Unit HT </t>
  </si>
  <si>
    <t>WBL/AT/AQB/19-23</t>
  </si>
  <si>
    <t>WBL/AT/AQB/19-23/000001</t>
  </si>
  <si>
    <t>WBL/AT/AQB/19-23/000002</t>
  </si>
  <si>
    <t>WBL/AT/AQB/19-23/000003</t>
  </si>
  <si>
    <t>WBL/AT/AQB/19-23/000004</t>
  </si>
  <si>
    <t>WBL/AT/AQB/19-23/000005</t>
  </si>
  <si>
    <t>WBL/AT/AQB/19-23/000006</t>
  </si>
  <si>
    <t>WBL/AT/AQB/19-23/000007</t>
  </si>
  <si>
    <t>WBL/AT/AQB/19-23/000008</t>
  </si>
  <si>
    <t>Pembelian Kipas Angin 1 Pcs</t>
  </si>
  <si>
    <t>WBL/AT/AQB/20-02</t>
  </si>
  <si>
    <t>WBL/AT/AQB/20-02/000001</t>
  </si>
  <si>
    <t>Pembelian Hanger baju renang</t>
  </si>
  <si>
    <t>WBL/AT/AQB/20-06</t>
  </si>
  <si>
    <t>WBL/AT/AQB/20-06/000001</t>
  </si>
  <si>
    <t xml:space="preserve">Ruang Souvenir </t>
  </si>
  <si>
    <t>Pembelian Kipas angin 1 Pcs, Kemoceng 2 Pcs</t>
  </si>
  <si>
    <t>WBL/AT/AQB/20-10</t>
  </si>
  <si>
    <t>WBL/AT/AQB/20-10/000001</t>
  </si>
  <si>
    <t>CS AQB</t>
  </si>
  <si>
    <t>Pembelian Coolpad Termometer 1 Pcs</t>
  </si>
  <si>
    <t>WBL/AT/AQB/20-15</t>
  </si>
  <si>
    <t>WBL/AT/AQB/20-15/000001</t>
  </si>
  <si>
    <t>Pembelian Teskit 2 Pcs</t>
  </si>
  <si>
    <t>WBL/AT/AQB/20-16</t>
  </si>
  <si>
    <t>WBL/AT/AQB/20-16/000001</t>
  </si>
  <si>
    <t>Flexible Coupling 1 pcs &amp; ongkir (Sambungan motor pompa sirkulasi oasis)</t>
  </si>
  <si>
    <t>WBL/AT/AQB</t>
  </si>
  <si>
    <t>WBL/AT/AQB/000001</t>
  </si>
  <si>
    <t>Mata corring 77mm</t>
  </si>
  <si>
    <t>Mata corring 132mm</t>
  </si>
  <si>
    <t>PC Pro Intel Dual Core 2.9 Ghz, 3 MB -APT &amp; UPS Prolink SN 508601134202859 - APT</t>
  </si>
  <si>
    <t>IK/Kawasan-002</t>
  </si>
  <si>
    <t>IK/Kawasan-002/000001</t>
  </si>
  <si>
    <t>Receptionist Aero</t>
  </si>
  <si>
    <t>Aeropolis</t>
  </si>
  <si>
    <t>Printer Epson L210 u/ Receiptionist APT</t>
  </si>
  <si>
    <t>IK/Kawasan-005</t>
  </si>
  <si>
    <t>IK/Kawasan-005/000001</t>
  </si>
  <si>
    <t>Ruang Estate Lt.3</t>
  </si>
  <si>
    <t>Project Hitachi CP-EX300 @ Kantor Estate Ruby Tower</t>
  </si>
  <si>
    <t>IK/Kawasan-008</t>
  </si>
  <si>
    <t>IK/Kawasan-008/000001</t>
  </si>
  <si>
    <t>Ruang IT Lt.3</t>
  </si>
  <si>
    <t>Printer Epson PSCL210 @ A/R Reni</t>
  </si>
  <si>
    <t>IK/Kawasan-011</t>
  </si>
  <si>
    <t>IK/Kawasan-011/000001</t>
  </si>
  <si>
    <t>1 Unit Wireless NTP LINK TD VG3631 1</t>
  </si>
  <si>
    <t>IK/Kawasan-017</t>
  </si>
  <si>
    <t>IK/Kawasan-017/000001</t>
  </si>
  <si>
    <t>1 Unit AC LG 1 PK Apt Bpk Hendrik</t>
  </si>
  <si>
    <t>IK/Kawasan-023</t>
  </si>
  <si>
    <t>IK/Kawasan-023/000001</t>
  </si>
  <si>
    <t>Ariston Star Water Heater 15 Ltr</t>
  </si>
  <si>
    <t>INV-EST-18-017</t>
  </si>
  <si>
    <t>INV-EST-18-017/000001</t>
  </si>
  <si>
    <t>Office Apt Aero</t>
  </si>
  <si>
    <t>Staff Aero</t>
  </si>
  <si>
    <t>Epson L360</t>
  </si>
  <si>
    <t>INV-EST-18-002</t>
  </si>
  <si>
    <t>INV-EST-18-002/000001</t>
  </si>
  <si>
    <t>HDD WD 2TB</t>
  </si>
  <si>
    <t>INV-EST-18-003</t>
  </si>
  <si>
    <t>INV-EST-18-003/000001</t>
  </si>
  <si>
    <t>Ruang CCTV Ruby Tower</t>
  </si>
  <si>
    <t>Printer Epson L360</t>
  </si>
  <si>
    <t>INV-EST-18-004</t>
  </si>
  <si>
    <t>INV-EST-18-004/000001</t>
  </si>
  <si>
    <t>Mba Dina</t>
  </si>
  <si>
    <t>Printer Epson L405</t>
  </si>
  <si>
    <t>INV-EST-18-006</t>
  </si>
  <si>
    <t>INV-EST-18-006/000001</t>
  </si>
  <si>
    <t>Printer Epson L-3110</t>
  </si>
  <si>
    <t>INV-EST-18-018</t>
  </si>
  <si>
    <t>INV-EST-18-018/000001</t>
  </si>
  <si>
    <t>Meja Astari FA PAM Tower</t>
  </si>
  <si>
    <t>Astari</t>
  </si>
  <si>
    <t>Printer Epson 3110</t>
  </si>
  <si>
    <t>INV-EST-18-019</t>
  </si>
  <si>
    <t>INV-EST-18-019/000001</t>
  </si>
  <si>
    <t>Meja Juliet FA PAM Tower</t>
  </si>
  <si>
    <t>Juliet</t>
  </si>
  <si>
    <t>AC 2 PK</t>
  </si>
  <si>
    <t>Pembelian printer AR Estate</t>
  </si>
  <si>
    <t>INV-EST-19-026</t>
  </si>
  <si>
    <t>INV-EST-19-026/000001</t>
  </si>
  <si>
    <t>Mess Karyawan</t>
  </si>
  <si>
    <t>Karyawan BSB</t>
  </si>
  <si>
    <t xml:space="preserve">Gudang Ruby Tower </t>
  </si>
  <si>
    <t>mesin absensi untuk stock gudang</t>
  </si>
  <si>
    <t>pengganti mesin absensi di ruby</t>
  </si>
  <si>
    <t>tv led aero 11-03B</t>
  </si>
  <si>
    <t>TV Apt 1103B</t>
  </si>
  <si>
    <t>po 101/XI/KWSN/2022</t>
  </si>
  <si>
    <t>PO  102/XII/APT/2022</t>
  </si>
  <si>
    <t>Printer Estate</t>
  </si>
  <si>
    <t>Ruang Pak Denny Lt.3</t>
  </si>
  <si>
    <t>Pak Denny</t>
  </si>
  <si>
    <t>FA Lt.10</t>
  </si>
  <si>
    <t>Kursi Kerja Staff</t>
  </si>
  <si>
    <t>INVT/PNT/001</t>
  </si>
  <si>
    <t>INVT/PNT/001/000001</t>
  </si>
  <si>
    <t>Kursi Manager KENT KD 102</t>
  </si>
  <si>
    <t>INVT/PNT/002</t>
  </si>
  <si>
    <t>INVT/PNT/002/000001</t>
  </si>
  <si>
    <t>Ruangan Finance &amp; Accounting</t>
  </si>
  <si>
    <t>INVT/PNT/003</t>
  </si>
  <si>
    <t>INVT/PNT/003/000001</t>
  </si>
  <si>
    <t>INVT/PNT/004</t>
  </si>
  <si>
    <t>INVT/PNT/004/000001</t>
  </si>
  <si>
    <t>Meja File ND S1</t>
  </si>
  <si>
    <t>INVT/PNT/005</t>
  </si>
  <si>
    <t>INVT/PNT/005/000001</t>
  </si>
  <si>
    <t>Store Pengelola</t>
  </si>
  <si>
    <t>Lemari Pintu Panel Credenza Grand ND LD 8</t>
  </si>
  <si>
    <t>INVT/PNT/006</t>
  </si>
  <si>
    <t>INVT/PNT/006/000001</t>
  </si>
  <si>
    <t>Ruang Legal Pengelola P5</t>
  </si>
  <si>
    <t>Kabinet 4 Rack</t>
  </si>
  <si>
    <t>INVT/PNT/007</t>
  </si>
  <si>
    <t>INVT/PNT/007/000001</t>
  </si>
  <si>
    <t>Ruang Promo Pengelola P5</t>
  </si>
  <si>
    <t>Lemari File Grand Pintu NB HB 5</t>
  </si>
  <si>
    <t>INVT/PNT/008</t>
  </si>
  <si>
    <t>INVT/PNT/008/000001</t>
  </si>
  <si>
    <t>Lemari File Grand Pintu NB HB 6</t>
  </si>
  <si>
    <t>INVT/PNT/009</t>
  </si>
  <si>
    <t>INVT/PNT/009/000001</t>
  </si>
  <si>
    <t>Meja Kerja ND 502 A</t>
  </si>
  <si>
    <t>INVT/PNT/010</t>
  </si>
  <si>
    <t>INVT/PNT/010/000001</t>
  </si>
  <si>
    <t>FA (4), Promosi (4), Design</t>
  </si>
  <si>
    <t>Meja Kerja ND 503 A</t>
  </si>
  <si>
    <t>INVT/PNT/011</t>
  </si>
  <si>
    <t>INVT/PNT/011/000001</t>
  </si>
  <si>
    <t xml:space="preserve">Laci Meja Kerja ND KL  </t>
  </si>
  <si>
    <t>INVT/PNT/012</t>
  </si>
  <si>
    <t>INVT/PNT/012/000001</t>
  </si>
  <si>
    <t>Dispenser Sanken HWD-920</t>
  </si>
  <si>
    <t>INVT/PNT/013</t>
  </si>
  <si>
    <t>INVT/PNT/013/000001</t>
  </si>
  <si>
    <t>di Apart Bpk Yudhi (GM Mall Pentacity)</t>
  </si>
  <si>
    <t>AC  SPLIT LG S12NLA 2 PK</t>
  </si>
  <si>
    <t>INVT/PNT/014</t>
  </si>
  <si>
    <t>INVT/PNT/014/000001</t>
  </si>
  <si>
    <t xml:space="preserve">Bu Ayu, Pak Reza Ilyasa, IT </t>
  </si>
  <si>
    <t>AC SPLIT LG S18NLA 1 1/2 PK</t>
  </si>
  <si>
    <t>INVT/PNT/015</t>
  </si>
  <si>
    <t>INVT/PNT/015/000001</t>
  </si>
  <si>
    <t>Ruangan Design</t>
  </si>
  <si>
    <t>Computer PC</t>
  </si>
  <si>
    <t>INVT/PNT/016</t>
  </si>
  <si>
    <t>INVT/PNT/016/000001</t>
  </si>
  <si>
    <t>Bagus</t>
  </si>
  <si>
    <t>Printer EPSON L-210</t>
  </si>
  <si>
    <t>INVT/PNT/017</t>
  </si>
  <si>
    <t>INVT/PNT/017/000001</t>
  </si>
  <si>
    <t>Printer EPSON L-1300 ( A3 )</t>
  </si>
  <si>
    <t>INVT/PNT/018</t>
  </si>
  <si>
    <t>INVT/PNT/018/000001</t>
  </si>
  <si>
    <t>Tenant Relation</t>
  </si>
  <si>
    <t>Staff Tenant</t>
  </si>
  <si>
    <t>Standard Tel.Panasonic ( Hitam ) KX-TS 505</t>
  </si>
  <si>
    <t>INVT/PNT/019</t>
  </si>
  <si>
    <t>INVT/PNT/019/000001</t>
  </si>
  <si>
    <t>Ruang IT P5</t>
  </si>
  <si>
    <t>Digital Tel W/Display + Speaker KX-DT 543</t>
  </si>
  <si>
    <t>INVT/PNT/020</t>
  </si>
  <si>
    <t>INVT/PNT/020/000001</t>
  </si>
  <si>
    <t>Digital Tel 48 Key Module KX-DT 590</t>
  </si>
  <si>
    <t>INVT/PNT/021</t>
  </si>
  <si>
    <t>INVT/PNT/021/000001</t>
  </si>
  <si>
    <t>Dynamic System PABX PANASONIC KX-NS300 SERIES</t>
  </si>
  <si>
    <t>INVT/PNT/022</t>
  </si>
  <si>
    <t>INVT/PNT/022/000001</t>
  </si>
  <si>
    <t>8 Port Digital Ext.Card KX-NS 5171</t>
  </si>
  <si>
    <t>INVT/PNT/023</t>
  </si>
  <si>
    <t>INVT/PNT/023/000001</t>
  </si>
  <si>
    <t>8 Port SLT Ext.Card KX-NS 5173</t>
  </si>
  <si>
    <t>INVT/PNT/024</t>
  </si>
  <si>
    <t>INVT/PNT/024/000001</t>
  </si>
  <si>
    <t>Main Unit 6 Line 2DT + 16 SLT KX-NS 300</t>
  </si>
  <si>
    <t>INVT/PNT/025</t>
  </si>
  <si>
    <t>INVT/PNT/025/000001</t>
  </si>
  <si>
    <t>Radio HT Berlin FM-V6 Pro Triband</t>
  </si>
  <si>
    <t>INVT/PNT/027</t>
  </si>
  <si>
    <t>INVT/PNT/027/000001</t>
  </si>
  <si>
    <t>Box Panel</t>
  </si>
  <si>
    <t>INVT/PNT/028</t>
  </si>
  <si>
    <t>INVT/PNT/028/000001</t>
  </si>
  <si>
    <t>di Kantor Pengelola P5</t>
  </si>
  <si>
    <t>AC SPLIT LG S12NLA</t>
  </si>
  <si>
    <t>INVT/PNT/029</t>
  </si>
  <si>
    <t>INVT/PNT/029/000001</t>
  </si>
  <si>
    <t>Ruang Pengelola P5</t>
  </si>
  <si>
    <t>Meja Kerja 1/2 Biro ND502 A</t>
  </si>
  <si>
    <t>INVT/PNT/030</t>
  </si>
  <si>
    <t>INVT/PNT/030/000001</t>
  </si>
  <si>
    <t xml:space="preserve">Kursi Kerja Staff Activ </t>
  </si>
  <si>
    <t>INVT/PNT/031</t>
  </si>
  <si>
    <t>INVT/PNT/031/000001</t>
  </si>
  <si>
    <t xml:space="preserve">Kursi Direktur Frontline </t>
  </si>
  <si>
    <t>INVT/PNT/032</t>
  </si>
  <si>
    <t>INVT/PNT/032/000001</t>
  </si>
  <si>
    <t xml:space="preserve">White Board Uk. 240 cm (P) x 120cm (L) </t>
  </si>
  <si>
    <t>INVT/PNT/033</t>
  </si>
  <si>
    <t>INVT/PNT/033/000001</t>
  </si>
  <si>
    <t>Ruangan Meeting Kantor Pengelola P5</t>
  </si>
  <si>
    <t>Lemari File NDHB 4</t>
  </si>
  <si>
    <t>INVT/PNT/034</t>
  </si>
  <si>
    <t>INVT/PNT/034/000001</t>
  </si>
  <si>
    <t>Kantor Pengelola p5</t>
  </si>
  <si>
    <t>INVT/PNT/035</t>
  </si>
  <si>
    <t>INVT/PNT/035/000001</t>
  </si>
  <si>
    <t>Lemari File Kecil NDLD 8</t>
  </si>
  <si>
    <t>INVT/PNT/036</t>
  </si>
  <si>
    <t>INVT/PNT/036/000001</t>
  </si>
  <si>
    <t xml:space="preserve">RUANGAN FINANCE &amp; ACCOUNTING, </t>
  </si>
  <si>
    <t>Lemari Rak File NDHB 4</t>
  </si>
  <si>
    <t>INVT/PNT/037</t>
  </si>
  <si>
    <t>INVT/PNT/037/000001</t>
  </si>
  <si>
    <t>RUANGAN FINANCE &amp; ACCOUNTING (3)</t>
  </si>
  <si>
    <t>Filing Cabinet (3laci) V.303</t>
  </si>
  <si>
    <t>INVT/PNT/038</t>
  </si>
  <si>
    <t>INVT/PNT/038/000001</t>
  </si>
  <si>
    <t>Meja Kerja 1 Biro ND 503B</t>
  </si>
  <si>
    <t>INVT/PNT/039</t>
  </si>
  <si>
    <t>INVT/PNT/039/000001</t>
  </si>
  <si>
    <t>Laci Meja ND KL</t>
  </si>
  <si>
    <t>INVT/PNT/040</t>
  </si>
  <si>
    <t>INVT/PNT/040/000001</t>
  </si>
  <si>
    <t>Meja Kerja 1/2 Biro ND 502A</t>
  </si>
  <si>
    <t>INVT/PNT/041</t>
  </si>
  <si>
    <t>INVT/PNT/041/000001</t>
  </si>
  <si>
    <t>Ruang Store P5</t>
  </si>
  <si>
    <t>Mas Sandi, Pak Yongki, Mas Marjoni (Store)</t>
  </si>
  <si>
    <t>Mesin Fotocopy MFP Konica Bz 215</t>
  </si>
  <si>
    <t>INVT/PNT/042</t>
  </si>
  <si>
    <t>INVT/PNT/042/000001</t>
  </si>
  <si>
    <t>Samping ruangan sekretaris</t>
  </si>
  <si>
    <t>INVT/PNT/045</t>
  </si>
  <si>
    <t>INVT/PNT/045/000001</t>
  </si>
  <si>
    <t>Pak Yudhi (GM Pentacity), Ruangan Meeting, Mas Ali (Store)</t>
  </si>
  <si>
    <t xml:space="preserve"> AC SPLIT LG S18NLA</t>
  </si>
  <si>
    <t>INVT/PNT/046</t>
  </si>
  <si>
    <t>INVT/PNT/046/000001</t>
  </si>
  <si>
    <t>Adm Engineering (Mba Emma)</t>
  </si>
  <si>
    <t>INVT/PNT/047</t>
  </si>
  <si>
    <t>INVT/PNT/047/000001</t>
  </si>
  <si>
    <t>INVT/PNT/048</t>
  </si>
  <si>
    <t>INVT/PNT/048/000001</t>
  </si>
  <si>
    <t>INVT/PNT/049</t>
  </si>
  <si>
    <t>INVT/PNT/049/000001</t>
  </si>
  <si>
    <t>INVT/PNT/050</t>
  </si>
  <si>
    <t>INVT/PNT/050/000001</t>
  </si>
  <si>
    <t xml:space="preserve">Computer </t>
  </si>
  <si>
    <t>INVT/PNT/051</t>
  </si>
  <si>
    <t>INVT/PNT/051/000001</t>
  </si>
  <si>
    <t>Design</t>
  </si>
  <si>
    <t>INVT/PNT/052</t>
  </si>
  <si>
    <t>INVT/PNT/052/000001</t>
  </si>
  <si>
    <t>Mas Bagus</t>
  </si>
  <si>
    <t>COMPUTER</t>
  </si>
  <si>
    <t>INVT/PNT/053</t>
  </si>
  <si>
    <t>INVT/PNT/053/000001</t>
  </si>
  <si>
    <t>Computer Kasir FC</t>
  </si>
  <si>
    <t>Staff FC</t>
  </si>
  <si>
    <t>INVT/PNT/054</t>
  </si>
  <si>
    <t>INVT/PNT/054/000001</t>
  </si>
  <si>
    <t>Computer IT Pentacity</t>
  </si>
  <si>
    <t>PC</t>
  </si>
  <si>
    <t>INVT/PNT/055</t>
  </si>
  <si>
    <t>INVT/PNT/055/000001</t>
  </si>
  <si>
    <t>PC TDC Pentacity</t>
  </si>
  <si>
    <t>INVT/PNT/056</t>
  </si>
  <si>
    <t>INVT/PNT/056/000001</t>
  </si>
  <si>
    <t>PC CE Pentacity</t>
  </si>
  <si>
    <t>INVT/PNT/057</t>
  </si>
  <si>
    <t>INVT/PNT/057/000001</t>
  </si>
  <si>
    <t>PC SPV ART Pentacity</t>
  </si>
  <si>
    <t>Printer EPSON LX-310</t>
  </si>
  <si>
    <t>INVT/PNT/058</t>
  </si>
  <si>
    <t>INVT/PNT/058/000001</t>
  </si>
  <si>
    <t>Printer EPSON L565 Multi Function CISS Printer</t>
  </si>
  <si>
    <t>INVT/PNT/059</t>
  </si>
  <si>
    <t>INVT/PNT/059/000001</t>
  </si>
  <si>
    <t>Printer Epson L210 Inktank System</t>
  </si>
  <si>
    <t>INVT/PNT/060</t>
  </si>
  <si>
    <t>INVT/PNT/060/000001</t>
  </si>
  <si>
    <t>Ruangan Marketing)</t>
  </si>
  <si>
    <t>Printer Epson LX-310</t>
  </si>
  <si>
    <t>INVT/PNT/061</t>
  </si>
  <si>
    <t>INVT/PNT/061/000001</t>
  </si>
  <si>
    <t>Ali</t>
  </si>
  <si>
    <t>Printer Epson L220</t>
  </si>
  <si>
    <t>INVT/PNT/062</t>
  </si>
  <si>
    <t>INVT/PNT/062/000001</t>
  </si>
  <si>
    <t>Rina (FA),Eka (GA), Ali (Store), Pak Yongki (Store), Bu Mega (Purchasing)</t>
  </si>
  <si>
    <t>PSU FSP Hyper 700 W Power Supply</t>
  </si>
  <si>
    <t>INVT/PNT/063</t>
  </si>
  <si>
    <t>INVT/PNT/063/000001</t>
  </si>
  <si>
    <t>Borneo</t>
  </si>
  <si>
    <t xml:space="preserve">UPS ICA Sin 1100C </t>
  </si>
  <si>
    <t>INVT/PNT/064</t>
  </si>
  <si>
    <t>INVT/PNT/064/000001</t>
  </si>
  <si>
    <t xml:space="preserve">UPS ICA Type CT-1382B </t>
  </si>
  <si>
    <t>INVT/PNT/065</t>
  </si>
  <si>
    <t>INVT/PNT/065/000001</t>
  </si>
  <si>
    <t>Kantor Penglola P5</t>
  </si>
  <si>
    <t>Finger Print Solution X601 Access Control &amp; Attandace</t>
  </si>
  <si>
    <t>INVT/PNT/066</t>
  </si>
  <si>
    <t>INVT/PNT/066/000001</t>
  </si>
  <si>
    <t>KANTOR PENGELOLA PENTACITY Lt. P5</t>
  </si>
  <si>
    <t>Pintu Masuk Ke Resepsionis TR</t>
  </si>
  <si>
    <t>Indorack 32U Glass Door - IR11532G</t>
  </si>
  <si>
    <t>INVT/PNT/067</t>
  </si>
  <si>
    <t>INVT/PNT/067/000001</t>
  </si>
  <si>
    <t>Seagate Business Storage 2 Bay 4TB</t>
  </si>
  <si>
    <t>INVT/PNT/068</t>
  </si>
  <si>
    <t>INVT/PNT/068/000001</t>
  </si>
  <si>
    <t xml:space="preserve">Switch 8 Port Gigabit Linksys LGS108 </t>
  </si>
  <si>
    <t>INVT/PNT/069</t>
  </si>
  <si>
    <t>INVT/PNT/069/000001</t>
  </si>
  <si>
    <t>TP Link 24 Port 24 Port Switch TL-SG1024D</t>
  </si>
  <si>
    <t>INVT/PNT/070</t>
  </si>
  <si>
    <t>INVT/PNT/070/000001</t>
  </si>
  <si>
    <t>Ruang Office P5 Penta</t>
  </si>
  <si>
    <t>TP Link Wireless Dual Band Router TL-WDR4900</t>
  </si>
  <si>
    <t>INVT/PNT/071</t>
  </si>
  <si>
    <t>INVT/PNT/071/000001</t>
  </si>
  <si>
    <t>Ruang Finance P5</t>
  </si>
  <si>
    <t>Switch Gigabit 16 Port</t>
  </si>
  <si>
    <t>INVT/PNT/072</t>
  </si>
  <si>
    <t>INVT/PNT/072/000001</t>
  </si>
  <si>
    <t>HP Proliant DL180G9-455</t>
  </si>
  <si>
    <t>INVT/PNT/073</t>
  </si>
  <si>
    <t>INVT/PNT/073/000001</t>
  </si>
  <si>
    <t>Timer Switch Hager EH 711</t>
  </si>
  <si>
    <t>INVT/PNT/074</t>
  </si>
  <si>
    <t>INVT/PNT/074/000001</t>
  </si>
  <si>
    <t>Civil</t>
  </si>
  <si>
    <t xml:space="preserve">Radio Motorola GM338 VHF RDO-01 </t>
  </si>
  <si>
    <t>INVT/PNT/075</t>
  </si>
  <si>
    <t>INVT/PNT/075/000001</t>
  </si>
  <si>
    <t>Ruang CCTV Command Center</t>
  </si>
  <si>
    <t>Repeater Motorolla UHF</t>
  </si>
  <si>
    <t>INVT/PNT/076</t>
  </si>
  <si>
    <t>INVT/PNT/076/000001</t>
  </si>
  <si>
    <t xml:space="preserve">Mesin Las Besar Krisbow Trafo KW1401029 </t>
  </si>
  <si>
    <t>INVT/PNT/077</t>
  </si>
  <si>
    <t>INVT/PNT/077/000001</t>
  </si>
  <si>
    <t>Pesawat Telepon Digital Type KX-DT521 Panasonic</t>
  </si>
  <si>
    <t>INVT/PNT/078</t>
  </si>
  <si>
    <t>INVT/PNT/078/000001</t>
  </si>
  <si>
    <t>Pesawat Telepon Analog Type KX-TS505 Panasonic</t>
  </si>
  <si>
    <t>INVT/PNT/079</t>
  </si>
  <si>
    <t>INVT/PNT/079/000001</t>
  </si>
  <si>
    <t>FA (2), Ruang IT P5</t>
  </si>
  <si>
    <t>Barcode Scanner Honeywell MK9540</t>
  </si>
  <si>
    <t>INVT/PNT/080</t>
  </si>
  <si>
    <t>INVT/PNT/080/000001</t>
  </si>
  <si>
    <t xml:space="preserve">MIKROTIK R82011UIAS-RM + SHIPPING COST </t>
  </si>
  <si>
    <t>INVT/PNT/081</t>
  </si>
  <si>
    <t>INVT/PNT/081/000001</t>
  </si>
  <si>
    <t>Antena Hygain V2R ANT-01</t>
  </si>
  <si>
    <t>INVT/PNT/082</t>
  </si>
  <si>
    <t>INVT/PNT/082/000001</t>
  </si>
  <si>
    <t xml:space="preserve">Anthenna UHF 350-360 12 dbi </t>
  </si>
  <si>
    <t>INVT/PNT/083</t>
  </si>
  <si>
    <t>INVT/PNT/083/000001</t>
  </si>
  <si>
    <t>Printer Card Fargo DTC1250 E</t>
  </si>
  <si>
    <t>INVT/PNT/085</t>
  </si>
  <si>
    <t>INVT/PNT/085/000001</t>
  </si>
  <si>
    <t>EXTERNAL HDD WD MY PASSPORT ULTRA 2 TB USB 3.0</t>
  </si>
  <si>
    <t>INVT/PNT/086</t>
  </si>
  <si>
    <t>INVT/PNT/086/000001</t>
  </si>
  <si>
    <t>Dispenser Air Minum</t>
  </si>
  <si>
    <t>INVT/PNT/088</t>
  </si>
  <si>
    <t>INVT/PNT/088/000001</t>
  </si>
  <si>
    <t xml:space="preserve">Ruang Engineering </t>
  </si>
  <si>
    <t>Kursi Kerja Dengan Roda - Kent KM - Activ</t>
  </si>
  <si>
    <t>INVT/PNT/089</t>
  </si>
  <si>
    <t>INVT/PNT/089/000001</t>
  </si>
  <si>
    <t xml:space="preserve">Staff Pengelola Mall  </t>
  </si>
  <si>
    <t>Kursi Kerja Activ 101</t>
  </si>
  <si>
    <t>INVT/PNT/090</t>
  </si>
  <si>
    <t>INVT/PNT/090/000001</t>
  </si>
  <si>
    <t>di Ruang Tenant Relation</t>
  </si>
  <si>
    <t>Meja 1 Biro Grand</t>
  </si>
  <si>
    <t>INVT/PNT/091</t>
  </si>
  <si>
    <t>INVT/PNT/091/000001</t>
  </si>
  <si>
    <t>Meja File (Pintu Sliding)</t>
  </si>
  <si>
    <t>INVT/PNT/093</t>
  </si>
  <si>
    <t>INVT/PNT/093/000001</t>
  </si>
  <si>
    <t>Meja 1/2 Grand Furniture Nova Gray</t>
  </si>
  <si>
    <t>INVT/PNT/094</t>
  </si>
  <si>
    <t>INVT/PNT/094/000001</t>
  </si>
  <si>
    <t xml:space="preserve">Ruang Sekretaris </t>
  </si>
  <si>
    <t>Lemari Arsip 2 Rak Pintu Kupu-Kupu Grand Furniture</t>
  </si>
  <si>
    <t>INVT/PNT/095</t>
  </si>
  <si>
    <t>INVT/PNT/095/000001</t>
  </si>
  <si>
    <t xml:space="preserve">Meja 1/2 Grand Furniture Nova Grey </t>
  </si>
  <si>
    <t>INVT/PNT/096</t>
  </si>
  <si>
    <t>INVT/PNT/096/000001</t>
  </si>
  <si>
    <t xml:space="preserve">Radio HT Berlin FM-V6PRO Triband </t>
  </si>
  <si>
    <t>INVT/PNT/097</t>
  </si>
  <si>
    <t>INVT/PNT/097/000001</t>
  </si>
  <si>
    <t xml:space="preserve">Kursi Kent Km Activ </t>
  </si>
  <si>
    <t>INVT/PNT/099</t>
  </si>
  <si>
    <t>INVT/PNT/099/000001</t>
  </si>
  <si>
    <t>staff Pengelola</t>
  </si>
  <si>
    <t xml:space="preserve">Kursi Kerja Dengan Roda </t>
  </si>
  <si>
    <t>INVT/PNT/100</t>
  </si>
  <si>
    <t>INVT/PNT/100/000001</t>
  </si>
  <si>
    <t xml:space="preserve">Meja 1/2 </t>
  </si>
  <si>
    <t>INVT/PNT/101</t>
  </si>
  <si>
    <t>INVT/PNT/101/000001</t>
  </si>
  <si>
    <t xml:space="preserve"> Lemari</t>
  </si>
  <si>
    <t>INVT/PNT/102</t>
  </si>
  <si>
    <t>INVT/PNT/102/000001</t>
  </si>
  <si>
    <t xml:space="preserve">1 Unit Meja 1/2 </t>
  </si>
  <si>
    <t>INVT/PNT/103</t>
  </si>
  <si>
    <t>INVT/PNT/103/000001</t>
  </si>
  <si>
    <t xml:space="preserve">1 Unit Lemari </t>
  </si>
  <si>
    <t>INVT/PNT/104</t>
  </si>
  <si>
    <t>INVT/PNT/104/000001</t>
  </si>
  <si>
    <t xml:space="preserve">1 Unit Meja File (Pintu Sliding) </t>
  </si>
  <si>
    <t>INVT/PNT/105</t>
  </si>
  <si>
    <t>INVT/PNT/105/000001</t>
  </si>
  <si>
    <t>Ruang Design</t>
  </si>
  <si>
    <t>2 Unit Meja File (Pintu Sliding)</t>
  </si>
  <si>
    <t>INVT/PNT/106</t>
  </si>
  <si>
    <t>INVT/PNT/106/000001</t>
  </si>
  <si>
    <t>Ruangan FA, Mas Ali (Store)</t>
  </si>
  <si>
    <t>INVT/PNT/106/000002</t>
  </si>
  <si>
    <t xml:space="preserve">Radio HT </t>
  </si>
  <si>
    <t>INVT/PNT/108</t>
  </si>
  <si>
    <t>INVT/PNT/108/000001</t>
  </si>
  <si>
    <t xml:space="preserve">Panel Box </t>
  </si>
  <si>
    <t>INVT/PNT/109</t>
  </si>
  <si>
    <t>INVT/PNT/109/000001</t>
  </si>
  <si>
    <t xml:space="preserve">Jet Washer </t>
  </si>
  <si>
    <t>INVT/PNT/110</t>
  </si>
  <si>
    <t>INVT/PNT/110/000001</t>
  </si>
  <si>
    <t>Toilet Pengelola</t>
  </si>
  <si>
    <t>INVT/PNT/110/000002</t>
  </si>
  <si>
    <t xml:space="preserve">2 Ea Locker 18 Doors </t>
  </si>
  <si>
    <t>INVT/PNT/111</t>
  </si>
  <si>
    <t>INVT/PNT/111/000001</t>
  </si>
  <si>
    <t>INVT/PNT/111/000002</t>
  </si>
  <si>
    <t>Perlengkapan Mushola Mall</t>
  </si>
  <si>
    <t>INVT/PNT/118</t>
  </si>
  <si>
    <t>INVT/PNT/118/000001</t>
  </si>
  <si>
    <t>di Musholla Mall Pentacity Lt P4</t>
  </si>
  <si>
    <t>1 Pcs tandu almunium</t>
  </si>
  <si>
    <t>INVT/PNT/119</t>
  </si>
  <si>
    <t>INVT/PNT/119/000001</t>
  </si>
  <si>
    <t>di Ruang Customer Service Pentacity</t>
  </si>
  <si>
    <t>2 Pcs kursi roda</t>
  </si>
  <si>
    <t>INVT/PNT/120</t>
  </si>
  <si>
    <t>INVT/PNT/120/000001</t>
  </si>
  <si>
    <t>INVT/PNT/120/000002</t>
  </si>
  <si>
    <t xml:space="preserve">5 Unit UPS </t>
  </si>
  <si>
    <t>INVT/PNT/121</t>
  </si>
  <si>
    <t>INVT/PNT/121/000001</t>
  </si>
  <si>
    <t>INVT/PNT/121/000002</t>
  </si>
  <si>
    <t>INVT/PNT/121/000003</t>
  </si>
  <si>
    <t>INVT/PNT/121/000004</t>
  </si>
  <si>
    <t>INVT/PNT/121/000005</t>
  </si>
  <si>
    <t>1 Unit Mesin Las</t>
  </si>
  <si>
    <t>INVT/PNT/122</t>
  </si>
  <si>
    <t>INVT/PNT/122/000001</t>
  </si>
  <si>
    <t xml:space="preserve">1 Unit Mesin Bor Beton </t>
  </si>
  <si>
    <t>INVT/PNT/123</t>
  </si>
  <si>
    <t>INVT/PNT/123/000001</t>
  </si>
  <si>
    <t xml:space="preserve">1 Unit Notebook </t>
  </si>
  <si>
    <t>INVT/PNT/124</t>
  </si>
  <si>
    <t>INVT/PNT/124/000001</t>
  </si>
  <si>
    <t xml:space="preserve">1 Set Guard Tour Checking System </t>
  </si>
  <si>
    <t>INVT/PNT/125</t>
  </si>
  <si>
    <t>INVT/PNT/125/000001</t>
  </si>
  <si>
    <t>Ruang Security Mall</t>
  </si>
  <si>
    <t xml:space="preserve">1 Set Crimping Stripping Set </t>
  </si>
  <si>
    <t>INVT/PNT/126</t>
  </si>
  <si>
    <t>INVT/PNT/126/000001</t>
  </si>
  <si>
    <t>2 Unit Lemari Kunci</t>
  </si>
  <si>
    <t>INVT/PNT/127</t>
  </si>
  <si>
    <t>INVT/PNT/127/000001</t>
  </si>
  <si>
    <t>INVT/PNT/127/000002</t>
  </si>
  <si>
    <t xml:space="preserve">1 Set Computer </t>
  </si>
  <si>
    <t>INVT/PNT/128</t>
  </si>
  <si>
    <t>INVT/PNT/128/000001</t>
  </si>
  <si>
    <t>1 Ea Blackmagic</t>
  </si>
  <si>
    <t>INVT/PNT/129</t>
  </si>
  <si>
    <t>INVT/PNT/129/000001</t>
  </si>
  <si>
    <t>Dept. Design</t>
  </si>
  <si>
    <t>Mas Affan (IT)</t>
  </si>
  <si>
    <t>2 Ea UPS</t>
  </si>
  <si>
    <t>INVT/PNT/130</t>
  </si>
  <si>
    <t>INVT/PNT/130/000001</t>
  </si>
  <si>
    <t>INVT/PNT/130/000002</t>
  </si>
  <si>
    <t xml:space="preserve">2 Set Tripod LED </t>
  </si>
  <si>
    <t>INVT/PNT/131</t>
  </si>
  <si>
    <t>INVT/PNT/131/000001</t>
  </si>
  <si>
    <t>INVT/PNT/131/000002</t>
  </si>
  <si>
    <t xml:space="preserve">1 Unit Jet Pump </t>
  </si>
  <si>
    <t>INVT/PNT/133</t>
  </si>
  <si>
    <t>INVT/PNT/133/000001</t>
  </si>
  <si>
    <t>Di Chiller</t>
  </si>
  <si>
    <t xml:space="preserve">Unit Vacum Pump </t>
  </si>
  <si>
    <t>INVT/PNT/134</t>
  </si>
  <si>
    <t>INVT/PNT/134/000001</t>
  </si>
  <si>
    <t xml:space="preserve">1 Unit Safety Lock Devices </t>
  </si>
  <si>
    <t>INVT/PNT/135</t>
  </si>
  <si>
    <t>INVT/PNT/135/000001</t>
  </si>
  <si>
    <t>Brankas u/ Kasir ( di Ruangan FA)</t>
  </si>
  <si>
    <t>3 Unit AC 2PK (Indoor + Outdoor)</t>
  </si>
  <si>
    <t>INVT/PNT/136</t>
  </si>
  <si>
    <t>INVT/PNT/136/000001</t>
  </si>
  <si>
    <t>Finance, Ruangan Chiller, Design</t>
  </si>
  <si>
    <t>INVT/PNT/136/000002</t>
  </si>
  <si>
    <t>INVT/PNT/136/000003</t>
  </si>
  <si>
    <t xml:space="preserve">1 Unit Tang Ampera </t>
  </si>
  <si>
    <t>INVT/PNT/137</t>
  </si>
  <si>
    <t>INVT/PNT/137/000001</t>
  </si>
  <si>
    <t xml:space="preserve">1 Unit UPS </t>
  </si>
  <si>
    <t>INVT/PNT/138</t>
  </si>
  <si>
    <t>INVT/PNT/138/000001</t>
  </si>
  <si>
    <t xml:space="preserve">1 SET LAPTOP </t>
  </si>
  <si>
    <t>INVT/PNT/139</t>
  </si>
  <si>
    <t>INVT/PNT/139/000001</t>
  </si>
  <si>
    <t>PAM Tower Lt.10</t>
  </si>
  <si>
    <t>Jordan</t>
  </si>
  <si>
    <t xml:space="preserve">1 UNIT VACUUM PUMP </t>
  </si>
  <si>
    <t>INVT/PNT/140</t>
  </si>
  <si>
    <t>INVT/PNT/140/000001</t>
  </si>
  <si>
    <t>INVT/PNT/141</t>
  </si>
  <si>
    <t>INVT/PNT/141/000001</t>
  </si>
  <si>
    <t xml:space="preserve">SET COMPUTER  </t>
  </si>
  <si>
    <t>INVT/PNT/142</t>
  </si>
  <si>
    <t>INVT/PNT/142/000001</t>
  </si>
  <si>
    <t xml:space="preserve">AC </t>
  </si>
  <si>
    <t>INVT/PNT/143</t>
  </si>
  <si>
    <t>INVT/PNT/143/000001</t>
  </si>
  <si>
    <t>Mba Rensa (Sekretaris), Pak Yushar, Mba Tengku, FA, Bu Meivi, Mas Affan</t>
  </si>
  <si>
    <t>INVT/PNT/143/000002</t>
  </si>
  <si>
    <t>INVT/PNT/143/000003</t>
  </si>
  <si>
    <t>INVT/PNT/143/000004</t>
  </si>
  <si>
    <t>INVT/PNT/143/000005</t>
  </si>
  <si>
    <t>INVT/PNT/143/000006</t>
  </si>
  <si>
    <t>INVT/PNT/143/000007</t>
  </si>
  <si>
    <t>1 Unit Indorack</t>
  </si>
  <si>
    <t>INVT/PNT/144</t>
  </si>
  <si>
    <t>INVT/PNT/144/000001</t>
  </si>
  <si>
    <t>2 Unit Multistage Sentrifugal Booster Pump</t>
  </si>
  <si>
    <t>INVT/PNT/145</t>
  </si>
  <si>
    <t>INVT/PNT/145/000001</t>
  </si>
  <si>
    <t>INVT/PNT/145/000002</t>
  </si>
  <si>
    <t>1 Unit Portable Air Ventilator</t>
  </si>
  <si>
    <t>INVT/PNT/146</t>
  </si>
  <si>
    <t>INVT/PNT/146/000001</t>
  </si>
  <si>
    <t>1 Unit Duct Ventilator</t>
  </si>
  <si>
    <t>INVT/PNT/147</t>
  </si>
  <si>
    <t>INVT/PNT/147/000001</t>
  </si>
  <si>
    <t>2 Unit Duct Ventilator</t>
  </si>
  <si>
    <t>INVT/PNT/148</t>
  </si>
  <si>
    <t>INVT/PNT/148/000001</t>
  </si>
  <si>
    <t>INVT/PNT/148/000002</t>
  </si>
  <si>
    <t>1 Unit Makita Tools</t>
  </si>
  <si>
    <t>INVT/PNT/149</t>
  </si>
  <si>
    <t>INVT/PNT/149/000001</t>
  </si>
  <si>
    <t>1 Unit Drain Cleaner</t>
  </si>
  <si>
    <t>INVT/PNT/150</t>
  </si>
  <si>
    <t>INVT/PNT/150/000001</t>
  </si>
  <si>
    <t>1 Unit Wet &amp; Dry Vacuum Cleaner</t>
  </si>
  <si>
    <t>INVT/PNT/151</t>
  </si>
  <si>
    <t>INVT/PNT/151/000001</t>
  </si>
  <si>
    <t>Untuk Alat Kerja Teknisi</t>
  </si>
  <si>
    <t xml:space="preserve">1 Unit Radio HT </t>
  </si>
  <si>
    <t>INVT/PNT/152</t>
  </si>
  <si>
    <t>INVT/PNT/152/000001</t>
  </si>
  <si>
    <t>1 Unit Filling Cabinet</t>
  </si>
  <si>
    <t>INVT/PNT/153</t>
  </si>
  <si>
    <t>INVT/PNT/153/000001</t>
  </si>
  <si>
    <t>INVT/PNT/154</t>
  </si>
  <si>
    <t>INVT/PNT/154/000001</t>
  </si>
  <si>
    <t>PAM TOWER Lt.3</t>
  </si>
  <si>
    <t>Pak Andi</t>
  </si>
  <si>
    <t xml:space="preserve">1 Unit Makita Tools </t>
  </si>
  <si>
    <t>INVT/PNT/155</t>
  </si>
  <si>
    <t>INVT/PNT/155/000001</t>
  </si>
  <si>
    <t>1 Unit Rolling Ladder</t>
  </si>
  <si>
    <t>INVT/PNT/156</t>
  </si>
  <si>
    <t>INVT/PNT/156/000001</t>
  </si>
  <si>
    <t>4 Unit Meja Kerja</t>
  </si>
  <si>
    <t>INVT/PNT/157</t>
  </si>
  <si>
    <t>INVT/PNT/157/000001</t>
  </si>
  <si>
    <t>INVT/PNT/157/000002</t>
  </si>
  <si>
    <t>INVT/PNT/157/000003</t>
  </si>
  <si>
    <t>INVT/PNT/157/000004</t>
  </si>
  <si>
    <t xml:space="preserve">2 Unit AC 1PK (Indoor + Outdoor) </t>
  </si>
  <si>
    <t>INVT/PNT/158</t>
  </si>
  <si>
    <t>INVT/PNT/158/000001</t>
  </si>
  <si>
    <t xml:space="preserve">Lift Barang Sogo (P3) &amp; Lift Bersama </t>
  </si>
  <si>
    <t>INVT/PNT/158/000002</t>
  </si>
  <si>
    <t xml:space="preserve">4 Unit Kursi Chitose </t>
  </si>
  <si>
    <t>INVT/PNT/159</t>
  </si>
  <si>
    <t>INVT/PNT/159/000001</t>
  </si>
  <si>
    <t>Untuk Ruangan CS - Hanya Ada 2</t>
  </si>
  <si>
    <t>CS Pentacity</t>
  </si>
  <si>
    <t>INVT/PNT/159/000002</t>
  </si>
  <si>
    <t>INVT/PNT/159/000003</t>
  </si>
  <si>
    <t>INVT/PNT/159/000004</t>
  </si>
  <si>
    <t>2 Unit Meja 1/2 Biro</t>
  </si>
  <si>
    <t>INVT/PNT/160</t>
  </si>
  <si>
    <t>INVT/PNT/160/000001</t>
  </si>
  <si>
    <t>Kantor Pengelola FA</t>
  </si>
  <si>
    <t>INVT/PNT/160/000002</t>
  </si>
  <si>
    <t>1 Unit Belt Tension Gauge</t>
  </si>
  <si>
    <t>INVT/PNT/161</t>
  </si>
  <si>
    <t>INVT/PNT/161/000001</t>
  </si>
  <si>
    <t>Keperluan Mall Penta</t>
  </si>
  <si>
    <t>1 Unit Remote Microphone TOA</t>
  </si>
  <si>
    <t>INVT/PNT/163</t>
  </si>
  <si>
    <t>INVT/PNT/163/000001</t>
  </si>
  <si>
    <t>Di Meja CS Lobby Utama Pentacity</t>
  </si>
  <si>
    <t>1 Unit Jigsaw</t>
  </si>
  <si>
    <t>INVT/PNT/164</t>
  </si>
  <si>
    <t>INVT/PNT/164/000001</t>
  </si>
  <si>
    <t>Kursi TDR</t>
  </si>
  <si>
    <t>INVT/PNT/169</t>
  </si>
  <si>
    <t>INVT/PNT/169/000001</t>
  </si>
  <si>
    <t>Keperluan Penggantian Kursi Untuk Stock Gudang Pentacity</t>
  </si>
  <si>
    <t xml:space="preserve">SMARTPHONE OPPO F7 PRO 6/128 </t>
  </si>
  <si>
    <t>INVT/PNT/170</t>
  </si>
  <si>
    <t>INVT/PNT/170/000001</t>
  </si>
  <si>
    <t xml:space="preserve">1 Unit Mesin Las </t>
  </si>
  <si>
    <t>INVT/PNT/172</t>
  </si>
  <si>
    <t>INVT/PNT/172/000001</t>
  </si>
  <si>
    <t>1 Unit WD</t>
  </si>
  <si>
    <t>INVT/PNT/173</t>
  </si>
  <si>
    <t>INVT/PNT/173/000001</t>
  </si>
  <si>
    <t>1 Unit Fluke</t>
  </si>
  <si>
    <t>INVT/PNT/174</t>
  </si>
  <si>
    <t>INVT/PNT/174/000001</t>
  </si>
  <si>
    <t>2 Unit Pompa Air</t>
  </si>
  <si>
    <t>INVT/PNT/176</t>
  </si>
  <si>
    <t>INVT/PNT/176/000001</t>
  </si>
  <si>
    <t>di Ruang STP</t>
  </si>
  <si>
    <t>INVT/PNT/176/000002</t>
  </si>
  <si>
    <t>1Unit Meja 1/2</t>
  </si>
  <si>
    <t>INVT/PNT/177</t>
  </si>
  <si>
    <t>INVT/PNT/177/000001</t>
  </si>
  <si>
    <t>Meja Bu Milka (FA)</t>
  </si>
  <si>
    <t>20 Unit Adaptor CCTV</t>
  </si>
  <si>
    <t>INVT/PNT/178</t>
  </si>
  <si>
    <t>INVT/PNT/178/000001</t>
  </si>
  <si>
    <t>INVT/PNT/178/000002</t>
  </si>
  <si>
    <t>INVT/PNT/178/000003</t>
  </si>
  <si>
    <t>INVT/PNT/178/000004</t>
  </si>
  <si>
    <t>INVT/PNT/178/000005</t>
  </si>
  <si>
    <t>INVT/PNT/178/000006</t>
  </si>
  <si>
    <t>INVT/PNT/178/000007</t>
  </si>
  <si>
    <t>INVT/PNT/178/000008</t>
  </si>
  <si>
    <t>INVT/PNT/178/000009</t>
  </si>
  <si>
    <t>INVT/PNT/178/000010</t>
  </si>
  <si>
    <t>INVT/PNT/178/000011</t>
  </si>
  <si>
    <t>INVT/PNT/178/000012</t>
  </si>
  <si>
    <t>INVT/PNT/178/000013</t>
  </si>
  <si>
    <t>INVT/PNT/178/000014</t>
  </si>
  <si>
    <t>INVT/PNT/178/000015</t>
  </si>
  <si>
    <t>INVT/PNT/178/000016</t>
  </si>
  <si>
    <t>INVT/PNT/178/000017</t>
  </si>
  <si>
    <t>INVT/PNT/178/000018</t>
  </si>
  <si>
    <t>INVT/PNT/178/000019</t>
  </si>
  <si>
    <t>INVT/PNT/178/000020</t>
  </si>
  <si>
    <t>CCTV PEOPLE COUNTING</t>
  </si>
  <si>
    <t>INVT/PNT/180</t>
  </si>
  <si>
    <t>INVT/PNT/180/000001</t>
  </si>
  <si>
    <t xml:space="preserve">Mesin Las Portable Redbo MMA 200 </t>
  </si>
  <si>
    <t>INVT180001</t>
  </si>
  <si>
    <t>INVT180001/000001</t>
  </si>
  <si>
    <t>1 Unit Printer Epson L360</t>
  </si>
  <si>
    <t>INVT180002</t>
  </si>
  <si>
    <t>INVT180002/000001</t>
  </si>
  <si>
    <t xml:space="preserve">Meja </t>
  </si>
  <si>
    <t>INVT190001</t>
  </si>
  <si>
    <t>INVT190001/000001</t>
  </si>
  <si>
    <t>di Kantor Foodcourt (Lt FF)</t>
  </si>
  <si>
    <t>Spring Bed</t>
  </si>
  <si>
    <t>INVT190002</t>
  </si>
  <si>
    <t>INVT190002/000001</t>
  </si>
  <si>
    <t>Mess Karyawan Pentacity</t>
  </si>
  <si>
    <t>Hardisk SSD Western Digital WD Green 240GB</t>
  </si>
  <si>
    <t>INVT190005</t>
  </si>
  <si>
    <t>INVT190005/000001</t>
  </si>
  <si>
    <t>IT Kantor Pengelola P5</t>
  </si>
  <si>
    <t>CCTV 20 CH 2 SLOT HDD</t>
  </si>
  <si>
    <t>INVT190009</t>
  </si>
  <si>
    <t>INVT190009/000001</t>
  </si>
  <si>
    <t>Area Mall Pentacity &amp; Outdoor Pentacity</t>
  </si>
  <si>
    <t>Dome Fixe Lens 2,8MM (Indoor) 2 MP</t>
  </si>
  <si>
    <t>INVT190010</t>
  </si>
  <si>
    <t>INVT190010/000001</t>
  </si>
  <si>
    <t>Camera Fixe Lens 4 MM 2 MP Bullet (Outdoor)</t>
  </si>
  <si>
    <t>INVT190011</t>
  </si>
  <si>
    <t>INVT190011/000001</t>
  </si>
  <si>
    <t>4 TB Surveilence Purple Hardisk Original CCTV</t>
  </si>
  <si>
    <t>INVT190012</t>
  </si>
  <si>
    <t>INVT190012/000001</t>
  </si>
  <si>
    <t xml:space="preserve">Switch Hub Poe Port </t>
  </si>
  <si>
    <t>INVT190013</t>
  </si>
  <si>
    <t>INVT190013/000001</t>
  </si>
  <si>
    <t xml:space="preserve">RACK NVR U </t>
  </si>
  <si>
    <t>INVT190014</t>
  </si>
  <si>
    <t>INVT190014/000001</t>
  </si>
  <si>
    <t>Monitor LED CCTV 24 Inch</t>
  </si>
  <si>
    <t>INVT190015</t>
  </si>
  <si>
    <t>INVT190015/000001</t>
  </si>
  <si>
    <t>Kabel UTP CAT 6 Belden</t>
  </si>
  <si>
    <t>INVT190016</t>
  </si>
  <si>
    <t>INVT190016/000001</t>
  </si>
  <si>
    <t xml:space="preserve">Supporting Material (Stop Kontak, Isolasi, Ties, Kabel, DLL) </t>
  </si>
  <si>
    <t>INVT190017</t>
  </si>
  <si>
    <t>INVT190017/000001</t>
  </si>
  <si>
    <t>Projector Epson EB-X400</t>
  </si>
  <si>
    <t>INVT190018</t>
  </si>
  <si>
    <t>INVT190018/000001</t>
  </si>
  <si>
    <t xml:space="preserve">Tangga Lipat 4 Step - Merk Krisbow </t>
  </si>
  <si>
    <t>INVT190019</t>
  </si>
  <si>
    <t>INVT190019/000001</t>
  </si>
  <si>
    <t>1 Roll Cable Reel 1,5Mm x 50M Krisbow KW2000320</t>
  </si>
  <si>
    <t>INVT190020</t>
  </si>
  <si>
    <t>INVT190020/000001</t>
  </si>
  <si>
    <t>di CIVIL</t>
  </si>
  <si>
    <t>Tangga Lipat 2,2M - Merk Krisbow</t>
  </si>
  <si>
    <t>INVT190021</t>
  </si>
  <si>
    <t>INVT190021/000001</t>
  </si>
  <si>
    <t xml:space="preserve">KURSI RODA </t>
  </si>
  <si>
    <t>INVT190022</t>
  </si>
  <si>
    <t>INVT190022/000001</t>
  </si>
  <si>
    <t xml:space="preserve">Basement </t>
  </si>
  <si>
    <t>Notebook Asus X505ZA</t>
  </si>
  <si>
    <t>INVT190023</t>
  </si>
  <si>
    <t>INVT190023/000001</t>
  </si>
  <si>
    <t xml:space="preserve">u/ Operasional Legal </t>
  </si>
  <si>
    <t>Pesawat Telepon Digital KX-DT521X</t>
  </si>
  <si>
    <t>INVT190025</t>
  </si>
  <si>
    <t>INVT190025/000001</t>
  </si>
  <si>
    <t>Ruang FA</t>
  </si>
  <si>
    <t>TV &amp; Remote</t>
  </si>
  <si>
    <t>INVT190029</t>
  </si>
  <si>
    <t>INVT190029/000001</t>
  </si>
  <si>
    <t>UNIT APT. 202 Bpk Yudhi</t>
  </si>
  <si>
    <t>Kulkas</t>
  </si>
  <si>
    <t>INVT190030</t>
  </si>
  <si>
    <t>INVT190030/000001</t>
  </si>
  <si>
    <t>Rak TV</t>
  </si>
  <si>
    <t>INVT190031</t>
  </si>
  <si>
    <t>INVT190031/000001</t>
  </si>
  <si>
    <t>Spring Bed uk 180 x 200 CM</t>
  </si>
  <si>
    <t>INVT190032</t>
  </si>
  <si>
    <t>INVT190032/000001</t>
  </si>
  <si>
    <t>Sofa</t>
  </si>
  <si>
    <t>INVT190033</t>
  </si>
  <si>
    <t>INVT190033/000001</t>
  </si>
  <si>
    <t>Setup Application Server</t>
  </si>
  <si>
    <t>INVT190037</t>
  </si>
  <si>
    <t>INVT190037/000001</t>
  </si>
  <si>
    <t>Frame LED</t>
  </si>
  <si>
    <t>INVT190038</t>
  </si>
  <si>
    <t>INVT190038/000001</t>
  </si>
  <si>
    <t>Standing Sign (1 Meter)</t>
  </si>
  <si>
    <t>INVT190041</t>
  </si>
  <si>
    <t>INVT190041/000001</t>
  </si>
  <si>
    <t>Pintu Masuk Pentacity (Samping Solaria &amp; Babaku)</t>
  </si>
  <si>
    <t>Video Prosesor VP1000</t>
  </si>
  <si>
    <t>INVT190045</t>
  </si>
  <si>
    <t>INVT190045/000001</t>
  </si>
  <si>
    <t>Lemari File Odner ND HB4</t>
  </si>
  <si>
    <t>INVT190048</t>
  </si>
  <si>
    <t>INVT190048/000001</t>
  </si>
  <si>
    <t xml:space="preserve">Telescopik Multipurpose (Almunium) Dalton ML 1002D </t>
  </si>
  <si>
    <t>INVT190049</t>
  </si>
  <si>
    <t>INVT190049/000001</t>
  </si>
  <si>
    <t xml:space="preserve">Lemari File (Cradensa) Grand 2 Pintu + Kunci </t>
  </si>
  <si>
    <t>INVT190050</t>
  </si>
  <si>
    <t>INVT190050/000001</t>
  </si>
  <si>
    <t>kursi chitose</t>
  </si>
  <si>
    <t>INVT190051</t>
  </si>
  <si>
    <t>INVT190051/000001</t>
  </si>
  <si>
    <t xml:space="preserve">di Ruang Meeting Kantor Pengelola </t>
  </si>
  <si>
    <t>1 Unit Lemari File Odner ND HB 4 @ Rp 1.550.000</t>
  </si>
  <si>
    <t>INVT190052</t>
  </si>
  <si>
    <t>INVT190052/000001</t>
  </si>
  <si>
    <t>3 set Keyboard, 4 Ea Mouse Pad, 2 Unit mouse wireless logitech</t>
  </si>
  <si>
    <t>INVT190054</t>
  </si>
  <si>
    <t>INVT190054/000001</t>
  </si>
  <si>
    <t>1 Unit Kursi Kerja Manager/SPV @ Rp 1.250.000</t>
  </si>
  <si>
    <t>INVT190055</t>
  </si>
  <si>
    <t>INVT190055/000001</t>
  </si>
  <si>
    <t>Printer Epson L3110</t>
  </si>
  <si>
    <t>INVT190057</t>
  </si>
  <si>
    <t>INVT190057/000001</t>
  </si>
  <si>
    <t>Bu Milka</t>
  </si>
  <si>
    <t>Wet &amp; Dry Vacum Cleaner Stainless Stell Krisbow</t>
  </si>
  <si>
    <t>INVT190058</t>
  </si>
  <si>
    <t>INVT190058/000001</t>
  </si>
  <si>
    <t>KWH meter digital socomec</t>
  </si>
  <si>
    <t>TOLLS/PSV/006</t>
  </si>
  <si>
    <t>TOLLS/PSV/006/000001</t>
  </si>
  <si>
    <t xml:space="preserve">Untuk ice skating </t>
  </si>
  <si>
    <t>Hard Disk Seagate iron wolf 4</t>
  </si>
  <si>
    <t>INVT200012</t>
  </si>
  <si>
    <t>INVT200012/000001</t>
  </si>
  <si>
    <t>IT P5</t>
  </si>
  <si>
    <t>Plat Besi Steel</t>
  </si>
  <si>
    <t>INVT200013</t>
  </si>
  <si>
    <t>INVT200013/000001</t>
  </si>
  <si>
    <t>INVT200017</t>
  </si>
  <si>
    <t>INVT200017/000001</t>
  </si>
  <si>
    <t>Cutting Wheel Bench Top Krisbow</t>
  </si>
  <si>
    <t>INVT200022</t>
  </si>
  <si>
    <t>INVT200022/000001</t>
  </si>
  <si>
    <t>UPS ICA CT 1382B</t>
  </si>
  <si>
    <t>INVT200023</t>
  </si>
  <si>
    <t>INVT200023/000001</t>
  </si>
  <si>
    <t>KANTOR P5 PENTACITY</t>
  </si>
  <si>
    <t>Untuk Infrastruktur Jaringan Ruang Engineering Pentacity (Ruang Command Center Operation)</t>
  </si>
  <si>
    <t>INVT200029</t>
  </si>
  <si>
    <t>INVT200029/000001</t>
  </si>
  <si>
    <t xml:space="preserve">PEMBELIAN 1 UNIT MESIN FOGGING LISTRIK &amp; MANUAL BOOK UNTUK MALL PENTACITY </t>
  </si>
  <si>
    <t>INVT200032</t>
  </si>
  <si>
    <t>INVT200032/000001</t>
  </si>
  <si>
    <t>Pintu Masuk Kantor Pengelola</t>
  </si>
  <si>
    <t>Pengelola Mall</t>
  </si>
  <si>
    <t>2 UNIT AUTOMATIC HANDSANITIZER LIFT &amp; 6 UNIT AUTOMATIC HANDSANITIZER DISINFECTION STATION</t>
  </si>
  <si>
    <t>INVT200033</t>
  </si>
  <si>
    <t>INVT200033/000001</t>
  </si>
  <si>
    <t>Lift Pentacity (2), Setiap pintu Masuk Pentacity</t>
  </si>
  <si>
    <t>INVT200033/000002</t>
  </si>
  <si>
    <t>INVT200033/000003</t>
  </si>
  <si>
    <t>INVT200033/000004</t>
  </si>
  <si>
    <t>INVT200033/000005</t>
  </si>
  <si>
    <t>INVT200033/000006</t>
  </si>
  <si>
    <t>INVT200033/000007</t>
  </si>
  <si>
    <t>INVT200033/000008</t>
  </si>
  <si>
    <t>1 Unit Power Supply 650 W - Corsair VS650</t>
  </si>
  <si>
    <t>INVT200035</t>
  </si>
  <si>
    <t>INVT200035/000001</t>
  </si>
  <si>
    <t>PC Soundsystem Mall</t>
  </si>
  <si>
    <t>INVT/PNT/180/000002</t>
  </si>
  <si>
    <t>2 MP PEOPLE COUNT CAMERA DAN TP-LINK 24 PORT GB</t>
  </si>
  <si>
    <t>INVT/PNT/182</t>
  </si>
  <si>
    <t>INVT/PNT/182/000001</t>
  </si>
  <si>
    <t>UNTUK PEMASANGAN DI MALL PENTACITY</t>
  </si>
  <si>
    <t>Monaco MGR desk</t>
  </si>
  <si>
    <t>INVT/PNT/184</t>
  </si>
  <si>
    <t>INVT/PNT/184/000001</t>
  </si>
  <si>
    <t>Ruangan Bpk Yudhi</t>
  </si>
  <si>
    <t>Leg Monaco Working</t>
  </si>
  <si>
    <t>INVT/PNT/185</t>
  </si>
  <si>
    <t>INVT/PNT/185/000001</t>
  </si>
  <si>
    <t>Top+Modesty PNL</t>
  </si>
  <si>
    <t>INVT/PNT/186</t>
  </si>
  <si>
    <t>INVT/PNT/186/000001</t>
  </si>
  <si>
    <t>RFID CARD 125KHZ, RFID READER 125KHZ</t>
  </si>
  <si>
    <t>INVT/PNT/188</t>
  </si>
  <si>
    <t>INVT/PNT/188/000001</t>
  </si>
  <si>
    <t>WATER HEATER ARISTON 15R 35 W</t>
  </si>
  <si>
    <t>INVT/PNT/189</t>
  </si>
  <si>
    <t>INVT/PNT/189/000001</t>
  </si>
  <si>
    <t>APT pak Yudi</t>
  </si>
  <si>
    <t>KURSI KANTOR IDACHI D-800</t>
  </si>
  <si>
    <t>INVT/PNT/190</t>
  </si>
  <si>
    <t>INVT/PNT/190/000001</t>
  </si>
  <si>
    <t>FA P5</t>
  </si>
  <si>
    <t>INVT/PNT/203</t>
  </si>
  <si>
    <t>INVT/PNT/203/000001</t>
  </si>
  <si>
    <t xml:space="preserve">Di bawa ke Lapangan Bag. Operasional UNTUK KEPERLUAN CHECKLIST ONLINE DAN LAPORAN PEKERJAAN HARIAN OPERATIONAL </t>
  </si>
  <si>
    <t>PRINTER EPSON ECOTANK L121</t>
  </si>
  <si>
    <t>INVT/PNT/204</t>
  </si>
  <si>
    <t>INVT/PNT/204/000001</t>
  </si>
  <si>
    <t>GM ( BPK. YUDHI SAHARUDDIN )</t>
  </si>
  <si>
    <t>GREASE TRAP STAINLESH STEEL PO:100/WBL/PENTACITY/PO/VIII/2022</t>
  </si>
  <si>
    <t>GREASE TRAP STAINLESH STEEL PO:112/WBL/PENTACITY/PO/IX/22-REV</t>
  </si>
  <si>
    <t>GREASE TRAP STAINLESH STEEL 304 1.5MM 1 BUAH UNTUK PENTACITY PO:140/WBL/PENTACITY/PO/XII/22</t>
  </si>
  <si>
    <t>INVT/PNT/247</t>
  </si>
  <si>
    <t>INVT/PNT/247/000001</t>
  </si>
  <si>
    <t>WET &amp; DRY VACUM CLEANER 12LITER WITH BLOWER KRISBOW</t>
  </si>
  <si>
    <t>INVT/PNT/249</t>
  </si>
  <si>
    <t>INVT/PNT/249/000001</t>
  </si>
  <si>
    <t>MESIN LABELING CASIO KL 130</t>
  </si>
  <si>
    <t>INVT/PNT/267</t>
  </si>
  <si>
    <t>INVT/PNT/267/000001</t>
  </si>
  <si>
    <t xml:space="preserve">Ruangan Pak Handrian </t>
  </si>
  <si>
    <t>HYDRAULIC CRIMPING TOOLS 6-70 MM / TANG PRESS SKUN HIDROLIK MERK FUKUSHIMA (VT9009)</t>
  </si>
  <si>
    <t>INVT/PNT/321</t>
  </si>
  <si>
    <t>INVT/PNT/321/000001</t>
  </si>
  <si>
    <t>Marketing</t>
  </si>
  <si>
    <t xml:space="preserve">Mesin Bor Metabo 6.02105.87 BS14.4LI Cardlss </t>
  </si>
  <si>
    <t>INVT/PNT/084</t>
  </si>
  <si>
    <t>INVT/PNT/084/000001</t>
  </si>
  <si>
    <t xml:space="preserve">1 Set Stanley Proto 360b Convertible Retaining Ring Pliers (12 Pcs) </t>
  </si>
  <si>
    <t>INVT/PNT/162</t>
  </si>
  <si>
    <t>INVT/PNT/162/000001</t>
  </si>
  <si>
    <t>INVT190040</t>
  </si>
  <si>
    <t>INVT190040/000001</t>
  </si>
  <si>
    <t xml:space="preserve">KWH Meter Digital Socomec Counties E20 </t>
  </si>
  <si>
    <t>INVT190047</t>
  </si>
  <si>
    <t>INVT190047/000001</t>
  </si>
  <si>
    <t>COMP PANASONIC 1 PK, 2 KG FREON R-22</t>
  </si>
  <si>
    <t>INVT190056</t>
  </si>
  <si>
    <t>INVT190056/000001</t>
  </si>
  <si>
    <t>Pak Robby</t>
  </si>
  <si>
    <t>Mesin Bor Bosch Impact Drill GBH 2-18 RE</t>
  </si>
  <si>
    <t>TOLLS/PSV/001</t>
  </si>
  <si>
    <t>TOLLS/PSV/001/000001</t>
  </si>
  <si>
    <t>Mesin Laminating Topas FGK 330</t>
  </si>
  <si>
    <t>TOLLS/PSV/002</t>
  </si>
  <si>
    <t>TOLLS/PSV/002/000001</t>
  </si>
  <si>
    <t>di Ruang Promosi</t>
  </si>
  <si>
    <t>Mesin Gergaji Jigsaw Bosch GST 8000E</t>
  </si>
  <si>
    <t>TOLLS/PSV/003</t>
  </si>
  <si>
    <t>TOLLS/PSV/003/000001</t>
  </si>
  <si>
    <t>Mesin Ketam Bosch GHO 10-82</t>
  </si>
  <si>
    <t>TOLLS/PSV/004</t>
  </si>
  <si>
    <t>TOLLS/PSV/004/000001</t>
  </si>
  <si>
    <t>Gergaji Circular Bosch</t>
  </si>
  <si>
    <t>TOLLS/PSV/005</t>
  </si>
  <si>
    <t>TOLLS/PSV/005/000001</t>
  </si>
  <si>
    <t>MESIN GERINDA BOSCH GWS-750</t>
  </si>
  <si>
    <t>TOOLS/PSV/024</t>
  </si>
  <si>
    <t>TOOLS/PSV/024/000001</t>
  </si>
  <si>
    <t>Filling Cabinet 4 Laci VIP</t>
  </si>
  <si>
    <t>INVT/EWK/001</t>
  </si>
  <si>
    <t>INVT/EWK/001/000001</t>
  </si>
  <si>
    <t>RUANGAN PAK REZA ( MGR HRD)</t>
  </si>
  <si>
    <t>Pak Reza</t>
  </si>
  <si>
    <t>FA Ewalk</t>
  </si>
  <si>
    <t>INVT/EWK/003</t>
  </si>
  <si>
    <t>INVT/EWK/003/000001</t>
  </si>
  <si>
    <t>RUANGAN PAK REZA ( MGR HRD) &amp; RUANG PROMO</t>
  </si>
  <si>
    <t>Filling Cabinet 3 Laci VIP</t>
  </si>
  <si>
    <t>INVT/EWK/004</t>
  </si>
  <si>
    <t>INVT/EWK/004/000001</t>
  </si>
  <si>
    <t>Locker 16 Pintu (Engineering)</t>
  </si>
  <si>
    <t>INVT/EWK/005</t>
  </si>
  <si>
    <t>INVT/EWK/005/000001</t>
  </si>
  <si>
    <t>HARVEST COMPUTER (045/HC/IV/I/2011)</t>
  </si>
  <si>
    <t>INVT/EWK/012</t>
  </si>
  <si>
    <t>INVT/EWK/012/000001</t>
  </si>
  <si>
    <t>Tempat Sampah Toilet</t>
  </si>
  <si>
    <t>AC LG S09 LT</t>
  </si>
  <si>
    <t>INVT/EWK/020</t>
  </si>
  <si>
    <t>INVT/EWK/020/000001</t>
  </si>
  <si>
    <t>Kursi Frontline EC-21 (Bp.Agus)</t>
  </si>
  <si>
    <t>INVT/EWK/023</t>
  </si>
  <si>
    <t>INVT/EWK/023/000001</t>
  </si>
  <si>
    <t>Pak Agus</t>
  </si>
  <si>
    <t>AC LG S09 LF6 1 PK (Bp Robby)</t>
  </si>
  <si>
    <t>INVT/EWK/024</t>
  </si>
  <si>
    <t>INVT/EWK/024/000001</t>
  </si>
  <si>
    <t>Ruang Finance &amp; Accounting KANTOR PENGELOLA PENTACITY</t>
  </si>
  <si>
    <t>Kursi Type T 702 BR (HRD, Bp.Robby &amp; Stock)</t>
  </si>
  <si>
    <t>INVT/EWK/025</t>
  </si>
  <si>
    <t>INVT/EWK/025/000001</t>
  </si>
  <si>
    <t>Meja Type OD 220 RK (HRD, Bp.Robby &amp; Stock)</t>
  </si>
  <si>
    <t>INVT/EWK/026</t>
  </si>
  <si>
    <t>INVT/EWK/026/000001</t>
  </si>
  <si>
    <t>Ruangan Pak Handrian PAM lt.10</t>
  </si>
  <si>
    <t>Pak Handrian</t>
  </si>
  <si>
    <t>Lemari Type BC 8002 (HRD, Bp.Robby &amp; Stock)</t>
  </si>
  <si>
    <t>INVT/EWK/027</t>
  </si>
  <si>
    <t>INVT/EWK/027/000001</t>
  </si>
  <si>
    <t>Ruang Finance &amp; Accounting</t>
  </si>
  <si>
    <t xml:space="preserve">Lemari Cabinet type VIP 304 </t>
  </si>
  <si>
    <t>INVT/EWK/028</t>
  </si>
  <si>
    <t>INVT/EWK/028/000001</t>
  </si>
  <si>
    <t xml:space="preserve">Ruang Pak Reza </t>
  </si>
  <si>
    <t>UPS ICA type PN-1082B</t>
  </si>
  <si>
    <t>INVT/EWK/032</t>
  </si>
  <si>
    <t>INVT/EWK/032/000001</t>
  </si>
  <si>
    <t>Baterai UPS Paging/carcall &amp; MCFA</t>
  </si>
  <si>
    <t>INVT/EWK/035</t>
  </si>
  <si>
    <t>INVT/EWK/035/000001</t>
  </si>
  <si>
    <t>Pintu Kantor Pengelola</t>
  </si>
  <si>
    <t>Acrilyc sign uk.30 cm x 20 cm x 18</t>
  </si>
  <si>
    <t>INVT/EWK/039</t>
  </si>
  <si>
    <t>INVT/EWK/039/000001</t>
  </si>
  <si>
    <t>1 unit 3 com 16 port + 2 TP-link 5 port + 1 classic keyboard</t>
  </si>
  <si>
    <t>INVT/EWK/041</t>
  </si>
  <si>
    <t>INVT/EWK/041/000001</t>
  </si>
  <si>
    <t>BORNEO (IT)</t>
  </si>
  <si>
    <t>Wide LCD Monitor LC +Catridge</t>
  </si>
  <si>
    <t>INVT/EWK/043</t>
  </si>
  <si>
    <t>INVT/EWK/043/000001</t>
  </si>
  <si>
    <t>Blackberry</t>
  </si>
  <si>
    <t>INVT/EWK/044</t>
  </si>
  <si>
    <t>INVT/EWK/044/000001</t>
  </si>
  <si>
    <t>Printer Epson stylus + Infus</t>
  </si>
  <si>
    <t>INVT/EWK/045</t>
  </si>
  <si>
    <t>INVT/EWK/045/000001</t>
  </si>
  <si>
    <t>Ruangan Pak Handrian</t>
  </si>
  <si>
    <t>Flash disk + monitor + kabel power</t>
  </si>
  <si>
    <t>INVT/EWK/046</t>
  </si>
  <si>
    <t>INVT/EWK/046/000001</t>
  </si>
  <si>
    <t>Printer + Hardisk</t>
  </si>
  <si>
    <t>INVT/EWK/047</t>
  </si>
  <si>
    <t>INVT/EWK/047/000001</t>
  </si>
  <si>
    <t>Ruang HRD Ewalk</t>
  </si>
  <si>
    <t>Meja 1/2 biro + rak file saga</t>
  </si>
  <si>
    <t>INVT/EWK/050</t>
  </si>
  <si>
    <t>INVT/EWK/050/000001</t>
  </si>
  <si>
    <t>LCD LG + Hardisk + Keyboard + Mouse</t>
  </si>
  <si>
    <t>INVT/EWK/051</t>
  </si>
  <si>
    <t>INVT/EWK/051/000001</t>
  </si>
  <si>
    <t>Kursi Frontline OCS-01</t>
  </si>
  <si>
    <t>INVT/EWK/053</t>
  </si>
  <si>
    <t>INVT/EWK/053/000001</t>
  </si>
  <si>
    <t>BU MILKA &amp; MBA DENOK (FINANCE ACCOUNTING)</t>
  </si>
  <si>
    <t>Dispenser Sanken (1) + Dispenser Yongma + AC LG 1/2 PK</t>
  </si>
  <si>
    <t>INVT/EWK/057</t>
  </si>
  <si>
    <t>INVT/EWK/057/000001</t>
  </si>
  <si>
    <t>INVT/EWK/057/000002</t>
  </si>
  <si>
    <t>INVT/EWK/057/000003</t>
  </si>
  <si>
    <t>Memory 2 GB + Keyboard + Mouse</t>
  </si>
  <si>
    <t>INVT/EWK/059</t>
  </si>
  <si>
    <t>INVT/EWK/059/000001</t>
  </si>
  <si>
    <t>Compressor AC Panasonic 1 1/2 PK (1) + Galon oli suniso 4GS (3)</t>
  </si>
  <si>
    <t>INVT/EWK/060</t>
  </si>
  <si>
    <t>INVT/EWK/060/000001</t>
  </si>
  <si>
    <t>Processor + memory + keyboard + hardisk</t>
  </si>
  <si>
    <t>INVT/EWK/066</t>
  </si>
  <si>
    <t>INVT/EWK/066/000001</t>
  </si>
  <si>
    <t xml:space="preserve">Handy Talky Mag One </t>
  </si>
  <si>
    <t>INVT/EWK/067</t>
  </si>
  <si>
    <t>INVT/EWK/067/000001</t>
  </si>
  <si>
    <t>Kursi Kerja staff kalistyle</t>
  </si>
  <si>
    <t>INVT/EWK/072</t>
  </si>
  <si>
    <t>INVT/EWK/072/000001</t>
  </si>
  <si>
    <t>Kabel Beldan USA 1 roll</t>
  </si>
  <si>
    <t>INVT/EWK/073</t>
  </si>
  <si>
    <t>INVT/EWK/073/000001</t>
  </si>
  <si>
    <t>Hardisk + Keyboard + Mouse</t>
  </si>
  <si>
    <t>INVT/EWK/074</t>
  </si>
  <si>
    <t>INVT/EWK/074/000001</t>
  </si>
  <si>
    <t>JESSICA (ADM PROMO)</t>
  </si>
  <si>
    <t>UPS ICA 1200</t>
  </si>
  <si>
    <t>INVT/EWK/079</t>
  </si>
  <si>
    <t>INVT/EWK/079/000001</t>
  </si>
  <si>
    <t>Hardisk (1) + Hub Swicth 9 Port Des-100 A (1) + Router board mikrotik (1)</t>
  </si>
  <si>
    <t>INVT/EWK/082</t>
  </si>
  <si>
    <t>INVT/EWK/082/000001</t>
  </si>
  <si>
    <t>Baby Stroller</t>
  </si>
  <si>
    <t>INVT/EWK/084</t>
  </si>
  <si>
    <t>INVT/EWK/084/000001</t>
  </si>
  <si>
    <t>GUDANG LOUNG</t>
  </si>
  <si>
    <t>Hub Switch SF 1000-08</t>
  </si>
  <si>
    <t>INVT/EWK/085</t>
  </si>
  <si>
    <t>INVT/EWK/085/000001</t>
  </si>
  <si>
    <t>Rak sepatu,lemari 4 susun</t>
  </si>
  <si>
    <t>INVT/EWK/086</t>
  </si>
  <si>
    <t>INVT/EWK/086/000001</t>
  </si>
  <si>
    <t>Microtop rak pensil,mouse key</t>
  </si>
  <si>
    <t>INVT/EWK/087</t>
  </si>
  <si>
    <t>INVT/EWK/087/000001</t>
  </si>
  <si>
    <t>Ranjang Bigland Standard UK. 90 x 210</t>
  </si>
  <si>
    <t>INVT/EWK/088</t>
  </si>
  <si>
    <t>INVT/EWK/088/000001</t>
  </si>
  <si>
    <t>Vacum Cleaner Innotechs 30 Liter ( wet and dry vacuum)</t>
  </si>
  <si>
    <t>INVT/EWK/090</t>
  </si>
  <si>
    <t>INVT/EWK/090/000001</t>
  </si>
  <si>
    <t>Printer Epson L210</t>
  </si>
  <si>
    <t>INVT/EWK/098</t>
  </si>
  <si>
    <t>INVT/EWK/098/000001</t>
  </si>
  <si>
    <t>Ratih Ewalk</t>
  </si>
  <si>
    <t>Printer Epson L210 (Bp.Jaka)</t>
  </si>
  <si>
    <t>INVT/EWK/099</t>
  </si>
  <si>
    <t>INVT/EWK/099/000001</t>
  </si>
  <si>
    <t xml:space="preserve">Alat las AC LPG </t>
  </si>
  <si>
    <t>INVT/EWK/100</t>
  </si>
  <si>
    <t>INVT/EWK/100/000001</t>
  </si>
  <si>
    <t>Meja Kerja</t>
  </si>
  <si>
    <t>INVT/EWK/102</t>
  </si>
  <si>
    <t>INVT/EWK/102/000001</t>
  </si>
  <si>
    <t>Monitor TV 32 inchi (1) + Bracket TV swing (1)</t>
  </si>
  <si>
    <t>INVT/EWK/105</t>
  </si>
  <si>
    <t>INVT/EWK/105/000001</t>
  </si>
  <si>
    <t>Hardisk Internal 500 GB</t>
  </si>
  <si>
    <t>INVT/EWK/107</t>
  </si>
  <si>
    <t>INVT/EWK/107/000001</t>
  </si>
  <si>
    <t>Safety walk SM</t>
  </si>
  <si>
    <t>INVT/EWK/110</t>
  </si>
  <si>
    <t>INVT/EWK/110/000001</t>
  </si>
  <si>
    <t>Hardisk External</t>
  </si>
  <si>
    <t>INVT/EWK/112</t>
  </si>
  <si>
    <t>INVT/EWK/112/000001</t>
  </si>
  <si>
    <t>Printer</t>
  </si>
  <si>
    <t>INVT/EWK/115</t>
  </si>
  <si>
    <t>INVT/EWK/115/000001</t>
  </si>
  <si>
    <t>WANDY (SPV OPS)</t>
  </si>
  <si>
    <t>INVT/EWK/116</t>
  </si>
  <si>
    <t>INVT/EWK/116/000001</t>
  </si>
  <si>
    <t>Plain paper fax panasonic KX-FP 701 (1) + karbon fax IF-93 (2)-operator</t>
  </si>
  <si>
    <t>INVT/EWK/120</t>
  </si>
  <si>
    <t>INVT/EWK/120/000001</t>
  </si>
  <si>
    <t>Hardisk External ASUS 1 TB (bp.robby)</t>
  </si>
  <si>
    <t>INVT/EWK/123</t>
  </si>
  <si>
    <t>INVT/EWK/123/000001</t>
  </si>
  <si>
    <t>Safety Shoes King KWD (Div Engineering &amp; Sipil)</t>
  </si>
  <si>
    <t>INVT/EWK/128</t>
  </si>
  <si>
    <t>INVT/EWK/128/000001</t>
  </si>
  <si>
    <t>AC (1)+ Cooker hood modena 60cm (2)- mess pak robby &amp; pak agus</t>
  </si>
  <si>
    <t>INVT/EWK/130</t>
  </si>
  <si>
    <t>INVT/EWK/130/000001</t>
  </si>
  <si>
    <t>INVT/EWK/130/000002</t>
  </si>
  <si>
    <t>UPS 300 walt ICA (risa &amp; mutia)</t>
  </si>
  <si>
    <t>INVT/EWK/131</t>
  </si>
  <si>
    <t>INVT/EWK/131/000001</t>
  </si>
  <si>
    <t>Monitor LCD 19 inchi (heru)</t>
  </si>
  <si>
    <t>INVT/EWK/132</t>
  </si>
  <si>
    <t>INVT/EWK/132/000001</t>
  </si>
  <si>
    <t>Safety Shoes, Safety Helm, Safety Glass (Div.  Engineering)</t>
  </si>
  <si>
    <t>INVT/EWK/134</t>
  </si>
  <si>
    <t>INVT/EWK/134/000001</t>
  </si>
  <si>
    <t>Exhaust Fan Panasonic (Mess Bp Robby)</t>
  </si>
  <si>
    <t>INVT/EWK/135</t>
  </si>
  <si>
    <t>INVT/EWK/135/000001</t>
  </si>
  <si>
    <t>Lemari baju (1) + Lemari kecil (2)-mess pak agus</t>
  </si>
  <si>
    <t>INVT/EWK/137</t>
  </si>
  <si>
    <t>INVT/EWK/137/000001</t>
  </si>
  <si>
    <t>INVT/EWK/137/000002</t>
  </si>
  <si>
    <t>INVT/EWK/137/000003</t>
  </si>
  <si>
    <t>Meja kerja 1/2 biro beralas kaca (3) + kursi kerja PCA 31B (6)+ kursi kerja frontline EC 029 (1)+ lemari pakaian 2 pintu LP (1)</t>
  </si>
  <si>
    <t>INVT/EWK/138</t>
  </si>
  <si>
    <t>INVT/EWK/138/000001</t>
  </si>
  <si>
    <t>INVT/EWK/138/000002</t>
  </si>
  <si>
    <t>INVT/EWK/138/000003</t>
  </si>
  <si>
    <t>INVT/EWK/138/000004</t>
  </si>
  <si>
    <t>INVT/EWK/138/000005</t>
  </si>
  <si>
    <t>INVT/EWK/138/000006</t>
  </si>
  <si>
    <t>INVT/EWK/138/000007</t>
  </si>
  <si>
    <t>INVT/EWK/138/000008</t>
  </si>
  <si>
    <t>INVT/EWK/138/000009</t>
  </si>
  <si>
    <t>INVT/EWK/138/000010</t>
  </si>
  <si>
    <t>INVT/EWK/138/000011</t>
  </si>
  <si>
    <t>Loker lion 6 pintu (3)+ lemari kabinet 4 drawer VIP V 304 (4)+kursi kerja frontline EC 026 (1)+ lemari arsip tanpa pintu (1)+ lemari pakaian 2 pintu (1)</t>
  </si>
  <si>
    <t>INVT/EWK/139</t>
  </si>
  <si>
    <t>INVT/EWK/139/000001</t>
  </si>
  <si>
    <t>INVT/EWK/139/000002</t>
  </si>
  <si>
    <t>INVT/EWK/139/000003</t>
  </si>
  <si>
    <t>INVT/EWK/139/000004</t>
  </si>
  <si>
    <t>INVT/EWK/139/000005</t>
  </si>
  <si>
    <t>INVT/EWK/139/000006</t>
  </si>
  <si>
    <t>INVT/EWK/139/000007</t>
  </si>
  <si>
    <t>INVT/EWK/139/000008</t>
  </si>
  <si>
    <t>INVT/EWK/139/000009</t>
  </si>
  <si>
    <t>INVT/EWK/139/000010</t>
  </si>
  <si>
    <t>Printer Epson L210 (Bp.Yushar &amp; Nanda)</t>
  </si>
  <si>
    <t>INVT/EWK/140</t>
  </si>
  <si>
    <t>INVT/EWK/140/000001</t>
  </si>
  <si>
    <t>Kulkas 1 Unit (Mess Bp AGUSTINUS)</t>
  </si>
  <si>
    <t>INVT/EWK/141</t>
  </si>
  <si>
    <t>INVT/EWK/141/000001</t>
  </si>
  <si>
    <t>Kursi Plastik (5) + Meja Makan Lipat ( MESS )</t>
  </si>
  <si>
    <t>INVT/EWK/142</t>
  </si>
  <si>
    <t>INVT/EWK/142/000001</t>
  </si>
  <si>
    <t>Baterai HT Motorola GP 328 Plus</t>
  </si>
  <si>
    <t>INVT/EWK/143</t>
  </si>
  <si>
    <t>INVT/EWK/143/000001</t>
  </si>
  <si>
    <t>PEMBELIAN BLACKBERRY SECOND</t>
  </si>
  <si>
    <t>INVT/EWK/149</t>
  </si>
  <si>
    <t>INVT/EWK/149/000001</t>
  </si>
  <si>
    <t>Robby Antonius</t>
  </si>
  <si>
    <t>INVT/EWK/152</t>
  </si>
  <si>
    <t>INVT/EWK/152/000001</t>
  </si>
  <si>
    <t>Stop Kontak</t>
  </si>
  <si>
    <t>INVT/EWK/153</t>
  </si>
  <si>
    <t>INVT/EWK/153/000001</t>
  </si>
  <si>
    <t>Stacker</t>
  </si>
  <si>
    <t>INVT/EWK/154</t>
  </si>
  <si>
    <t>INVT/EWK/154/000001</t>
  </si>
  <si>
    <t>Kuas 4 inch</t>
  </si>
  <si>
    <t>INVT/EWK/155</t>
  </si>
  <si>
    <t>INVT/EWK/155/000001</t>
  </si>
  <si>
    <t>INDONUSA TECHNOLOGY</t>
  </si>
  <si>
    <t>INVT/EWK/156</t>
  </si>
  <si>
    <t>INVT/EWK/156/000001</t>
  </si>
  <si>
    <t>Hand Dryer Ewalk</t>
  </si>
  <si>
    <t>Gergaji Besi 10 Pcs,</t>
  </si>
  <si>
    <t>INVT/EWK/157</t>
  </si>
  <si>
    <t>INVT/EWK/157/000001</t>
  </si>
  <si>
    <t>Pembelian Stempel dan isolasi 3 m</t>
  </si>
  <si>
    <t>INVT/EWK/158</t>
  </si>
  <si>
    <t>INVT/EWK/158/000001</t>
  </si>
  <si>
    <t>2 unit TV LED 32" LG Untuk replace TV CCTV monitor 4 engineering dan monitor lift pengunjung</t>
  </si>
  <si>
    <t>INVT/EWK/181</t>
  </si>
  <si>
    <t>INVT/EWK/181/000001</t>
  </si>
  <si>
    <t>INVT/EWK/181/000002</t>
  </si>
  <si>
    <t>printer epson LX310</t>
  </si>
  <si>
    <t>INVT/EWK/182</t>
  </si>
  <si>
    <t>INVT/EWK/182/000001</t>
  </si>
  <si>
    <t>PAK REZA ILYASA ( MGR HRD)</t>
  </si>
  <si>
    <t>1 unit printer epson L360 @rP. 2.575.000 Untuk di ruang TDC</t>
  </si>
  <si>
    <t>INVT/EWK/188</t>
  </si>
  <si>
    <t>INVT/EWK/188/000001</t>
  </si>
  <si>
    <t>Pembelian 2 unit exhaust fan panasonic Untuk Pemasangan Exhaust Fan Di Ruang Pak Yushar Dan Ibu Tengku</t>
  </si>
  <si>
    <t>INVT/EWK/19/11/004</t>
  </si>
  <si>
    <t>INVT/EWK/19/11/004/000001</t>
  </si>
  <si>
    <t>INVT/EWK/19/11/004/000002</t>
  </si>
  <si>
    <t>Pembelian 1pcs harddisk samsung 500GB untuk replace di TR 1</t>
  </si>
  <si>
    <t>INVT/EWK/19/11/005</t>
  </si>
  <si>
    <t>INVT/EWK/19/11/005/000001</t>
  </si>
  <si>
    <t>2 pcs harddisk seagate 4TB</t>
  </si>
  <si>
    <t>INVT/EWK/19/11/006</t>
  </si>
  <si>
    <t>INVT/EWK/19/11/006/000001</t>
  </si>
  <si>
    <t>Ruang CCTV Command Centre</t>
  </si>
  <si>
    <t>INVT/EWK/19/11/006/000002</t>
  </si>
  <si>
    <t>2 unit kursi kerja staff @Rp. 750.000 Untuk penggantian kursi yang sudah rusak milik marketing Bpk. indra dan administrasi marketing Ibu risma</t>
  </si>
  <si>
    <t>INVT/EWK/191</t>
  </si>
  <si>
    <t>INVT/EWK/191/000001</t>
  </si>
  <si>
    <t>INVT/EWK/191/000002</t>
  </si>
  <si>
    <t>4 unit kursi kerja staff @Rp. 750.000 Untuk staff TDC, TR, dan operator</t>
  </si>
  <si>
    <t>INVT/EWK/192</t>
  </si>
  <si>
    <t>INVT/EWK/192/000001</t>
  </si>
  <si>
    <t>INVT/EWK/192/000002</t>
  </si>
  <si>
    <t>INVT/EWK/192/000003</t>
  </si>
  <si>
    <t>INVT/EWK/192/000004</t>
  </si>
  <si>
    <t>1 unit UPS ICA CT1062B @Rp. 2.960.000 Untuk ruang admin engineering</t>
  </si>
  <si>
    <t>INVT/EWK/193</t>
  </si>
  <si>
    <t>INVT/EWK/193/000001</t>
  </si>
  <si>
    <t>TOKO CARAKA 1 Pcs AC Adaptor For Asus 100-240V Laptop Asus Untuk Penggantian Adaptor Laptop Affan yg Rusak )</t>
  </si>
  <si>
    <t>INVT/EWK/210</t>
  </si>
  <si>
    <t>INVT/EWK/210/000001</t>
  </si>
  <si>
    <t>CV. ADCHA ZULKARNAEN 8 Unit Camera Avtech DGC1105 HD CCTV 1080P IR Bullet untuk penggantian camera CCTV Gedung</t>
  </si>
  <si>
    <t>INVT/EWK/211</t>
  </si>
  <si>
    <t>INVT/EWK/211/000001</t>
  </si>
  <si>
    <t>INVT/EWK/211/000002</t>
  </si>
  <si>
    <t>INVT/EWK/211/000003</t>
  </si>
  <si>
    <t>INVT/EWK/211/000004</t>
  </si>
  <si>
    <t>INVT/EWK/211/000005</t>
  </si>
  <si>
    <t>INVT/EWK/211/000006</t>
  </si>
  <si>
    <t>INVT/EWK/211/000007</t>
  </si>
  <si>
    <t>INVT/EWK/211/000008</t>
  </si>
  <si>
    <t>INVT/EWK/213</t>
  </si>
  <si>
    <t>INVT/EWK/213/000001</t>
  </si>
  <si>
    <t>internal SSD Mounting bracke</t>
  </si>
  <si>
    <t>INVT/EWK/216</t>
  </si>
  <si>
    <t>INVT/EWK/216/000001</t>
  </si>
  <si>
    <t>monitor LED LG 20</t>
  </si>
  <si>
    <t>INVT/EWK/218</t>
  </si>
  <si>
    <t>INVT/EWK/218/000001</t>
  </si>
  <si>
    <t>samsung solid state drive</t>
  </si>
  <si>
    <t>INVT/EWK/221</t>
  </si>
  <si>
    <t>INVT/EWK/221/000001</t>
  </si>
  <si>
    <t xml:space="preserve">KURSI KANTOR </t>
  </si>
  <si>
    <t>INVT/EWK/228</t>
  </si>
  <si>
    <t>INVT/EWK/228/000001</t>
  </si>
  <si>
    <t>Kursi Ruangan pak Handrian</t>
  </si>
  <si>
    <t>TV LG 42"</t>
  </si>
  <si>
    <t>INVT/EWK/229</t>
  </si>
  <si>
    <t>INVT/EWK/229/000001</t>
  </si>
  <si>
    <t>monitor LED LG 20"</t>
  </si>
  <si>
    <t>INVT/EWK/233</t>
  </si>
  <si>
    <t>INVT/EWK/233/000001</t>
  </si>
  <si>
    <t>Sholiah Ewalk</t>
  </si>
  <si>
    <t>FLASHDISCK EXTREME</t>
  </si>
  <si>
    <t>INVT/EWK/237</t>
  </si>
  <si>
    <t>INVT/EWK/237/000001</t>
  </si>
  <si>
    <t>scanner barcode honeywell</t>
  </si>
  <si>
    <t>INVT/EWK/238</t>
  </si>
  <si>
    <t>INVT/EWK/238/000001</t>
  </si>
  <si>
    <t>PRINTER EPSON L360</t>
  </si>
  <si>
    <t>INVT/EWK/241</t>
  </si>
  <si>
    <t>INVT/EWK/241/000001</t>
  </si>
  <si>
    <t>RUANGAN IT &amp; RUANGAN PROMO</t>
  </si>
  <si>
    <t>MEGA - ADM PURCHASING</t>
  </si>
  <si>
    <t>INVT/EWK/271</t>
  </si>
  <si>
    <t>INVT/EWK/271/000001</t>
  </si>
  <si>
    <t xml:space="preserve">PEMBAYARAN PEMBELIAN BOX </t>
  </si>
  <si>
    <t>HARDISK SSD V-GEN 256GB SATA</t>
  </si>
  <si>
    <t>INVT/EWK/321</t>
  </si>
  <si>
    <t>INVT/EWK/321/000001</t>
  </si>
  <si>
    <t>KIPAS ANGIN DINDING COSMOS 16 INCH</t>
  </si>
  <si>
    <t>INVT/EWK/447</t>
  </si>
  <si>
    <t>INVT/EWK/447/000001</t>
  </si>
  <si>
    <t xml:space="preserve">UNTUK KIPAS ANGIN PANTRY KANTOR EWALK &amp; GUDANG VM </t>
  </si>
  <si>
    <t>CNC</t>
  </si>
  <si>
    <t>CNC Fitness</t>
  </si>
  <si>
    <t>Pembelian speaker BT HK Aura Studion 1 black</t>
  </si>
  <si>
    <t>AT/CNC/WBL/2018/08</t>
  </si>
  <si>
    <t>AT/CNC/WBL/2018/08/000001</t>
  </si>
  <si>
    <t>Marketing CNC</t>
  </si>
  <si>
    <t>LCD Sreen Komputer Marketing</t>
  </si>
  <si>
    <t>AT/CNC/WBL/2019/03</t>
  </si>
  <si>
    <t>AT/CNC/WBL/2019/03/000001</t>
  </si>
  <si>
    <t>Eatsotic</t>
  </si>
  <si>
    <t>MESIN HITUNG</t>
  </si>
  <si>
    <t>INVT-ES-18-006</t>
  </si>
  <si>
    <t>INVT-ES-18-006/000001</t>
  </si>
  <si>
    <t>2 UNIT HT SPC 2</t>
  </si>
  <si>
    <t>INVT-ES-18-007</t>
  </si>
  <si>
    <t>INVT-ES-18-007/000001</t>
  </si>
  <si>
    <t>INVT-ES-18-007/000002</t>
  </si>
  <si>
    <t>Pembelian sendok 8 lusin</t>
  </si>
  <si>
    <t>TOOLS-ES-19-003</t>
  </si>
  <si>
    <t>TOOLS-ES-19-003/000001</t>
  </si>
  <si>
    <t>Pembelian BELL</t>
  </si>
  <si>
    <t>TOOLS-ES-19-004</t>
  </si>
  <si>
    <t>TOOLS-ES-19-004/000001</t>
  </si>
  <si>
    <t>Pembelian sendok Dan garpu</t>
  </si>
  <si>
    <t>TOOLS-ES-20-001</t>
  </si>
  <si>
    <t>TOOLS-ES-20-001/000001</t>
  </si>
  <si>
    <t>Pembelian lampu imlek</t>
  </si>
  <si>
    <t>TOOLS-ES-20-002</t>
  </si>
  <si>
    <t>TOOLS-ES-20-002/000001</t>
  </si>
  <si>
    <t>Dispenser Sanken</t>
  </si>
  <si>
    <t>IK/Dev-001</t>
  </si>
  <si>
    <t>IK/Dev-001/000001</t>
  </si>
  <si>
    <t>Pantry Project Lt.3</t>
  </si>
  <si>
    <t>Dispenser</t>
  </si>
  <si>
    <t>IK/Dev-002</t>
  </si>
  <si>
    <t>IK/Dev-002/000001</t>
  </si>
  <si>
    <t>Pantry HRGA Lt.3</t>
  </si>
  <si>
    <t>Departement FA</t>
  </si>
  <si>
    <t>2 unit telp panasonic</t>
  </si>
  <si>
    <t>IK/Dev-004</t>
  </si>
  <si>
    <t>IK/Dev-004/000001</t>
  </si>
  <si>
    <t>Ruang Direksi</t>
  </si>
  <si>
    <t>Direksi</t>
  </si>
  <si>
    <t>IK/Dev-004/000002</t>
  </si>
  <si>
    <t>Lemari counter</t>
  </si>
  <si>
    <t>IK/Dev-005</t>
  </si>
  <si>
    <t>IK/Dev-005/000001</t>
  </si>
  <si>
    <t>Lemari Samping Anna FA Lt.10</t>
  </si>
  <si>
    <t>1 bh rak buku rendah</t>
  </si>
  <si>
    <t>IK/Dev-006</t>
  </si>
  <si>
    <t>IK/Dev-006/000001</t>
  </si>
  <si>
    <t>Lemari Belakang Fatimah</t>
  </si>
  <si>
    <t>Fatimah</t>
  </si>
  <si>
    <t>2 bh tandon grand 1200 lt</t>
  </si>
  <si>
    <t>IK/Dev-010</t>
  </si>
  <si>
    <t>IK/Dev-010/000001</t>
  </si>
  <si>
    <t>IK/Dev-010/000002</t>
  </si>
  <si>
    <t>2 unit komputer - JPS Komputer</t>
  </si>
  <si>
    <t>IK/Dev-011</t>
  </si>
  <si>
    <t>IK/Dev-011/000001</t>
  </si>
  <si>
    <t>Meja Merry FA Lt.10</t>
  </si>
  <si>
    <t>Marry</t>
  </si>
  <si>
    <t>IK/Dev-011/000002</t>
  </si>
  <si>
    <t>1 unit komputer Multimedia</t>
  </si>
  <si>
    <t>IK/Dev-014</t>
  </si>
  <si>
    <t>IK/Dev-014/000001</t>
  </si>
  <si>
    <t>Meja Fachri FA Lt.10</t>
  </si>
  <si>
    <t>Fachri</t>
  </si>
  <si>
    <t>Printer epson LX 300</t>
  </si>
  <si>
    <t>IK/Dev-015</t>
  </si>
  <si>
    <t>IK/Dev-015/000001</t>
  </si>
  <si>
    <t>Ruangan HR Lt.3</t>
  </si>
  <si>
    <t>Staff HR</t>
  </si>
  <si>
    <t>1 unit  komputer PIV 2,26</t>
  </si>
  <si>
    <t>IK/Dev-016</t>
  </si>
  <si>
    <t>IK/Dev-016/000001</t>
  </si>
  <si>
    <t>Meja Supri FA Lt.10</t>
  </si>
  <si>
    <t>Supri</t>
  </si>
  <si>
    <t>Dispenser &amp; radio motorola - Ud Sumber Jaya</t>
  </si>
  <si>
    <t>IK/Dev-022</t>
  </si>
  <si>
    <t>IK/Dev-022/000001</t>
  </si>
  <si>
    <t>Mesin absensi - UD permai</t>
  </si>
  <si>
    <t>IK/Dev-026</t>
  </si>
  <si>
    <t>IK/Dev-026/000001</t>
  </si>
  <si>
    <t>Mesin Absensi FA Lt.10</t>
  </si>
  <si>
    <t>2 unit telp</t>
  </si>
  <si>
    <t>IK/Dev-029</t>
  </si>
  <si>
    <t>IK/Dev-029/000001</t>
  </si>
  <si>
    <t>Ruangan Project Lt.3</t>
  </si>
  <si>
    <t>Staff Project</t>
  </si>
  <si>
    <t>IK/Dev-029/000002</t>
  </si>
  <si>
    <t>Pompa air+ hose- Cahaya makmur</t>
  </si>
  <si>
    <t>IK/Dev-031</t>
  </si>
  <si>
    <t>IK/Dev-031/000001</t>
  </si>
  <si>
    <t>Meja, kursi, kasur, rak dll- tk Kawi</t>
  </si>
  <si>
    <t>IK/Dev-032</t>
  </si>
  <si>
    <t>IK/Dev-032/000001</t>
  </si>
  <si>
    <t>Lemari Samping Marry FA</t>
  </si>
  <si>
    <t>HR</t>
  </si>
  <si>
    <t>Furniture- Inova</t>
  </si>
  <si>
    <t>IK/Dev-036</t>
  </si>
  <si>
    <t>IK/Dev-036/000001</t>
  </si>
  <si>
    <t xml:space="preserve">Lemari Samping Fatimah FA </t>
  </si>
  <si>
    <t>Sutiyono u/ meja SS</t>
  </si>
  <si>
    <t>IK/Dev-037</t>
  </si>
  <si>
    <t>IK/Dev-037/000001</t>
  </si>
  <si>
    <t>Departemen FA Lt.10</t>
  </si>
  <si>
    <t>1 meja inova- Inova</t>
  </si>
  <si>
    <t>IK/Dev-039</t>
  </si>
  <si>
    <t>IK/Dev-039/000001</t>
  </si>
  <si>
    <t>Meja Wulan FA Lt.10</t>
  </si>
  <si>
    <t>Wulan</t>
  </si>
  <si>
    <t>Rak, lemari, meja, kursi - TK Kawi</t>
  </si>
  <si>
    <t>IK/Dev-040</t>
  </si>
  <si>
    <t>IK/Dev-040/000001</t>
  </si>
  <si>
    <t>Ruangan Elly FA Lt.10</t>
  </si>
  <si>
    <t>Elly</t>
  </si>
  <si>
    <t>Ruangan Pak Thomas Project</t>
  </si>
  <si>
    <t>Pak Thomas</t>
  </si>
  <si>
    <t>Datacom - 1 unit komputer untuk kasir</t>
  </si>
  <si>
    <t>IK/Dev-043</t>
  </si>
  <si>
    <t>IK/Dev-043/000001</t>
  </si>
  <si>
    <t>Meja Kasir Lt.10</t>
  </si>
  <si>
    <t>Datacom - 1 unit komputer &amp; 1 unit printer untuk Accounting</t>
  </si>
  <si>
    <t>IK/Dev-044</t>
  </si>
  <si>
    <t>IK/Dev-044/000001</t>
  </si>
  <si>
    <t>Matahari terbit - Meja kursi</t>
  </si>
  <si>
    <t>IK/Dev-045</t>
  </si>
  <si>
    <t>IK/Dev-045/000001</t>
  </si>
  <si>
    <t>Toko Kawi - Meja Rias</t>
  </si>
  <si>
    <t>IK/Dev-046</t>
  </si>
  <si>
    <t>IK/Dev-046/000001</t>
  </si>
  <si>
    <t>Ruangan Bu Vero FA</t>
  </si>
  <si>
    <t>Bu Vero</t>
  </si>
  <si>
    <t>Toko Kawi - Bantal</t>
  </si>
  <si>
    <t>IK/Dev-047</t>
  </si>
  <si>
    <t>IK/Dev-047/000001</t>
  </si>
  <si>
    <t>Ruangan Pak Kiki</t>
  </si>
  <si>
    <t>Toko Kawi - Lemari filing &amp; bed cover</t>
  </si>
  <si>
    <t>IK/Dev-048</t>
  </si>
  <si>
    <t>IK/Dev-048/000001</t>
  </si>
  <si>
    <t>Toko Kawi - Kursi untuk accounting</t>
  </si>
  <si>
    <t>IK/Dev-049</t>
  </si>
  <si>
    <t>IK/Dev-049/000001</t>
  </si>
  <si>
    <t>Matahari terbit - Lemari arsip utk proyek &amp; accounting</t>
  </si>
  <si>
    <t>IK/Dev-050</t>
  </si>
  <si>
    <t>IK/Dev-050/000001</t>
  </si>
  <si>
    <t>Meja kursi u/ BSB</t>
  </si>
  <si>
    <t>IK/Dev-051</t>
  </si>
  <si>
    <t>IK/Dev-051/000001</t>
  </si>
  <si>
    <t xml:space="preserve">Meja Fatimah FA Lt.10 </t>
  </si>
  <si>
    <t>Rak buku BC 0402 untuk Christine</t>
  </si>
  <si>
    <t>IK/Dev-052</t>
  </si>
  <si>
    <t>IK/Dev-052/000001</t>
  </si>
  <si>
    <t>Meja 1/2 biro vip coklat untuk Christine</t>
  </si>
  <si>
    <t>IK/Dev-053</t>
  </si>
  <si>
    <t>IK/Dev-053/000001</t>
  </si>
  <si>
    <t>Ruangan Marketing GF</t>
  </si>
  <si>
    <t>Staff Marketing</t>
  </si>
  <si>
    <t>Datacom - Komputer &amp; CD Blank</t>
  </si>
  <si>
    <t>IK/Dev-054</t>
  </si>
  <si>
    <t>IK/Dev-054/000001</t>
  </si>
  <si>
    <t>Kipas angin</t>
  </si>
  <si>
    <t>IK/Dev-056</t>
  </si>
  <si>
    <t>IK/Dev-056/000001</t>
  </si>
  <si>
    <t>Mushola Lt.10</t>
  </si>
  <si>
    <t>Datacom - 1 unit komputer &amp; 2 unit mouse</t>
  </si>
  <si>
    <t>IK/Dev-061</t>
  </si>
  <si>
    <t>IK/Dev-061/000001</t>
  </si>
  <si>
    <t>Datacom - 1 unit mouse</t>
  </si>
  <si>
    <t>IK/Dev-062</t>
  </si>
  <si>
    <t>IK/Dev-062/000001</t>
  </si>
  <si>
    <t>Meja Elly FA Lt.10</t>
  </si>
  <si>
    <t>Toko Kawi - Lemari 1 buah</t>
  </si>
  <si>
    <t>IK/Dev-063</t>
  </si>
  <si>
    <t>IK/Dev-063/000001</t>
  </si>
  <si>
    <t xml:space="preserve"> Kasir Lt.10</t>
  </si>
  <si>
    <t xml:space="preserve">Meja tulis 1/2 biro </t>
  </si>
  <si>
    <t>IK/Dev-067</t>
  </si>
  <si>
    <t>IK/Dev-067/000001</t>
  </si>
  <si>
    <t xml:space="preserve">Meja Anna FA Lt.10 </t>
  </si>
  <si>
    <t>Anna</t>
  </si>
  <si>
    <t>Meja ketik saga coklat untuk christine</t>
  </si>
  <si>
    <t>IK/Dev-068</t>
  </si>
  <si>
    <t>IK/Dev-068/000001</t>
  </si>
  <si>
    <t>Kursi - Toko Kawi</t>
  </si>
  <si>
    <t>IK/Dev-069</t>
  </si>
  <si>
    <t>IK/Dev-069/000001</t>
  </si>
  <si>
    <t>Meja - Toko Kawi</t>
  </si>
  <si>
    <t>IK/Dev-070</t>
  </si>
  <si>
    <t>IK/Dev-070/000001</t>
  </si>
  <si>
    <t>Departement FA  Lt.10</t>
  </si>
  <si>
    <t>Keyboard Logitech LX 300 - Datacom</t>
  </si>
  <si>
    <t>IK/Dev-071</t>
  </si>
  <si>
    <t>IK/Dev-071/000001</t>
  </si>
  <si>
    <t>UPS CT 1082 B utk Bapak Agus &amp; Accounting - Datacom</t>
  </si>
  <si>
    <t>IK/Dev-073</t>
  </si>
  <si>
    <t>IK/Dev-073/000001</t>
  </si>
  <si>
    <t>UPS - Datacom</t>
  </si>
  <si>
    <t>IK/Dev-078</t>
  </si>
  <si>
    <t>IK/Dev-078/000001</t>
  </si>
  <si>
    <t>Ruangan FA lt.10</t>
  </si>
  <si>
    <t>Meja 1/2 VIP coklat untuk Christine</t>
  </si>
  <si>
    <t>IK/Dev-086</t>
  </si>
  <si>
    <t>IK/Dev-086/000001</t>
  </si>
  <si>
    <t>Kursi Isabel roda untuk Christine</t>
  </si>
  <si>
    <t>IK/Dev-087</t>
  </si>
  <si>
    <t>IK/Dev-087/000001</t>
  </si>
  <si>
    <t>Staff Direksi</t>
  </si>
  <si>
    <t>ICS Computer - ICS Computer - 1 unit komputer &amp; printer untuk Bapak Ayang</t>
  </si>
  <si>
    <t>IK/Dev-089</t>
  </si>
  <si>
    <t>IK/Dev-089/000001</t>
  </si>
  <si>
    <t>Meja kantor</t>
  </si>
  <si>
    <t>IK/Dev-091</t>
  </si>
  <si>
    <t>IK/Dev-091/000001</t>
  </si>
  <si>
    <t>Ruangan Kasir</t>
  </si>
  <si>
    <t>Kasir</t>
  </si>
  <si>
    <t>Matahari Terbit - 0002717 tgl 170106 Lemari princes 2 pintu 1bh</t>
  </si>
  <si>
    <t>IK/Dev-092</t>
  </si>
  <si>
    <t>IK/Dev-092/000001</t>
  </si>
  <si>
    <t>Matahari Terbit - Inv.0003135 tgl200206 Spring bed star 160x200 1set</t>
  </si>
  <si>
    <t>IK/Dev-100</t>
  </si>
  <si>
    <t>IK/Dev-100/000001</t>
  </si>
  <si>
    <t>Matahari Terbit - Inv.0003221 tgl 220206 Meja tulis dan rak buku</t>
  </si>
  <si>
    <t>IK/Dev-101</t>
  </si>
  <si>
    <t>IK/Dev-101/000001</t>
  </si>
  <si>
    <t xml:space="preserve">Meja Rima FA Lt.10 </t>
  </si>
  <si>
    <t>Rima</t>
  </si>
  <si>
    <t>1 unit Vacum cleaner- Sanjaya Eka P</t>
  </si>
  <si>
    <t>IK/Dev-102</t>
  </si>
  <si>
    <t>IK/Dev-102/000001</t>
  </si>
  <si>
    <t>Matahari terbit - Inv.0003278 tgl 010306 Filling cabinet, meja ketik saga dll</t>
  </si>
  <si>
    <t>IK/Dev-103</t>
  </si>
  <si>
    <t>IK/Dev-103/000001</t>
  </si>
  <si>
    <t xml:space="preserve">Meja Ayu FA Lt.10 </t>
  </si>
  <si>
    <t>Ayu</t>
  </si>
  <si>
    <t>Matahari terbit - Inv.0003262 tgl 280206 meja tulis</t>
  </si>
  <si>
    <t>IK/Dev-104</t>
  </si>
  <si>
    <t>IK/Dev-104/000001</t>
  </si>
  <si>
    <t>Matahari terbit - Inv.0003290 tgl 020306 Meja tik Saga 1bh</t>
  </si>
  <si>
    <t>IK/Dev-105</t>
  </si>
  <si>
    <t>IK/Dev-105/000001</t>
  </si>
  <si>
    <t>Matahari terbit - Inv.0003247 tgl 250206 meja tulis</t>
  </si>
  <si>
    <t>IK/Dev-106</t>
  </si>
  <si>
    <t>IK/Dev-106/000001</t>
  </si>
  <si>
    <t>Lemari Belakang Debby  FA</t>
  </si>
  <si>
    <t>Aquarium FA</t>
  </si>
  <si>
    <t>Datacom - nota tgl 020306 utk 1unit komputer - Deden</t>
  </si>
  <si>
    <t>IK/Dev-107</t>
  </si>
  <si>
    <t>IK/Dev-107/000001</t>
  </si>
  <si>
    <t>Mitra Timur - Nota tgl 060306 1unit layar screen new mark</t>
  </si>
  <si>
    <t>IK/Dev-109</t>
  </si>
  <si>
    <t>IK/Dev-109/000001</t>
  </si>
  <si>
    <t>Ruang Meeting Direksi</t>
  </si>
  <si>
    <t>Matahari Terbit - Inv.0003363 lemari dapur 2bh</t>
  </si>
  <si>
    <t>IK/Dev-110</t>
  </si>
  <si>
    <t>IK/Dev-110/000001</t>
  </si>
  <si>
    <t>Pantry FA Lt.10</t>
  </si>
  <si>
    <t>Matahari Terbit - Inv.0003357 meja meeting</t>
  </si>
  <si>
    <t>IK/Dev-111</t>
  </si>
  <si>
    <t>IK/Dev-111/000001</t>
  </si>
  <si>
    <t>Datacom - nota.02780 1unit komputer pentium IV</t>
  </si>
  <si>
    <t>IK/Dev-113</t>
  </si>
  <si>
    <t>IK/Dev-113/000001</t>
  </si>
  <si>
    <t>Matahari Terbit - Inv.0003471 1bh lemari pakaian princess LBB 2005</t>
  </si>
  <si>
    <t>IK/Dev-114</t>
  </si>
  <si>
    <t>IK/Dev-114/000001</t>
  </si>
  <si>
    <t>Matahari Terbit - Inv.0003539 tgl 220306 meja tulis biro + meja samping 1bh</t>
  </si>
  <si>
    <t>IK/Dev-116</t>
  </si>
  <si>
    <t>IK/Dev-116/000001</t>
  </si>
  <si>
    <t xml:space="preserve"> Lemari Belakang Rima FA</t>
  </si>
  <si>
    <t>Toko Kawi - kursi utk ruangan Bp Chris</t>
  </si>
  <si>
    <t>IK/Dev-118</t>
  </si>
  <si>
    <t>IK/Dev-118/000001</t>
  </si>
  <si>
    <t>Pak Chris</t>
  </si>
  <si>
    <t>ICS Computer - Nota tgl 150506 1unit cannon scanner lide 25</t>
  </si>
  <si>
    <t>IK/Dev-121</t>
  </si>
  <si>
    <t>IK/Dev-121/000001</t>
  </si>
  <si>
    <t>ICS Computer - Nota tgl 150506 1unit komputer P4</t>
  </si>
  <si>
    <t>IK/Dev-122</t>
  </si>
  <si>
    <t>IK/Dev-122/000001</t>
  </si>
  <si>
    <t>Receptionist GF</t>
  </si>
  <si>
    <t>Matahari Terbit - 0004518 tgl 310506 1bh meja tulis 1/2 biro VIP</t>
  </si>
  <si>
    <t>IK/Dev-129</t>
  </si>
  <si>
    <t>IK/Dev-129/000001</t>
  </si>
  <si>
    <t>Arifin - Pompa air nocchi 1unit utk MO</t>
  </si>
  <si>
    <t>IK/Dev-130</t>
  </si>
  <si>
    <t>IK/Dev-130/000001</t>
  </si>
  <si>
    <t>Data com - Nota.035657 tgl 070706 1UPS Prolink Pro 1200</t>
  </si>
  <si>
    <t>IK/Dev-131</t>
  </si>
  <si>
    <t>IK/Dev-131/000001</t>
  </si>
  <si>
    <t>Data com - Nota.035274 tgl 040706 1UPS Prolink 1200VA</t>
  </si>
  <si>
    <t>IK/Dev-132</t>
  </si>
  <si>
    <t>IK/Dev-132/000001</t>
  </si>
  <si>
    <t>Bu Ani</t>
  </si>
  <si>
    <t>Data com - Nota.035224 tgl 040806 1unit UPS prolink 1200VA</t>
  </si>
  <si>
    <t>IK/Dev-135</t>
  </si>
  <si>
    <t>IK/Dev-135/000001</t>
  </si>
  <si>
    <t>Data com - Nota.035755 tgl 100906 1UPS Prolink Pro 1200</t>
  </si>
  <si>
    <t>IK/Dev-138</t>
  </si>
  <si>
    <t>IK/Dev-138/000001</t>
  </si>
  <si>
    <t>Matahari Terbit meubel - Spring bed bigland deluxe pink 2set utk Maya &amp; Citra</t>
  </si>
  <si>
    <t>IK/Dev-140</t>
  </si>
  <si>
    <t>IK/Dev-140/000001</t>
  </si>
  <si>
    <t>Matahari Terbit - Inv.0007180 tgl 061106 lemari buku diruangan promotion 2bh</t>
  </si>
  <si>
    <t>IK/Dev-144</t>
  </si>
  <si>
    <t>IK/Dev-144/000001</t>
  </si>
  <si>
    <t>Ruangan Supri FA Lt.10</t>
  </si>
  <si>
    <t>Meja Bapak Chris Hannry</t>
  </si>
  <si>
    <t>IK/Dev-146</t>
  </si>
  <si>
    <t>IK/Dev-146/000001</t>
  </si>
  <si>
    <t>Hakim - 1unit HT merk Olinca utk Bp Andry estimator project</t>
  </si>
  <si>
    <t>IK/Dev-149</t>
  </si>
  <si>
    <t>IK/Dev-149/000001</t>
  </si>
  <si>
    <t>Ruang Project Lt.3</t>
  </si>
  <si>
    <t>Matahari terbit - Inv.0007377 tgl 281106 1bh meja tulis 1/2 biro vip grey</t>
  </si>
  <si>
    <t>IK/Dev-151</t>
  </si>
  <si>
    <t>IK/Dev-151/000001</t>
  </si>
  <si>
    <t>Fitri - filling kabinet 4laci 1unit utk Bp Chris Hanrry</t>
  </si>
  <si>
    <t>IK/Dev-152</t>
  </si>
  <si>
    <t>IK/Dev-152/000001</t>
  </si>
  <si>
    <t>Matahari Terbit - Inv.0007431 tgl 041206 1bh meja tulis 1/2 biro vip abu2</t>
  </si>
  <si>
    <t>IK/Dev-153</t>
  </si>
  <si>
    <t>IK/Dev-153/000001</t>
  </si>
  <si>
    <t>Matahari terbit - inv.0007594 tgl 141206 lemarai pakaian LBB 2005 1bh</t>
  </si>
  <si>
    <t>IK/Dev-155</t>
  </si>
  <si>
    <t>IK/Dev-155/000001</t>
  </si>
  <si>
    <t>Beli Printer Canon i6500 22/3</t>
  </si>
  <si>
    <t>IK/Dev-158</t>
  </si>
  <si>
    <t>IK/Dev-158/000001</t>
  </si>
  <si>
    <t>Beli filling cabinet dll 23/6</t>
  </si>
  <si>
    <t>IK/Dev-159</t>
  </si>
  <si>
    <t>IK/Dev-159/000001</t>
  </si>
  <si>
    <t>Matahari terbit - lemari file dokumen utk arsip bagian umum</t>
  </si>
  <si>
    <t>IK/Dev-164</t>
  </si>
  <si>
    <t>IK/Dev-164/000001</t>
  </si>
  <si>
    <t>Arifin - Pompa nocchi MCX 252x200 1unit tgl 170107</t>
  </si>
  <si>
    <t>IK/Dev-165</t>
  </si>
  <si>
    <t>IK/Dev-165/000001</t>
  </si>
  <si>
    <t>Victoria Electronic - Nota.864195 tgl 010207 1bh mesin cuci sanken</t>
  </si>
  <si>
    <t>IK/Dev-173</t>
  </si>
  <si>
    <t>IK/Dev-173/000001</t>
  </si>
  <si>
    <t>Veronica - Kursi utk acara EBD 27buah</t>
  </si>
  <si>
    <t>IK/Dev-174</t>
  </si>
  <si>
    <t>IK/Dev-174/000001</t>
  </si>
  <si>
    <t>Matahari terbit - Rak serbaguna u/ ruangan promotion</t>
  </si>
  <si>
    <t>IK/Dev-183</t>
  </si>
  <si>
    <t>IK/Dev-183/000001</t>
  </si>
  <si>
    <t>Matahari terbit - Meja u/ " Noor Rohman</t>
  </si>
  <si>
    <t>IK/Dev-184</t>
  </si>
  <si>
    <t>IK/Dev-184/000001</t>
  </si>
  <si>
    <t>Lemari 2 pintu (2 Lemari @ Rp. 785.000)</t>
  </si>
  <si>
    <t>IK/Dev-189</t>
  </si>
  <si>
    <t>IK/Dev-189/000001</t>
  </si>
  <si>
    <t>IK/Dev-189/000002</t>
  </si>
  <si>
    <t>Matahari Terbit, meja rias, jemuran, seprei</t>
  </si>
  <si>
    <t>IK/Dev-191</t>
  </si>
  <si>
    <t>IK/Dev-191/000001</t>
  </si>
  <si>
    <t>Aquarium Project Lt.3</t>
  </si>
  <si>
    <t>Burhan, setrika u/ mess</t>
  </si>
  <si>
    <t>IK/Dev-193</t>
  </si>
  <si>
    <t>IK/Dev-193/000001</t>
  </si>
  <si>
    <t>Datacom, pembelian 1 unit komp u/ proyek, nota JL0000002357 tgl 18/05/07</t>
  </si>
  <si>
    <t>IK/Dev-194</t>
  </si>
  <si>
    <t>IK/Dev-194/000001</t>
  </si>
  <si>
    <t>CV Mitra Surya Perkasa,pek instalasi AC mess;inv no 006/MSP-INV/V/07 tgl 21/05/07</t>
  </si>
  <si>
    <t>IK/Dev-198</t>
  </si>
  <si>
    <t>IK/Dev-198/000001</t>
  </si>
  <si>
    <t>Presisi Komputer,1 unit komputer;inv no PC/043/E.07 tgl 31/05/07</t>
  </si>
  <si>
    <t>IK/Dev-200</t>
  </si>
  <si>
    <t>IK/Dev-200/000001</t>
  </si>
  <si>
    <t>Meja Elyn FA Lt.10</t>
  </si>
  <si>
    <t>Elyn</t>
  </si>
  <si>
    <t>Presisi Komputer,printer epson LX 300 u/ admin estate;PO No 314/VI/2007 tgl 09/06/07</t>
  </si>
  <si>
    <t>IK/Dev-201</t>
  </si>
  <si>
    <t>IK/Dev-201/000001</t>
  </si>
  <si>
    <t>Belakang Meja Debby FA</t>
  </si>
  <si>
    <t>Admin Estate</t>
  </si>
  <si>
    <t>IK/Dev-202</t>
  </si>
  <si>
    <t>IK/Dev-202/000001</t>
  </si>
  <si>
    <t>Victoria Electronic - Lemari es 1 unit u/mess</t>
  </si>
  <si>
    <t>IK/Dev-219</t>
  </si>
  <si>
    <t>IK/Dev-219/000001</t>
  </si>
  <si>
    <t>Mall Ewalk</t>
  </si>
  <si>
    <t>Bank BRI - Sofa u/ruang Kmr PDaniel</t>
  </si>
  <si>
    <t>IK/Dev-252</t>
  </si>
  <si>
    <t>IK/Dev-252/000001</t>
  </si>
  <si>
    <t>Victoria Electronic - Dispenser u/office E-walk PO 182/IV/09</t>
  </si>
  <si>
    <t>IK/Dev-257</t>
  </si>
  <si>
    <t>IK/Dev-257/000001</t>
  </si>
  <si>
    <t>Pantry Direksi</t>
  </si>
  <si>
    <t>Toko Matahari Terbit - Mebel - 3 unit rak buku &amp; lemari u/tenant E-walk,TDC,promoso</t>
  </si>
  <si>
    <t>IK/Dev-260</t>
  </si>
  <si>
    <t>IK/Dev-260/000001</t>
  </si>
  <si>
    <t>Datacom Computer Centre - 1 unit CPU u/mesin absensi</t>
  </si>
  <si>
    <t>IK/Dev-268</t>
  </si>
  <si>
    <t>IK/Dev-268/000001</t>
  </si>
  <si>
    <t>Mesin Absensi HRGA Lt.3</t>
  </si>
  <si>
    <t>Victoria Electronic - 3 unit AC u/apt unit 305 (Direksi)</t>
  </si>
  <si>
    <t>IK/Dev-275</t>
  </si>
  <si>
    <t>IK/Dev-275/000001</t>
  </si>
  <si>
    <t>Apt Ruby 305</t>
  </si>
  <si>
    <t>IK/Dev-275/000002</t>
  </si>
  <si>
    <t>IK/Dev-275/000003</t>
  </si>
  <si>
    <t>Victoria Electronic - 7 unit AC u/apt unit 16/I-J (Dirut)</t>
  </si>
  <si>
    <t>IK/Dev-276</t>
  </si>
  <si>
    <t>IK/Dev-276/000001</t>
  </si>
  <si>
    <t>Apt Ruby 16 I&amp;J</t>
  </si>
  <si>
    <t>IK/Dev-276/000002</t>
  </si>
  <si>
    <t>IK/Dev-276/000003</t>
  </si>
  <si>
    <t>IK/Dev-276/000004</t>
  </si>
  <si>
    <t>IK/Dev-276/000005</t>
  </si>
  <si>
    <t>IK/Dev-276/000006</t>
  </si>
  <si>
    <t>IK/Dev-276/000007</t>
  </si>
  <si>
    <t>Toko Matahari Terbit - Mebel - Kasur spring bed i unit u/Apt Direksi</t>
  </si>
  <si>
    <t>IK/Dev-277</t>
  </si>
  <si>
    <t>IK/Dev-277/000001</t>
  </si>
  <si>
    <t>Toko Matahari Terbit - Mebel - Kasur spring bed u/Apt Direkdi</t>
  </si>
  <si>
    <t>IK/Dev-278</t>
  </si>
  <si>
    <t>IK/Dev-278/000001</t>
  </si>
  <si>
    <t>Cash - Kulkas LG &amp; kabel roll u/Apt PDaniel</t>
  </si>
  <si>
    <t>IK/Dev-279</t>
  </si>
  <si>
    <t>IK/Dev-279/000001</t>
  </si>
  <si>
    <t>Victoria Electronic - Beli 1 unit kulkas LG u/apt.203</t>
  </si>
  <si>
    <t>IK/Dev-295</t>
  </si>
  <si>
    <t>IK/Dev-295/000001</t>
  </si>
  <si>
    <t>Apt Ruby 203</t>
  </si>
  <si>
    <t>Pak Mario</t>
  </si>
  <si>
    <t>CV Mitra Surya Perkasa - 3 unit AC u/apt 203 PO 343</t>
  </si>
  <si>
    <t>IK/Dev-298</t>
  </si>
  <si>
    <t>IK/Dev-298/000001</t>
  </si>
  <si>
    <t>Mario</t>
  </si>
  <si>
    <t>IK/Dev-298/000002</t>
  </si>
  <si>
    <t>IK/Dev-298/000003</t>
  </si>
  <si>
    <t>CV Mitra Surya Perkasa - 5 unit water heather Ariston apt 305 PO 348</t>
  </si>
  <si>
    <t>IK/Dev-299</t>
  </si>
  <si>
    <t>IK/Dev-299/000001</t>
  </si>
  <si>
    <t>IK/Dev-299/000002</t>
  </si>
  <si>
    <t>IK/Dev-299/000003</t>
  </si>
  <si>
    <t>IK/Dev-299/000004</t>
  </si>
  <si>
    <t>IK/Dev-299/000005</t>
  </si>
  <si>
    <t>Datacom Computer Centre - 1 unit printer u/direut di apt 16 I</t>
  </si>
  <si>
    <t>IK/Dev-303</t>
  </si>
  <si>
    <t>IK/Dev-303/000001</t>
  </si>
  <si>
    <t>Datacom Computer Centre - 1 unit printer u/apt 16 J &amp; I</t>
  </si>
  <si>
    <t>IK/Dev-311</t>
  </si>
  <si>
    <t>IK/Dev-311/000001</t>
  </si>
  <si>
    <t>Datacom Computer Centre - 1 unit Mesin absensi interaktive security &amp; pkerja harian PT.WBL PO.No.464</t>
  </si>
  <si>
    <t>IK/Dev-313</t>
  </si>
  <si>
    <t>IK/Dev-313/000001</t>
  </si>
  <si>
    <t>Absensi Project lt.3</t>
  </si>
  <si>
    <t>Veronica - Kursi u/ meja recepsionist</t>
  </si>
  <si>
    <t>IK/Dev-317</t>
  </si>
  <si>
    <t>IK/Dev-317/000001</t>
  </si>
  <si>
    <t>Lobby PAM Tower Lt.3</t>
  </si>
  <si>
    <t>Receptionist</t>
  </si>
  <si>
    <t>Datacom Computer Centre - 2 unit computer u/accounting PO 541</t>
  </si>
  <si>
    <t>IK/Dev-318</t>
  </si>
  <si>
    <t>IK/Dev-318/000001</t>
  </si>
  <si>
    <t>Meja Bowo FA lt.10</t>
  </si>
  <si>
    <t>Bowo</t>
  </si>
  <si>
    <t>IK/Dev-318/000002</t>
  </si>
  <si>
    <t>Datacom Computer Centre - 1 unit printer u/accounting po 541</t>
  </si>
  <si>
    <t>IK/Dev-319</t>
  </si>
  <si>
    <t>IK/Dev-319/000001</t>
  </si>
  <si>
    <t>Toko Matahari Terbit - Mebel - Rak piring &amp; kursi chitose;PO No.670/XI/09</t>
  </si>
  <si>
    <t>IK/Dev-321</t>
  </si>
  <si>
    <t>IK/Dev-321/000001</t>
  </si>
  <si>
    <t>Harvest Computer - CPU u/ proyek</t>
  </si>
  <si>
    <t>IK/Dev-332</t>
  </si>
  <si>
    <t>IK/Dev-332/000001</t>
  </si>
  <si>
    <t>Harvest Computer - Pembelian personal computer dual core,printer</t>
  </si>
  <si>
    <t>IK/Dev-334</t>
  </si>
  <si>
    <t>IK/Dev-334/000001</t>
  </si>
  <si>
    <t>Victoria Electronic - Pembelian AC LG 2 unit u/ WBL</t>
  </si>
  <si>
    <t>IK/Dev-344</t>
  </si>
  <si>
    <t>IK/Dev-344/000001</t>
  </si>
  <si>
    <t>IK/Dev-344/000002</t>
  </si>
  <si>
    <t>Toko Matahari Terbit - Mebel - Meja makan + kursi DC 435 (2)bh</t>
  </si>
  <si>
    <t>IK/Dev-361</t>
  </si>
  <si>
    <t>IK/Dev-361/000001</t>
  </si>
  <si>
    <t>Meja Pak Tri Project Lt.3</t>
  </si>
  <si>
    <t>Water heater &amp;amp; charge pembyran dgn cc utk apt.315, VERONICA</t>
  </si>
  <si>
    <t>IK/Dev-371</t>
  </si>
  <si>
    <t>IK/Dev-371/000001</t>
  </si>
  <si>
    <t xml:space="preserve">APT 315 </t>
  </si>
  <si>
    <t>By proyek : mesin cuci,pressure tank (M)</t>
  </si>
  <si>
    <t>IK/Dev-372</t>
  </si>
  <si>
    <t>IK/Dev-372/000001</t>
  </si>
  <si>
    <t>Printer laser utk Vero &amp;amp; service charge pembayaran dgn credit card</t>
  </si>
  <si>
    <t>IK/Dev-374</t>
  </si>
  <si>
    <t>IK/Dev-374/000001</t>
  </si>
  <si>
    <t>1 Unit Computer untuk staff Promotion, 2 ea HDD 8GB untuk Admin proyek &amp;amp; Staff Promotion, Po. no. 099/WBL/PO/IV/2011</t>
  </si>
  <si>
    <t>IK/Dev-375</t>
  </si>
  <si>
    <t>IK/Dev-375/000001</t>
  </si>
  <si>
    <t>Staf promotion &amp; Staf Proyek</t>
  </si>
  <si>
    <t>Marketing GF &amp; Project Lt.3</t>
  </si>
  <si>
    <t>1 Unit Computer utk Tomas, Printer untuk Mngr Marketing, &amp;amp; Wireless wifi USB utk asst. promosi, Po. no. 151/WBL/PO/V/2011</t>
  </si>
  <si>
    <t>IK/Dev-379</t>
  </si>
  <si>
    <t>IK/Dev-379/000001</t>
  </si>
  <si>
    <t>Manager Marketing</t>
  </si>
  <si>
    <t>TV Plasma LG 42" untuk stand pameran marketing, Po. no. 157/WBL/PO/VI/2011</t>
  </si>
  <si>
    <t>IK/Dev-380</t>
  </si>
  <si>
    <t>IK/Dev-380/000001</t>
  </si>
  <si>
    <t>Kitchen set &amp;amp; cooker Hood Modena u/ Apt. 315, Po. No. 138/WBL/PO/V/2011</t>
  </si>
  <si>
    <t>IK/Dev-381</t>
  </si>
  <si>
    <t>IK/Dev-381/000001</t>
  </si>
  <si>
    <t>WBL Jakarta</t>
  </si>
  <si>
    <t>WBL Jkt</t>
  </si>
  <si>
    <t>Pembelian computer, monitor, printer, USB, mouse u/ mkt off PO:114/WBL/PO/IVV/2011</t>
  </si>
  <si>
    <t>IK/Dev-384</t>
  </si>
  <si>
    <t>IK/Dev-384/000001</t>
  </si>
  <si>
    <t>Pembelian filling kabinet 4 laci u/ mkt office (Budi. Fin), PO:174/WBL/PO/VI/2011</t>
  </si>
  <si>
    <t>IK/Dev-386</t>
  </si>
  <si>
    <t>IK/Dev-386/000001</t>
  </si>
  <si>
    <t>Ruang Legal Lt.3</t>
  </si>
  <si>
    <t>By proyek : mesin kompresor,house 3/4 u/ perbaikan ruko blok A</t>
  </si>
  <si>
    <t>IK/Dev-389</t>
  </si>
  <si>
    <t>IK/Dev-389/000001</t>
  </si>
  <si>
    <t>Ruko Blok A</t>
  </si>
  <si>
    <t>AC</t>
  </si>
  <si>
    <t>IK/Dev-390</t>
  </si>
  <si>
    <t>IK/Dev-390/000001</t>
  </si>
  <si>
    <t>Meja, kersi</t>
  </si>
  <si>
    <t>IK/Dev-399</t>
  </si>
  <si>
    <t>IK/Dev-399/000001</t>
  </si>
  <si>
    <t>Beli TV mess</t>
  </si>
  <si>
    <t>IK/Dev-404</t>
  </si>
  <si>
    <t>IK/Dev-404/000001</t>
  </si>
  <si>
    <t xml:space="preserve">Apt 212 </t>
  </si>
  <si>
    <t xml:space="preserve">Pak Jeffry </t>
  </si>
  <si>
    <t>Beli UPS</t>
  </si>
  <si>
    <t>IK/Dev-409</t>
  </si>
  <si>
    <t>IK/Dev-409/000001</t>
  </si>
  <si>
    <t>1 Unit Printer Epson LX 300</t>
  </si>
  <si>
    <t>IK/Dev-410</t>
  </si>
  <si>
    <t>IK/Dev-410/000001</t>
  </si>
  <si>
    <t>Ruangan Estate Lt.3</t>
  </si>
  <si>
    <t>1 Unit Printer Epson Lq1280</t>
  </si>
  <si>
    <t>IK/Dev-411</t>
  </si>
  <si>
    <t>IK/Dev-411/000001</t>
  </si>
  <si>
    <t>1 Pake Meja Kursi Kerha Mkt</t>
  </si>
  <si>
    <t>IK/Dev-412</t>
  </si>
  <si>
    <t>IK/Dev-412/000001</t>
  </si>
  <si>
    <t>2 unit AC office Jkt</t>
  </si>
  <si>
    <t>IK/Dev-419</t>
  </si>
  <si>
    <t>IK/Dev-419/000001</t>
  </si>
  <si>
    <t>IK/Dev-419/000002</t>
  </si>
  <si>
    <t>Printer Epson utk Finance</t>
  </si>
  <si>
    <t>IK/Dev-420</t>
  </si>
  <si>
    <t>IK/Dev-420/000001</t>
  </si>
  <si>
    <t>Computer &amp; monitor u/acct</t>
  </si>
  <si>
    <t>IK/Dev-421</t>
  </si>
  <si>
    <t>IK/Dev-421/000001</t>
  </si>
  <si>
    <t>AC utk Pak Daniel</t>
  </si>
  <si>
    <t>IK/Dev-422</t>
  </si>
  <si>
    <t>IK/Dev-422/000001</t>
  </si>
  <si>
    <t>Mesin cuci apt Jeffry</t>
  </si>
  <si>
    <t>IK/Dev-423</t>
  </si>
  <si>
    <t>IK/Dev-423/000001</t>
  </si>
  <si>
    <t>Beli UPS ICA 600VA u.FA &amp; HRD</t>
  </si>
  <si>
    <t>IK/Dev-428</t>
  </si>
  <si>
    <t>IK/Dev-428/000001</t>
  </si>
  <si>
    <t>1 set PC coer n monitor u/Marketing</t>
  </si>
  <si>
    <t>IK/Dev-432</t>
  </si>
  <si>
    <t>IK/Dev-432/000001</t>
  </si>
  <si>
    <t>2 unit AC apt 16 IJ</t>
  </si>
  <si>
    <t>IK/Dev-433</t>
  </si>
  <si>
    <t>IK/Dev-433/000001</t>
  </si>
  <si>
    <t>IK/Dev-433/000002</t>
  </si>
  <si>
    <t>1 Unit komputer core i3</t>
  </si>
  <si>
    <t>IK/Dev-434</t>
  </si>
  <si>
    <t>IK/Dev-434/000001</t>
  </si>
  <si>
    <t>Printer Epson</t>
  </si>
  <si>
    <t>IK/Dev-436</t>
  </si>
  <si>
    <t>IK/Dev-436/000001</t>
  </si>
  <si>
    <t>Matras Central 180 Deluxe</t>
  </si>
  <si>
    <t>IK/Dev-437</t>
  </si>
  <si>
    <t>IK/Dev-437/000001</t>
  </si>
  <si>
    <t>ATX Office</t>
  </si>
  <si>
    <t>IK/Dev-438</t>
  </si>
  <si>
    <t>IK/Dev-438/000001</t>
  </si>
  <si>
    <t>CCTV untuk Pam Tower</t>
  </si>
  <si>
    <t>IK/Dev-448</t>
  </si>
  <si>
    <t>IK/Dev-448/000001</t>
  </si>
  <si>
    <t>2 Unit Vacum Cleaner</t>
  </si>
  <si>
    <t>IK/Dev-450</t>
  </si>
  <si>
    <t>IK/Dev-450/000001</t>
  </si>
  <si>
    <t>IK/Dev-450/000002</t>
  </si>
  <si>
    <t>1 Unit Projector  EB-X11 kantor Jakarta</t>
  </si>
  <si>
    <t>IK/Dev-454</t>
  </si>
  <si>
    <t>IK/Dev-454/000001</t>
  </si>
  <si>
    <t>Ruang Panel PAM Tower</t>
  </si>
  <si>
    <t xml:space="preserve">Pak Thomas </t>
  </si>
  <si>
    <t>Acces Point linksys WAP 300N untuk WIFI Pam Tower</t>
  </si>
  <si>
    <t>IK/Dev-460</t>
  </si>
  <si>
    <t>IK/Dev-460/000001</t>
  </si>
  <si>
    <t>1 Conector AMP,LAN tester untuk data dan telepon PAM Tower</t>
  </si>
  <si>
    <t>IK/Dev-461</t>
  </si>
  <si>
    <t>IK/Dev-461/000001</t>
  </si>
  <si>
    <t>1Mesin Expresso kopi untuk Pam Tower</t>
  </si>
  <si>
    <t>IK/Dev-462</t>
  </si>
  <si>
    <t>IK/Dev-462/000001</t>
  </si>
  <si>
    <t>1Printer untuk Marketing</t>
  </si>
  <si>
    <t>IK/Dev-465</t>
  </si>
  <si>
    <t>IK/Dev-465/000001</t>
  </si>
  <si>
    <t>Anna Marketing</t>
  </si>
  <si>
    <t>Dispenser 3 Unit</t>
  </si>
  <si>
    <t>IK/Dev-467</t>
  </si>
  <si>
    <t>IK/Dev-467/000001</t>
  </si>
  <si>
    <t>Pantry Marketing GF</t>
  </si>
  <si>
    <t xml:space="preserve">Marketing </t>
  </si>
  <si>
    <t>IK/Dev-467/000002</t>
  </si>
  <si>
    <t>IK/Dev-467/000003</t>
  </si>
  <si>
    <t>Power Supplie Simbada</t>
  </si>
  <si>
    <t>IK/Dev-468</t>
  </si>
  <si>
    <t>IK/Dev-468/000001</t>
  </si>
  <si>
    <t>Komputer Jordan</t>
  </si>
  <si>
    <t>2 Unit Printer untuk Marketing</t>
  </si>
  <si>
    <t>IK/Dev-472</t>
  </si>
  <si>
    <t>IK/Dev-472/000001</t>
  </si>
  <si>
    <t>IK/Dev-472/000002</t>
  </si>
  <si>
    <t>1 Unit komputer core i3 untk Legal</t>
  </si>
  <si>
    <t>IK/Dev-475</t>
  </si>
  <si>
    <t>IK/Dev-475/000001</t>
  </si>
  <si>
    <t>Ruangan Legal Lt.3</t>
  </si>
  <si>
    <t xml:space="preserve">1 Unit Penghancur kertas </t>
  </si>
  <si>
    <t>IK/Dev-478</t>
  </si>
  <si>
    <t>IK/Dev-478/000001</t>
  </si>
  <si>
    <t>1 Unit Microwive (Furnitur) ruang pak daniel</t>
  </si>
  <si>
    <t>IK/Dev-483</t>
  </si>
  <si>
    <t>IK/Dev-483/000001</t>
  </si>
  <si>
    <t>Pantry Ruang Direksi</t>
  </si>
  <si>
    <t>1 Unit Printer up Ibu Lina</t>
  </si>
  <si>
    <t>IK/Dev-484</t>
  </si>
  <si>
    <t>IK/Dev-484/000001</t>
  </si>
  <si>
    <t>Ruangan Bu Lina FA Lt.10</t>
  </si>
  <si>
    <t>Bu Lina</t>
  </si>
  <si>
    <t>1 Unit Printer up Ellyn</t>
  </si>
  <si>
    <t>IK/Dev-485</t>
  </si>
  <si>
    <t>IK/Dev-485/000001</t>
  </si>
  <si>
    <t>Meja Ellyn</t>
  </si>
  <si>
    <t>Ellyn</t>
  </si>
  <si>
    <t>1 Unit Printer Canon PIXMA up Marketing</t>
  </si>
  <si>
    <t>IK/Dev-486</t>
  </si>
  <si>
    <t>IK/Dev-486/000001</t>
  </si>
  <si>
    <t>HR lt.3</t>
  </si>
  <si>
    <t>1 Unit CPU &amp; Printer office JKT</t>
  </si>
  <si>
    <t>IK/Dev-490</t>
  </si>
  <si>
    <t>IK/Dev-490/000001</t>
  </si>
  <si>
    <t>1 Unit Printer Hp (Legal)</t>
  </si>
  <si>
    <t>IK/Dev-491</t>
  </si>
  <si>
    <t>IK/Dev-491/000001</t>
  </si>
  <si>
    <t>1 Unit Rak File up Marketing &amp; promosi</t>
  </si>
  <si>
    <t>IK/Dev-493</t>
  </si>
  <si>
    <t>IK/Dev-493/000001</t>
  </si>
  <si>
    <t>1 Unit Kasur Matras @ Mess Karyawan kamar ani</t>
  </si>
  <si>
    <t>IK/Dev-494</t>
  </si>
  <si>
    <t>IK/Dev-494/000001</t>
  </si>
  <si>
    <t>1 Unit Purifier &amp; TV LED @ Ruang pak Kiki</t>
  </si>
  <si>
    <t>IK/Dev-495</t>
  </si>
  <si>
    <t>IK/Dev-495/000001</t>
  </si>
  <si>
    <t>1 Unit Komputer Intel Core !3 @ Risma Legal</t>
  </si>
  <si>
    <t>IK/Dev-496</t>
  </si>
  <si>
    <t>IK/Dev-496/000001</t>
  </si>
  <si>
    <t>Staff Legal</t>
  </si>
  <si>
    <t>1 Unit Lemari 2 Pintu @ Mess karyawan Pak James</t>
  </si>
  <si>
    <t>IK/Dev-500</t>
  </si>
  <si>
    <t>IK/Dev-500/000001</t>
  </si>
  <si>
    <t>1 Unit Hp Untuk Bok Hendri Wijaya</t>
  </si>
  <si>
    <t>IK/Dev-501</t>
  </si>
  <si>
    <t>IK/Dev-501/000001</t>
  </si>
  <si>
    <t>1 Unit Lemari 3 Pintu @ Pak Jefry Efendi</t>
  </si>
  <si>
    <t>IK/Dev-503</t>
  </si>
  <si>
    <t>IK/Dev-503/000001</t>
  </si>
  <si>
    <t>1 Unit Lemari Pakaian @ Mess karyawan Dedy</t>
  </si>
  <si>
    <t>IK/Dev-506</t>
  </si>
  <si>
    <t>IK/Dev-506/000001</t>
  </si>
  <si>
    <t>1 Unit Proc Invtel Core!3</t>
  </si>
  <si>
    <t>IK/Dev-507</t>
  </si>
  <si>
    <t>IK/Dev-507/000001</t>
  </si>
  <si>
    <t>1 Unit Epson L120</t>
  </si>
  <si>
    <t>IK/Dev-508</t>
  </si>
  <si>
    <t>IK/Dev-508/000001</t>
  </si>
  <si>
    <t>1 Unit Printer Epson up Yuli ar</t>
  </si>
  <si>
    <t>IK/Dev-511</t>
  </si>
  <si>
    <t>IK/Dev-511/000001</t>
  </si>
  <si>
    <t>1 Unit Ac Portabel up Bu Vero</t>
  </si>
  <si>
    <t>IK/Dev-512</t>
  </si>
  <si>
    <t>IK/Dev-512/000001</t>
  </si>
  <si>
    <t>Bu Vero FA Lt.10</t>
  </si>
  <si>
    <t>2 Unit Lemari 2P Mess karyawan Ibu Ani</t>
  </si>
  <si>
    <t>IK/Dev-513</t>
  </si>
  <si>
    <t>IK/Dev-513/000001</t>
  </si>
  <si>
    <t>IK/Dev-513/000002</t>
  </si>
  <si>
    <t>1 Unit Mesin Faxsimile Panasonik KX-FP701CX u Ruang Direksi</t>
  </si>
  <si>
    <t>IK/Dev-514</t>
  </si>
  <si>
    <t>IK/Dev-514/000001</t>
  </si>
  <si>
    <t>1 Unit Wireless D-Link HSPA DWR-730 user pak kiki</t>
  </si>
  <si>
    <t>IK/Dev-516</t>
  </si>
  <si>
    <t>IK/Dev-516/000001</t>
  </si>
  <si>
    <t>Ruang Server FA</t>
  </si>
  <si>
    <t>1 Unit Power Supplie Simbada 500W up Bowo FA</t>
  </si>
  <si>
    <t>IK/Dev-517</t>
  </si>
  <si>
    <t>IK/Dev-517/000001</t>
  </si>
  <si>
    <t>1 Unit LG Monitor up Admin Marketing</t>
  </si>
  <si>
    <t>IK/Dev-518</t>
  </si>
  <si>
    <t>IK/Dev-518/000001</t>
  </si>
  <si>
    <t>1 Unit Matras Central Mess Pak Roby</t>
  </si>
  <si>
    <t>IK/Dev-521</t>
  </si>
  <si>
    <t>IK/Dev-521/000001</t>
  </si>
  <si>
    <t>1 Unti Kamera HRGA</t>
  </si>
  <si>
    <t>IK/Dev-523</t>
  </si>
  <si>
    <t>IK/Dev-523/000001</t>
  </si>
  <si>
    <t>1 Unit Kichen Set Apt Veronica</t>
  </si>
  <si>
    <t>IK/Dev-525</t>
  </si>
  <si>
    <t>IK/Dev-525/000001</t>
  </si>
  <si>
    <t>1 Kursi Makan apt 212 Jeffy</t>
  </si>
  <si>
    <t>IK/Dev-526</t>
  </si>
  <si>
    <t>IK/Dev-526/000001</t>
  </si>
  <si>
    <t>1 HDD WD My Passort Ultra TB dan Power Supply</t>
  </si>
  <si>
    <t>IK/Dev-528</t>
  </si>
  <si>
    <t>IK/Dev-528/000001</t>
  </si>
  <si>
    <t>1 Unit HP Samsung Bpk Leonardus S</t>
  </si>
  <si>
    <t>IK/Dev-529</t>
  </si>
  <si>
    <t>IK/Dev-529/000001</t>
  </si>
  <si>
    <t>2 Unit Lemari 2P &amp; 1 Unit Spring Bad Bpk Jeffry Efendi</t>
  </si>
  <si>
    <t>IK/Dev-531</t>
  </si>
  <si>
    <t>IK/Dev-531/000001</t>
  </si>
  <si>
    <t>IK/Dev-531/000002</t>
  </si>
  <si>
    <t>IK/Dev-531/000003</t>
  </si>
  <si>
    <t>1 Unit HP Bpk Daniel W</t>
  </si>
  <si>
    <t>IK/Dev-533</t>
  </si>
  <si>
    <t>IK/Dev-533/000001</t>
  </si>
  <si>
    <t>1 Unit Telf Ruang Meeting</t>
  </si>
  <si>
    <t>IK/Dev-534</t>
  </si>
  <si>
    <t>IK/Dev-534/000001</t>
  </si>
  <si>
    <t>1 Unit Printer Epson Up Bu Lisda</t>
  </si>
  <si>
    <t>IK/Dev-535</t>
  </si>
  <si>
    <t>IK/Dev-535/000001</t>
  </si>
  <si>
    <t>Ruang HR Lt.3</t>
  </si>
  <si>
    <t>1 Unit Printer Epson L355 Pak Kiki</t>
  </si>
  <si>
    <t>IK/Dev-539</t>
  </si>
  <si>
    <t>IK/Dev-539/000001</t>
  </si>
  <si>
    <t>1 Unit Office Home Bussines (pak Tomas)</t>
  </si>
  <si>
    <t>IK/Dev-541</t>
  </si>
  <si>
    <t>IK/Dev-541/000001</t>
  </si>
  <si>
    <t>Komputer Pak Thomas</t>
  </si>
  <si>
    <t>1 Unit LED &amp; DVD Monitor kantor Project</t>
  </si>
  <si>
    <t>IK/Dev-542</t>
  </si>
  <si>
    <t>IK/Dev-542/000001</t>
  </si>
  <si>
    <t>1 Unit Alat Hitung uang @ Kasir</t>
  </si>
  <si>
    <t>IK/Dev-544</t>
  </si>
  <si>
    <t>IK/Dev-544/000001</t>
  </si>
  <si>
    <t>1 Unit Printer J5910DW</t>
  </si>
  <si>
    <t>IK/Dev-547</t>
  </si>
  <si>
    <t>IK/Dev-547/000001</t>
  </si>
  <si>
    <t>2 Unit Lemari P &amp; 1 ranjang UK 100x200</t>
  </si>
  <si>
    <t>IK/Dev-548</t>
  </si>
  <si>
    <t>IK/Dev-548/000001</t>
  </si>
  <si>
    <t>IK/Dev-548/000002</t>
  </si>
  <si>
    <t>IK/Dev-548/000003</t>
  </si>
  <si>
    <t>1 Unit TV (Bpk Suparsono)</t>
  </si>
  <si>
    <t>IK/Dev-554</t>
  </si>
  <si>
    <t>IK/Dev-554/000001</t>
  </si>
  <si>
    <t>1 Unit Printer HP (Project)</t>
  </si>
  <si>
    <t>IK/Dev-555</t>
  </si>
  <si>
    <t>IK/Dev-555/000001</t>
  </si>
  <si>
    <t xml:space="preserve">Ruangan Pak Thomas </t>
  </si>
  <si>
    <t>1 Unit Air Coller (Ruang Meeting LT10 Project)</t>
  </si>
  <si>
    <t>IK/Dev-556</t>
  </si>
  <si>
    <t>IK/Dev-556/000001</t>
  </si>
  <si>
    <t>Super Bowling BSB</t>
  </si>
  <si>
    <t>1 Unit Kursi (Samsudin Project)</t>
  </si>
  <si>
    <t>IK/Dev-557</t>
  </si>
  <si>
    <t>IK/Dev-557/000001</t>
  </si>
  <si>
    <t>1 Unit Printer Epson (Legal)</t>
  </si>
  <si>
    <t>IK/Dev-559</t>
  </si>
  <si>
    <t>IK/Dev-559/000001</t>
  </si>
  <si>
    <t>1 Unit Swith 24 Port V1905-24 (IT)</t>
  </si>
  <si>
    <t>IK/Dev-561</t>
  </si>
  <si>
    <t>IK/Dev-561/000001</t>
  </si>
  <si>
    <t>4 Unit TP Link Wifi untuk Mess Karyawan</t>
  </si>
  <si>
    <t>IK/Dev-571</t>
  </si>
  <si>
    <t>IK/Dev-571/000001</t>
  </si>
  <si>
    <t>IK/Dev-571/000002</t>
  </si>
  <si>
    <t>IK/Dev-571/000003</t>
  </si>
  <si>
    <t>IK/Dev-571/000004</t>
  </si>
  <si>
    <t>2 Unit Printer untuk Pak Kiki &amp; Andy</t>
  </si>
  <si>
    <t>IK/Dev-572</t>
  </si>
  <si>
    <t>IK/Dev-572/000001</t>
  </si>
  <si>
    <t>Pak Andy &amp; Pak Kiki</t>
  </si>
  <si>
    <t>IK/Dev-572/000002</t>
  </si>
  <si>
    <t>1 Unit AC Outdoor u ibu clarissa</t>
  </si>
  <si>
    <t>IK/Dev-575</t>
  </si>
  <si>
    <t>IK/Dev-575/000001</t>
  </si>
  <si>
    <t>Ibu Clarissa</t>
  </si>
  <si>
    <t>1 Unit HP Erafhone</t>
  </si>
  <si>
    <t>IK/Dev-576</t>
  </si>
  <si>
    <t>IK/Dev-576/000001</t>
  </si>
  <si>
    <t>Marketing GF</t>
  </si>
  <si>
    <t>1 Unit Bedsheet Apt 309 Pak Hendry</t>
  </si>
  <si>
    <t>IK/Dev-583</t>
  </si>
  <si>
    <t>IK/Dev-583/000001</t>
  </si>
  <si>
    <t xml:space="preserve">Apt 309 </t>
  </si>
  <si>
    <t>Pak Hendry</t>
  </si>
  <si>
    <t>INVT/DEV/17/003</t>
  </si>
  <si>
    <t>INVT/DEV/17/003/000001</t>
  </si>
  <si>
    <t>Printer EPSON @ FA</t>
  </si>
  <si>
    <t>INVT/DEV/17/005</t>
  </si>
  <si>
    <t>INVT/DEV/17/005/000001</t>
  </si>
  <si>
    <t>Pembelian HP Samsung untuk Bowo FA</t>
  </si>
  <si>
    <t>INVT/DEV/17/008</t>
  </si>
  <si>
    <t>INVT/DEV/17/008/000001</t>
  </si>
  <si>
    <t>Bowo FA lt.10</t>
  </si>
  <si>
    <t>PRINTER EPSON L360 SN: X3GW058501</t>
  </si>
  <si>
    <t>INVT/DEV/17/009</t>
  </si>
  <si>
    <t>INVT/DEV/17/009/000001</t>
  </si>
  <si>
    <t>Meja Sinta FA Lt.10</t>
  </si>
  <si>
    <t>Sinta</t>
  </si>
  <si>
    <t>Printer Epson L360 untuk pak Supri (AP) Finance Accounting</t>
  </si>
  <si>
    <t>INVT/DEV/17/010</t>
  </si>
  <si>
    <t>INVT/DEV/17/010/000001</t>
  </si>
  <si>
    <t>HDD WD MY PASSPRT AUTO BACKUP</t>
  </si>
  <si>
    <t>INVT/DEV/17/012</t>
  </si>
  <si>
    <t>INVT/DEV/17/012/000001</t>
  </si>
  <si>
    <t>Ruangan IT Lt.3</t>
  </si>
  <si>
    <t>Meja Fatimah FA Lt.10</t>
  </si>
  <si>
    <t>PRINTER L360</t>
  </si>
  <si>
    <t>INVT/DEV/17/016</t>
  </si>
  <si>
    <t>INVT/DEV/17/016/000001</t>
  </si>
  <si>
    <t>Ruang Pak Kiki</t>
  </si>
  <si>
    <t>MONITOR LG 22" LEGAL</t>
  </si>
  <si>
    <t>INVT/DEV/17/017</t>
  </si>
  <si>
    <t>INVT/DEV/17/017/000001</t>
  </si>
  <si>
    <t>WATER HEATER ARISTON</t>
  </si>
  <si>
    <t>INVT/DEV/17/019</t>
  </si>
  <si>
    <t>INVT/DEV/17/019/000001</t>
  </si>
  <si>
    <t>LED SHARP LC-32LE180</t>
  </si>
  <si>
    <t>INVT/DEV/17/022</t>
  </si>
  <si>
    <t>INVT/DEV/17/022/000001</t>
  </si>
  <si>
    <t>LED LG Monitor</t>
  </si>
  <si>
    <t>INVT/DEV/17/028</t>
  </si>
  <si>
    <t>INVT/DEV/17/028/000001</t>
  </si>
  <si>
    <t>INVT/DEV/17/040</t>
  </si>
  <si>
    <t>INVT/DEV/17/040/000001</t>
  </si>
  <si>
    <t>Meja Cani FA Lt.10</t>
  </si>
  <si>
    <t>Cani</t>
  </si>
  <si>
    <t>Printer LX 300</t>
  </si>
  <si>
    <t>INVT/DEV/17/041</t>
  </si>
  <si>
    <t>INVT/DEV/17/041/000001</t>
  </si>
  <si>
    <t>Meja Anna FA Lt.10</t>
  </si>
  <si>
    <t>PRINTER EPSON L120</t>
  </si>
  <si>
    <t>INVT/DEV/17/042</t>
  </si>
  <si>
    <t>INVT/DEV/17/042/000001</t>
  </si>
  <si>
    <t>UPS</t>
  </si>
  <si>
    <t>INVT/DEV/17/045</t>
  </si>
  <si>
    <t>INVT/DEV/17/045/000001</t>
  </si>
  <si>
    <t xml:space="preserve">Printer L360 </t>
  </si>
  <si>
    <t>INVT/DEV/17/046</t>
  </si>
  <si>
    <t>INVT/DEV/17/046/000001</t>
  </si>
  <si>
    <t xml:space="preserve">Printer Epson L120 </t>
  </si>
  <si>
    <t>INVT/DEV/18/006</t>
  </si>
  <si>
    <t>INVT/DEV/18/006/000001</t>
  </si>
  <si>
    <t>IT lt.3</t>
  </si>
  <si>
    <t>INVT/DEV/18/010</t>
  </si>
  <si>
    <t>INVT/DEV/18/010/000001</t>
  </si>
  <si>
    <t>HT Baofeng UV SRA</t>
  </si>
  <si>
    <t>INVT/DEV/18/012</t>
  </si>
  <si>
    <t>INVT/DEV/18/012/000001</t>
  </si>
  <si>
    <t>1 Unit Dispenser</t>
  </si>
  <si>
    <t>INVT/DEV/18/014</t>
  </si>
  <si>
    <t>INVT/DEV/18/014/000001</t>
  </si>
  <si>
    <t>TV LED 32"</t>
  </si>
  <si>
    <t>INVT/DEV/18/016</t>
  </si>
  <si>
    <t>INVT/DEV/18/016/000001</t>
  </si>
  <si>
    <t>Printer Epson L-360</t>
  </si>
  <si>
    <t>INVT/DEV/18/039</t>
  </si>
  <si>
    <t>INVT/DEV/18/039/000001</t>
  </si>
  <si>
    <t>Meja</t>
  </si>
  <si>
    <t>INVT/DEV/18/056</t>
  </si>
  <si>
    <t>INVT/DEV/18/056/000001</t>
  </si>
  <si>
    <t>INVT/DEV/18/057</t>
  </si>
  <si>
    <t>INVT/DEV/18/057/000001</t>
  </si>
  <si>
    <t>Printer Epson L3110 ZN:3322514132</t>
  </si>
  <si>
    <t>INVT/DEV/19/069</t>
  </si>
  <si>
    <t>INVT/DEV/19/069/000001</t>
  </si>
  <si>
    <t>Pembelian printer untuk marcom</t>
  </si>
  <si>
    <t>INVT/DEV/19/079</t>
  </si>
  <si>
    <t>INVT/DEV/19/079/000001</t>
  </si>
  <si>
    <t>Pembelian HP Redmi utk Opr Bu Vero</t>
  </si>
  <si>
    <t>INVT/DEV/19/080</t>
  </si>
  <si>
    <t>INVT/DEV/19/080/000001</t>
  </si>
  <si>
    <t>pemb. tempat sampah</t>
  </si>
  <si>
    <t>INVT/DEV/19/086</t>
  </si>
  <si>
    <t>INVT/DEV/19/086/000001</t>
  </si>
  <si>
    <t xml:space="preserve">PAM TOWER </t>
  </si>
  <si>
    <t>Pembelian cif</t>
  </si>
  <si>
    <t>INVT/DEV/19/088</t>
  </si>
  <si>
    <t>INVT/DEV/19/088/000001</t>
  </si>
  <si>
    <t>Beli Microwave Sharp RI 21 DOS</t>
  </si>
  <si>
    <t>INVT/DEV/19/092</t>
  </si>
  <si>
    <t>INVT/DEV/19/092/000001</t>
  </si>
  <si>
    <t>Pesawat telepon Panasonic</t>
  </si>
  <si>
    <t>INVT/DEV/20/09</t>
  </si>
  <si>
    <t>INVT/DEV/20/09/000001</t>
  </si>
  <si>
    <t>Pembelian Microwave u/ ruangan pak Chris</t>
  </si>
  <si>
    <t>INVT/DEV/20/16</t>
  </si>
  <si>
    <t>INVT/DEV/20/16/000001</t>
  </si>
  <si>
    <t xml:space="preserve">HP untuk vero </t>
  </si>
  <si>
    <t>INVT/DEV/20/18</t>
  </si>
  <si>
    <t>INVT/DEV/20/18/000001</t>
  </si>
  <si>
    <t xml:space="preserve">pembelian 3 buah setrika untuk apt. &amp; mess </t>
  </si>
  <si>
    <t>INVT/DEV/20/19</t>
  </si>
  <si>
    <t>INVT/DEV/20/19/000001</t>
  </si>
  <si>
    <t>INVT/DEV/20/19/000002</t>
  </si>
  <si>
    <t>INVT/DEV/20/19/000003</t>
  </si>
  <si>
    <t>Beli alat vacum</t>
  </si>
  <si>
    <t>INVT/DEV/20/20</t>
  </si>
  <si>
    <t>INVT/DEV/20/20/000001</t>
  </si>
  <si>
    <t>Lt.3</t>
  </si>
  <si>
    <t>Komputer 4 Unit (Mitra Technologi Computindo (The Fictor)</t>
  </si>
  <si>
    <t>Laptop dell</t>
  </si>
  <si>
    <t xml:space="preserve">
Pembelian hp</t>
  </si>
  <si>
    <t>INVT/DEV/21/04</t>
  </si>
  <si>
    <t>INVT/DEV/21/04/000001</t>
  </si>
  <si>
    <t>Pembelian hp</t>
  </si>
  <si>
    <t>INVT/DEV/21/07</t>
  </si>
  <si>
    <t>INVT/DEV/21/07/000001</t>
  </si>
  <si>
    <t>Pembelian air purifier untuk Bp. Ady S</t>
  </si>
  <si>
    <t>Pembelian tabung oxygen &amp; biaya cetak tagihan &amp; adm pembayaran tagihan bln Aug 21</t>
  </si>
  <si>
    <t>Pembayaran pembelian di tokopedia untuk telp, modem untuk ruangan Bp. chris, les kran, wastafel., tombol lift, shower untuk pam tower</t>
  </si>
  <si>
    <t>Ruang Direksi &amp; PAM Tower</t>
  </si>
  <si>
    <t>Direksi &amp; PAM Tower</t>
  </si>
  <si>
    <t xml:space="preserve">Pembelian PC rakitan untuk BVp. chris &amp; bea materai </t>
  </si>
  <si>
    <t xml:space="preserve">Ruang Direksi </t>
  </si>
  <si>
    <t>Pembelian ac 2 unit untuk ruang server PAM Tower &amp; bea materai</t>
  </si>
  <si>
    <t xml:space="preserve">Ruang Server </t>
  </si>
  <si>
    <t>Pembelian indorack wallmount rack server 3 unit 7 webcam untuk maintenance jaringan &amp; server, pembelian kasur untuk apt ruby 305 (bp. daniel) , UPS untuk IT, bea matrrai &amp; notifikasi</t>
  </si>
  <si>
    <t>Ruang Server &amp; Apt Ruby 305</t>
  </si>
  <si>
    <t>PAM Tower &amp; Pak Daniel</t>
  </si>
  <si>
    <t>Pembelian kompor &amp; penghisap asap untuk apt ruby 16 IJ (Bp. chris)</t>
  </si>
  <si>
    <t>Pembelian idspenser untuk apt ruby unit 305 Bp .Daniel W</t>
  </si>
  <si>
    <t>Biaya entertainment XXXI.pembelian lemari untuk apt ruby 701 (rocky) pembelian iket &amp; akan refund, biaya notifikasi</t>
  </si>
  <si>
    <t>Apt 701</t>
  </si>
  <si>
    <t>Pak Roky</t>
  </si>
  <si>
    <t>Sarana Lestari PO 001 (DP 50% Banquet equipment meeting room)</t>
  </si>
  <si>
    <t>WBL-DEV-INVT-ASTARA-001</t>
  </si>
  <si>
    <t>WBL-DEV-INVT-ASTARA-001/000001</t>
  </si>
  <si>
    <t>Astara Hotel</t>
  </si>
  <si>
    <t>CV.Arsi Labora PO 003 (DP 30% Glassware,Chinaware,Silverware,Utensil)</t>
  </si>
  <si>
    <t>WBL-DEV-INVT-ASTARA-002</t>
  </si>
  <si>
    <t>WBL-DEV-INVT-ASTARA-002/000001</t>
  </si>
  <si>
    <t>PT.Dwinada PO 002 (DP 50% 380 pcs Cover chair lotto)</t>
  </si>
  <si>
    <t>WBL-DEV-INVT-ASTARA-003</t>
  </si>
  <si>
    <t>WBL-DEV-INVT-ASTARA-003/000001</t>
  </si>
  <si>
    <t>Elsiscom PO 004 (DP 10% 1 unit BenQ Projector)</t>
  </si>
  <si>
    <t>Proyektor Hotel Astara</t>
  </si>
  <si>
    <t>Proyektor Hotel Astara/000001</t>
  </si>
  <si>
    <t>Ruang Engineering Astara</t>
  </si>
  <si>
    <t>UD.Data com PO 005 (DP 50% 3 unit Screen tripad datalite 96)</t>
  </si>
  <si>
    <t>WBL-DEV-INVT-ASTARA-004</t>
  </si>
  <si>
    <t>WBL-DEV-INVT-ASTARA-004/000001</t>
  </si>
  <si>
    <t xml:space="preserve">Ruang Meeting Astara </t>
  </si>
  <si>
    <t>UD.Data com PO 005 (Pelunasan 3 unit Screen tripad datalite 96)</t>
  </si>
  <si>
    <t>Screen Proyektor Hotel Astara</t>
  </si>
  <si>
    <t>Screen Proyektor Hotel Astara/000001</t>
  </si>
  <si>
    <t>Ruang Meeting Astara</t>
  </si>
  <si>
    <t>PT.Wiratama Raya PO 007 (DP 30% Food warmer,Gastronom pan rack,mesin panggang sosis,coffee maker,warmer for decanter)</t>
  </si>
  <si>
    <t>WBL-DEV-INVT-ASTARA-005</t>
  </si>
  <si>
    <t>WBL-DEV-INVT-ASTARA-005/000001</t>
  </si>
  <si>
    <t>CV.Arsi Labora PO 008 (DP 30% Coffee decanter,hot food warmer,soup kettle,food pan,round roll top chafing,round water)</t>
  </si>
  <si>
    <t>Perlatan Banquet Hotel Astara</t>
  </si>
  <si>
    <t>Perlatan Banquet Hotel Astara/000001</t>
  </si>
  <si>
    <t>CV.Arsi Labora PO 009 (DP 30% Coffee urn,Electric mug shape heating)</t>
  </si>
  <si>
    <t>WBL-DEV-INVT-ASTARA-006</t>
  </si>
  <si>
    <t>WBL-DEV-INVT-ASTARA-006/000001</t>
  </si>
  <si>
    <t>BenQ Zone Century Media PO 010 (4 unit Meja tripod Projector)</t>
  </si>
  <si>
    <t>Meja Tripod Proyektor Hotel Astara</t>
  </si>
  <si>
    <t>Meja Tripod Proyektor Hotel Astara/000001</t>
  </si>
  <si>
    <t>PT.Sarana Interindo PO 011 (DP 50% sofa dan meja lobby meeting room)</t>
  </si>
  <si>
    <t>WBL-DEV-INVT-ASTARA-007</t>
  </si>
  <si>
    <t>WBL-DEV-INVT-ASTARA-007/000001</t>
  </si>
  <si>
    <t>Lobby Hotel Astara</t>
  </si>
  <si>
    <t>Trans Borneo Logsitik PO 014 (DP 50% 1 Container furniture 20 ft Jkt-Bpn )</t>
  </si>
  <si>
    <t>PT.Vania Interior Furnishing PO 015 (Linen plain Vania Fabric)</t>
  </si>
  <si>
    <t>WBL-DEV-INVT-ASTARA-008</t>
  </si>
  <si>
    <t>WBL-DEV-INVT-ASTARA-008/000001</t>
  </si>
  <si>
    <t>HK Hotel Astara</t>
  </si>
  <si>
    <t>PT.Dwinada jaya sejahtera PO 013 (DP 50% Linen)</t>
  </si>
  <si>
    <t>Linen Hotel Astara</t>
  </si>
  <si>
    <t>Linen Hotel Astara/000001</t>
  </si>
  <si>
    <t>Trans Borneo Logsitik PO 014 (Pelunasan 1 Container furniture 20 ft Jkt-Bpn )</t>
  </si>
  <si>
    <t>WBL-DEV-INVT-ASTARA-009</t>
  </si>
  <si>
    <t>WBL-DEV-INVT-ASTARA-009/000001</t>
  </si>
  <si>
    <t>Trans Borneo Logsitik PO 018 (Container 20 ft Jkt-Bpn) Info by Pak gumi DP sudah dibayar PT.WBL</t>
  </si>
  <si>
    <t>UD.Data com PO 020 (5 pcs Laser pointer)</t>
  </si>
  <si>
    <t>WBL-DEV-INVT-ASTARA-010</t>
  </si>
  <si>
    <t>WBL-DEV-INVT-ASTARA-010/000001</t>
  </si>
  <si>
    <t>PT.Dwinada PO 002 (Pelunasan 380 pcs Cover chair lotto)</t>
  </si>
  <si>
    <t>Cover Chair Hotel Astara</t>
  </si>
  <si>
    <t>Cover Chair Hotel Astara/000001</t>
  </si>
  <si>
    <t>PT.Wiratama Raya PO 007 (Pelunasan Food warmer,Gastronom pan rack,mesin panggang sosis,coffee maker,warmer for decanter)</t>
  </si>
  <si>
    <t>WBL-DEV-INVT-ASTARA-011</t>
  </si>
  <si>
    <t>WBL-DEV-INVT-ASTARA-011/000001</t>
  </si>
  <si>
    <t>Sarana Lestari PO 001 (Pelunasan Banquet equipment meeting room)</t>
  </si>
  <si>
    <t>Elsiscom PO 004 (Pelunasan 1 unit BenQ Projector)</t>
  </si>
  <si>
    <t>WBL-DEV-INVT-ASTARA-012</t>
  </si>
  <si>
    <t>WBL-DEV-INVT-ASTARA-012/000001</t>
  </si>
  <si>
    <t>PT.Sarana Interindo PO 011 (Pelunasan sofa dan meja lobby meeting room)</t>
  </si>
  <si>
    <t>Sofa Dan Meja Astara Hotel</t>
  </si>
  <si>
    <t>Sofa Dan Meja Astara Hotel/000001</t>
  </si>
  <si>
    <t xml:space="preserve">Pembayaran Hot Food Wanner </t>
  </si>
  <si>
    <t>WBL-DEV-INVT-ASTARA-013</t>
  </si>
  <si>
    <t>WBL-DEV-INVT-ASTARA-013/000001</t>
  </si>
  <si>
    <t>Pt.Personalize-Pembayaran RFID Lok,Lift Tower C</t>
  </si>
  <si>
    <t>RIFD Lock Lift Astara Hotel</t>
  </si>
  <si>
    <t>RIFD Lock Lift Astara Hotel/000001</t>
  </si>
  <si>
    <t>Lift Hotel Astara</t>
  </si>
  <si>
    <t xml:space="preserve"> pembelian Komputer dan Server Astara Pentapolis PO:0136/WBL/PRJCT-PENTAPOLIS/PO/V/17</t>
  </si>
  <si>
    <t>WBL-DEV-INVT-ASTARA-014</t>
  </si>
  <si>
    <t>WBL-DEV-INVT-ASTARA-014/000001</t>
  </si>
  <si>
    <t>Pembelian PC HP 24-F0052L AIO dan Printer HP LaserJet 1 Unit untuk Computer Tower C Pentapolis PO:126/WBL/PENTAPOLIS/PO/XI/18</t>
  </si>
  <si>
    <t>Komputer dan Printer Lobby Astara</t>
  </si>
  <si>
    <t>Komputer dan Printer Lobby Astara/000001</t>
  </si>
  <si>
    <t>Pembelian Kompiter Asus Core i5 win 10, PC HP Core i3 dan printer untuk Tower E Pentapolis PO:024/WBL/PENTAPOLIS/PO/II/18 (CC Ibu Yuli)</t>
  </si>
  <si>
    <t>WBL-DEV-INVT-ASTARA-015</t>
  </si>
  <si>
    <t>WBL-DEV-INVT-ASTARA-015/000001</t>
  </si>
  <si>
    <t>Pengadaan Sofware Komputer untuk Astara Pentapolis PO:0155/WBL/PRJCT-PENTAPOLIS/PO/V/2017</t>
  </si>
  <si>
    <t>Software Komputer Hotel Astara</t>
  </si>
  <si>
    <t>Software Komputer Hotel Astara/000001</t>
  </si>
  <si>
    <t>Pembelian Komputer PC Core i3 Memory 4GB, Hardisk 1TB dan Perlengkapannya sebanyak 3ea untuk Pentapolis Tower E PO:075/WBL/PENTAPOLIS/PO/VIII/18</t>
  </si>
  <si>
    <t>WBL-DEV-INVT-ASTARA-016</t>
  </si>
  <si>
    <t>WBL-DEV-INVT-ASTARA-016/000001</t>
  </si>
  <si>
    <t>Pembelian Server HP Proliant DL 380G9-682 (600 GB SAS X2) 1 Unit untuk Astara Pentapolis PO:0149/WBL/PRJCT-PENTAPOLIS/PO/V/17</t>
  </si>
  <si>
    <t xml:space="preserve">HP Proliant untuk Server </t>
  </si>
  <si>
    <t>HP Proliant untuk Server /000001</t>
  </si>
  <si>
    <t xml:space="preserve">Pembelian Server HP Proliant DL 380G9-682 (300 GB SAS X2) 1 Unit untuk Astara Pentapolis PO:0149/WBL/PRJCT-PENTAPOLIS/PO/V/17
</t>
  </si>
  <si>
    <t>WBL-DEV-INVT-ASTARA-017</t>
  </si>
  <si>
    <t>WBL-DEV-INVT-ASTARA-017/000001</t>
  </si>
  <si>
    <t>Pembelian Mic WirelessVXT Pro 6set untuk Meeteng Room Astara PO:034/WBL/MEETINGROOM/PO/VII/18</t>
  </si>
  <si>
    <t>Mic Wireless Hotel Astara</t>
  </si>
  <si>
    <t>Mic Wireless Hotel Astara/000001</t>
  </si>
  <si>
    <t>(Ta Bali)pengadaan Table Top (Piring, Mangkok, Sendok, Garpu, Pisau, Gelas dll) untuk Resto Tower C Pentapolis PO:0092/WBL/PRJCT-</t>
  </si>
  <si>
    <t>WBL-DEV-INVT-ASTARA-018</t>
  </si>
  <si>
    <t>WBL-DEV-INVT-ASTARA-018/000001</t>
  </si>
  <si>
    <t xml:space="preserve">(Royal Sultan Agung ) Pembelian Equipment Kitchen Lt.6 Restoran Tower C Pentapolis - </t>
  </si>
  <si>
    <t>Kitchen Set Astara Hotel</t>
  </si>
  <si>
    <t>Kitchen Set Astara Hotel/000001</t>
  </si>
  <si>
    <t>(Sarana Interindo Maju PT) Pengadaan Interior Restoran Tower C Lt. 7 Pentapolis PO:0021/WBL/PRJCT-PENTAPOLIS/PO/I/2017
(DPP)</t>
  </si>
  <si>
    <t>WBL-DEV-INVT-ASTARA-019</t>
  </si>
  <si>
    <t>WBL-DEV-INVT-ASTARA-019/000001</t>
  </si>
  <si>
    <t xml:space="preserve"> Trafo </t>
  </si>
  <si>
    <t xml:space="preserve"> Panel Tegangan Menengan MVMDB</t>
  </si>
  <si>
    <t>WBL-DEV-EGN-INV-07-002</t>
  </si>
  <si>
    <t>WBL-DEV-EGN-INV-07-002/000001</t>
  </si>
  <si>
    <t xml:space="preserve"> Panel Tegangan Menengan MVMDB  (PT for Metering)</t>
  </si>
  <si>
    <t>WBL-DEV-EGN-INV-07-003</t>
  </si>
  <si>
    <t>WBL-DEV-EGN-INV-07-003/000001</t>
  </si>
  <si>
    <t xml:space="preserve"> Panel Tegangan Menengan MVMDB (Incoming LBS)</t>
  </si>
  <si>
    <t>WBL-DEV-EGN-INV-07-004</t>
  </si>
  <si>
    <t>WBL-DEV-EGN-INV-07-004/000001</t>
  </si>
  <si>
    <t xml:space="preserve"> Panel PKG</t>
  </si>
  <si>
    <t>WBL-DEV-EGN-INV-07-005</t>
  </si>
  <si>
    <t>WBL-DEV-EGN-INV-07-005/000001</t>
  </si>
  <si>
    <t xml:space="preserve"> Panel LVMDP</t>
  </si>
  <si>
    <t>WBL-DEV-EGN-INV-07-006</t>
  </si>
  <si>
    <t>WBL-DEV-EGN-INV-07-006/000001</t>
  </si>
  <si>
    <t xml:space="preserve"> Panel MDP</t>
  </si>
  <si>
    <t>WBL-DEV-EGN-INV-07-007</t>
  </si>
  <si>
    <t>WBL-DEV-EGN-INV-07-007/000001</t>
  </si>
  <si>
    <t xml:space="preserve"> Panel DPRK</t>
  </si>
  <si>
    <t>WBL-DEV-EGN-INV-07-008</t>
  </si>
  <si>
    <t>WBL-DEV-EGN-INV-07-008/000001</t>
  </si>
  <si>
    <t xml:space="preserve"> AC Split</t>
  </si>
  <si>
    <t>WBL-DEV-EGN-INV-07-009</t>
  </si>
  <si>
    <t>WBL-DEV-EGN-INV-07-009/000001</t>
  </si>
  <si>
    <t xml:space="preserve"> Tangki Bahan Bakar Solar Kap. 10 Ton</t>
  </si>
  <si>
    <t>WBL-DEV-EGN-INV-07-010</t>
  </si>
  <si>
    <t>WBL-DEV-EGN-INV-07-010/000001</t>
  </si>
  <si>
    <t xml:space="preserve">Apt </t>
  </si>
  <si>
    <t>UPS 12000</t>
  </si>
  <si>
    <t>PK/Dev-023</t>
  </si>
  <si>
    <t>PK/Dev-023/000001</t>
  </si>
  <si>
    <t>TV, meja mkn utk apt Thomas</t>
  </si>
  <si>
    <t>PK/Dev-024</t>
  </si>
  <si>
    <t>PK/Dev-024/000001</t>
  </si>
  <si>
    <t>Pembelian AC mess</t>
  </si>
  <si>
    <t>PK/Dev-026</t>
  </si>
  <si>
    <t>PK/Dev-026/000001</t>
  </si>
  <si>
    <t xml:space="preserve">1 Unit Ketam Box </t>
  </si>
  <si>
    <t>PK/Dev-029</t>
  </si>
  <si>
    <t>PK/Dev-029/000001</t>
  </si>
  <si>
    <t>P6 Project</t>
  </si>
  <si>
    <t>Pembelian 3 Unti HT Untuk Project Dept</t>
  </si>
  <si>
    <t>PK/Dev-031</t>
  </si>
  <si>
    <t>PK/Dev-031/000001</t>
  </si>
  <si>
    <t>PK/Dev-031/000002</t>
  </si>
  <si>
    <t>PK/Dev-031/000003</t>
  </si>
  <si>
    <t>5 Unit Gas Modena @ Pam Tower</t>
  </si>
  <si>
    <t>PK/Dev-032</t>
  </si>
  <si>
    <t>PK/Dev-032/000001</t>
  </si>
  <si>
    <t>PK/Dev-032/000002</t>
  </si>
  <si>
    <t>PK/Dev-032/000003</t>
  </si>
  <si>
    <t>PK/Dev-032/000004</t>
  </si>
  <si>
    <t>PK/Dev-032/000005</t>
  </si>
  <si>
    <t>1 Unit Kamera Fuji Film SL310</t>
  </si>
  <si>
    <t>PK/Dev-033</t>
  </si>
  <si>
    <t>PK/Dev-033/000001</t>
  </si>
  <si>
    <t>5 Unit Handrail Gold Rope KW1800553</t>
  </si>
  <si>
    <t>PK/Dev-034</t>
  </si>
  <si>
    <t>PK/Dev-034/000001</t>
  </si>
  <si>
    <t>PAM Tower GF</t>
  </si>
  <si>
    <t>PK/Dev-034/000002</t>
  </si>
  <si>
    <t>PK/Dev-034/000003</t>
  </si>
  <si>
    <t>PK/Dev-034/000004</t>
  </si>
  <si>
    <t>PK/Dev-034/000005</t>
  </si>
  <si>
    <t xml:space="preserve">3 Unit Dus Bin Round W/Ashtray 85L </t>
  </si>
  <si>
    <t>PK/Dev-035</t>
  </si>
  <si>
    <t>PK/Dev-035/000001</t>
  </si>
  <si>
    <t>PK/Dev-035/000002</t>
  </si>
  <si>
    <t>PK/Dev-035/000003</t>
  </si>
  <si>
    <t>1 Unit peralatan Project</t>
  </si>
  <si>
    <t>PK/Dev-040</t>
  </si>
  <si>
    <t>PK/Dev-040/000001</t>
  </si>
  <si>
    <t>1 Unit Kitchen Zink Apt Pak Daniel</t>
  </si>
  <si>
    <t>PK/Dev-042</t>
  </si>
  <si>
    <t>PK/Dev-042/000001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</si>
</sst>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 #,##0_-;_-* &quot;-&quot;_-;_-@_-"/>
    <numFmt numFmtId="43" formatCode="_-* #,##0.00_-;\-* #,##0.00_-;_-* &quot;-&quot;??_-;_-@_-"/>
    <numFmt numFmtId="164" formatCode="_([$Rp-421]* #,##0_);_([$Rp-421]* \(#,##0\);_([$Rp-421]* &quot;-&quot;_);_(@_)"/>
    <numFmt numFmtId="165" formatCode="_(* #,##0_);_(* \(#,##0\);_(* &quot;-&quot;_);_(@_)"/>
    <numFmt numFmtId="166" formatCode="_(* #,##0.00_);_(* \(#,##0.00\);_(* &quot;-&quot;_);_(@_)"/>
    <numFmt numFmtId="167" formatCode="yyyy\-mm\-dd;@"/>
    <numFmt numFmtId="168" formatCode="_(* #,##0.00_);_(* \(#,##0.00\);_(* &quot;-&quot;??_);_(@_)"/>
    <numFmt numFmtId="169" formatCode="yyyy\-mm\-dd"/>
    <numFmt numFmtId="170" formatCode="_-* #,##0.00_-;\-* #,##0.00_-;_-* \-??_-;_-@_-"/>
    <numFmt numFmtId="171" formatCode="[$-409]mmmm\ d\,\ yyyy;@"/>
    <numFmt numFmtId="172" formatCode="[$-409]d\-mmm\-yy;@"/>
  </numFmts>
  <fonts count="50"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
      <scheme val="minor"/>
    </font>
    <font>
      <b/>
      <sz val="9"/>
      <color theme="1"/>
      <name val="Calibri"/>
      <family val="2"/>
      <scheme val="minor"/>
    </font>
    <font>
      <sz val="9"/>
      <color theme="1"/>
      <name val="Calibri"/>
      <family val="2"/>
      <scheme val="minor"/>
    </font>
    <font>
      <sz val="8"/>
      <color theme="1"/>
      <name val="Calibri"/>
      <family val="2"/>
      <charset val="1"/>
      <scheme val="minor"/>
    </font>
    <font>
      <sz val="8"/>
      <color rgb="FF000000"/>
      <name val="Arial"/>
      <family val="2"/>
    </font>
    <font>
      <b/>
      <sz val="8"/>
      <color rgb="FF000000"/>
      <name val="Arial"/>
      <family val="2"/>
    </font>
    <font>
      <b/>
      <sz val="9"/>
      <color theme="1"/>
      <name val="Arial Narrow"/>
      <family val="2"/>
    </font>
    <font>
      <b/>
      <sz val="10"/>
      <color theme="1"/>
      <name val="Arial Narrow"/>
      <family val="2"/>
    </font>
    <font>
      <sz val="9"/>
      <color theme="1"/>
      <name val="Arial Narrow"/>
      <family val="2"/>
    </font>
    <font>
      <sz val="11"/>
      <color theme="1"/>
      <name val="Arial Narrow"/>
      <family val="2"/>
    </font>
    <font>
      <sz val="12"/>
      <color rgb="FF000000"/>
      <name val="Arial Narrow"/>
      <family val="2"/>
    </font>
    <font>
      <sz val="10"/>
      <name val="Arial"/>
      <family val="2"/>
    </font>
    <font>
      <sz val="10"/>
      <color theme="1"/>
      <name val="Arial Narrow"/>
      <family val="2"/>
    </font>
    <font>
      <sz val="9"/>
      <name val="Arial Narrow"/>
      <family val="2"/>
    </font>
    <font>
      <sz val="8"/>
      <color rgb="FF000000"/>
      <name val="Arial Narrow"/>
      <family val="2"/>
    </font>
    <font>
      <sz val="8"/>
      <name val="Arial Narrow"/>
      <family val="2"/>
    </font>
    <font>
      <sz val="9"/>
      <color rgb="FF000000"/>
      <name val="Arial Narrow"/>
      <family val="2"/>
    </font>
    <font>
      <sz val="10"/>
      <name val="Arial Narrow"/>
      <family val="2"/>
    </font>
    <font>
      <sz val="10"/>
      <color rgb="FF000000"/>
      <name val="Arial Narrow"/>
      <family val="2"/>
    </font>
    <font>
      <b/>
      <sz val="8"/>
      <color theme="1"/>
      <name val="Arial Narrow"/>
      <family val="2"/>
    </font>
    <font>
      <b/>
      <sz val="9"/>
      <color theme="1"/>
      <name val="Palace Script MT"/>
      <family val="4"/>
    </font>
    <font>
      <u/>
      <sz val="11"/>
      <color theme="10"/>
      <name val="Calibri"/>
      <family val="2"/>
      <charset val="1"/>
      <scheme val="minor"/>
    </font>
    <font>
      <sz val="8"/>
      <color theme="1"/>
      <name val="Arial Narrow"/>
      <family val="2"/>
    </font>
    <font>
      <sz val="10"/>
      <color theme="1"/>
      <name val="Calibri"/>
      <family val="2"/>
      <scheme val="minor"/>
    </font>
    <font>
      <sz val="8"/>
      <color theme="1"/>
      <name val="Calibri"/>
      <family val="2"/>
      <scheme val="minor"/>
    </font>
    <font>
      <sz val="8"/>
      <color rgb="FFFF0000"/>
      <name val="Arial"/>
      <family val="2"/>
    </font>
    <font>
      <b/>
      <sz val="11"/>
      <color rgb="FF000000"/>
      <name val="Tahoma"/>
      <family val="2"/>
    </font>
    <font>
      <b/>
      <sz val="16"/>
      <color rgb="FF800000"/>
      <name val="Arial"/>
      <family val="2"/>
    </font>
    <font>
      <sz val="8"/>
      <color rgb="FF000000"/>
      <name val="Tahoma"/>
      <family val="2"/>
    </font>
    <font>
      <b/>
      <sz val="10"/>
      <color rgb="FF000000"/>
      <name val="Tahoma"/>
      <family val="2"/>
    </font>
    <font>
      <b/>
      <sz val="9"/>
      <color rgb="FF000080"/>
      <name val="Arial"/>
      <family val="2"/>
    </font>
    <font>
      <b/>
      <sz val="9"/>
      <color rgb="FFFF0000"/>
      <name val="Arial"/>
      <family val="2"/>
    </font>
    <font>
      <b/>
      <sz val="9"/>
      <color rgb="FF000000"/>
      <name val="Arial"/>
      <family val="2"/>
    </font>
    <font>
      <b/>
      <sz val="8"/>
      <color rgb="FF000080"/>
      <name val="Arial"/>
      <family val="2"/>
    </font>
    <font>
      <sz val="11"/>
      <color rgb="FF000000"/>
      <name val="Calibri"/>
      <charset val="1"/>
    </font>
    <font>
      <b/>
      <sz val="12"/>
      <color rgb="FF000000"/>
      <name val="Arial"/>
      <family val="2"/>
    </font>
    <font>
      <sz val="11"/>
      <color rgb="FF000000"/>
      <name val="Calibri"/>
      <family val="2"/>
    </font>
    <font>
      <b/>
      <sz val="16"/>
      <color rgb="FF000000"/>
      <name val="Calibri"/>
      <family val="2"/>
    </font>
    <font>
      <sz val="12"/>
      <color rgb="FF000000"/>
      <name val="Arial"/>
      <family val="2"/>
    </font>
    <font>
      <u/>
      <sz val="12"/>
      <color theme="10"/>
      <name val="Arial"/>
      <family val="2"/>
    </font>
    <font>
      <sz val="12"/>
      <name val="Arial"/>
      <family val="2"/>
    </font>
    <font>
      <sz val="12"/>
      <color theme="1"/>
      <name val="Arial"/>
      <family val="2"/>
    </font>
    <font>
      <sz val="16"/>
      <color rgb="FF000000"/>
      <name val="Calibri"/>
      <family val="2"/>
    </font>
  </fonts>
  <fills count="8">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E7E6E6"/>
        <bgColor rgb="FFFFFFFF"/>
      </patternFill>
    </fill>
  </fills>
  <borders count="2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indexed="64"/>
      </bottom>
      <diagonal/>
    </border>
  </borders>
  <cellStyleXfs count="96">
    <xf numFmtId="0" fontId="0" fillId="0" borderId="0"/>
    <xf numFmtId="165" fontId="7" fillId="0" borderId="0" applyFont="0" applyFill="0" applyBorder="0" applyAlignment="0" applyProtection="0"/>
    <xf numFmtId="4" fontId="11" fillId="0" borderId="0">
      <alignment horizontal="left" vertical="top"/>
    </xf>
    <xf numFmtId="4" fontId="11" fillId="0" borderId="0">
      <alignment horizontal="right" vertical="top"/>
    </xf>
    <xf numFmtId="0" fontId="5" fillId="0" borderId="0"/>
    <xf numFmtId="0" fontId="18" fillId="0" borderId="0"/>
    <xf numFmtId="168" fontId="5" fillId="0" borderId="0" applyFont="0" applyFill="0" applyBorder="0" applyAlignment="0" applyProtection="0"/>
    <xf numFmtId="0" fontId="28" fillId="0" borderId="0" applyNumberFormat="0" applyFill="0" applyBorder="0" applyAlignment="0" applyProtection="0"/>
    <xf numFmtId="0" fontId="4" fillId="0" borderId="0"/>
    <xf numFmtId="168" fontId="4" fillId="0" borderId="0" applyFont="0" applyFill="0" applyBorder="0" applyAlignment="0" applyProtection="0"/>
    <xf numFmtId="41" fontId="7" fillId="0" borderId="0" applyFont="0" applyFill="0" applyBorder="0" applyAlignment="0" applyProtection="0"/>
    <xf numFmtId="0" fontId="2" fillId="0" borderId="0"/>
    <xf numFmtId="41" fontId="2" fillId="0" borderId="0" applyFont="0" applyFill="0" applyBorder="0" applyAlignment="0" applyProtection="0"/>
    <xf numFmtId="4" fontId="32" fillId="0" borderId="0">
      <alignment horizontal="left" vertical="top"/>
    </xf>
    <xf numFmtId="41" fontId="7" fillId="0" borderId="0" applyFont="0" applyFill="0" applyBorder="0" applyAlignment="0" applyProtection="0"/>
    <xf numFmtId="41" fontId="2"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2" fillId="0" borderId="0"/>
    <xf numFmtId="4" fontId="33" fillId="0" borderId="0">
      <alignment horizontal="center" vertical="top"/>
    </xf>
    <xf numFmtId="4" fontId="34" fillId="0" borderId="0">
      <alignment horizontal="center" vertical="top"/>
    </xf>
    <xf numFmtId="4" fontId="35" fillId="0" borderId="0">
      <alignment horizontal="left" vertical="top"/>
    </xf>
    <xf numFmtId="4" fontId="35" fillId="0" borderId="0">
      <alignment horizontal="left" vertical="top"/>
    </xf>
    <xf numFmtId="4" fontId="35" fillId="0" borderId="0">
      <alignment horizontal="right" vertical="top"/>
    </xf>
    <xf numFmtId="4" fontId="35" fillId="0" borderId="0">
      <alignment horizontal="right" vertical="top"/>
    </xf>
    <xf numFmtId="4" fontId="36" fillId="0" borderId="0">
      <alignment horizontal="center" vertical="top"/>
    </xf>
    <xf numFmtId="4" fontId="37" fillId="0" borderId="0">
      <alignment horizontal="center" vertical="top"/>
    </xf>
    <xf numFmtId="4" fontId="38" fillId="0" borderId="0">
      <alignment horizontal="center" vertical="top"/>
    </xf>
    <xf numFmtId="4" fontId="39" fillId="0" borderId="0">
      <alignment horizontal="center" vertical="top"/>
    </xf>
    <xf numFmtId="4" fontId="39" fillId="0" borderId="0">
      <alignment horizontal="center" vertical="top"/>
    </xf>
    <xf numFmtId="4" fontId="37" fillId="0" borderId="0">
      <alignment horizontal="center" vertical="top"/>
    </xf>
    <xf numFmtId="4" fontId="11" fillId="0" borderId="0">
      <alignment horizontal="left" vertical="top"/>
    </xf>
    <xf numFmtId="4" fontId="40" fillId="0" borderId="0">
      <alignment horizontal="right" vertical="top"/>
    </xf>
    <xf numFmtId="4" fontId="32" fillId="0" borderId="0">
      <alignment horizontal="left" vertical="top"/>
    </xf>
    <xf numFmtId="4" fontId="35" fillId="0" borderId="0">
      <alignment horizontal="center" vertical="top"/>
    </xf>
    <xf numFmtId="4" fontId="32" fillId="0" borderId="0">
      <alignment horizontal="left" vertical="top"/>
    </xf>
    <xf numFmtId="4" fontId="40" fillId="0" borderId="0">
      <alignment horizontal="right" vertical="top"/>
    </xf>
    <xf numFmtId="4" fontId="40" fillId="0" borderId="0">
      <alignment horizontal="right" vertical="top"/>
    </xf>
    <xf numFmtId="4" fontId="35" fillId="0" borderId="0">
      <alignment horizontal="left" vertical="top"/>
    </xf>
    <xf numFmtId="4" fontId="40" fillId="0" borderId="0">
      <alignment horizontal="right" vertical="top"/>
    </xf>
    <xf numFmtId="4" fontId="35" fillId="0" borderId="0">
      <alignment horizontal="center" vertical="top"/>
    </xf>
    <xf numFmtId="4" fontId="35" fillId="0" borderId="0">
      <alignment horizontal="center" vertical="top"/>
    </xf>
    <xf numFmtId="4" fontId="35" fillId="0" borderId="0">
      <alignment horizontal="right" vertical="top"/>
    </xf>
    <xf numFmtId="4" fontId="35" fillId="0" borderId="0">
      <alignment horizontal="center" vertical="top"/>
    </xf>
    <xf numFmtId="4" fontId="35" fillId="0" borderId="0">
      <alignment horizontal="left" vertical="top"/>
    </xf>
    <xf numFmtId="0" fontId="2" fillId="0" borderId="0"/>
    <xf numFmtId="4" fontId="12" fillId="0" borderId="0">
      <alignment horizontal="left" vertical="top"/>
    </xf>
    <xf numFmtId="4" fontId="12" fillId="0" borderId="0">
      <alignment horizontal="right" vertical="top"/>
    </xf>
    <xf numFmtId="4" fontId="11" fillId="0" borderId="0">
      <alignment horizontal="left" vertical="top"/>
    </xf>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4" fontId="11" fillId="0" borderId="0">
      <alignment horizontal="right" vertical="top"/>
    </xf>
    <xf numFmtId="0" fontId="7" fillId="0" borderId="0"/>
    <xf numFmtId="41" fontId="7" fillId="0" borderId="0" applyFont="0" applyFill="0" applyBorder="0" applyAlignment="0" applyProtection="0"/>
    <xf numFmtId="0" fontId="2" fillId="0" borderId="0"/>
    <xf numFmtId="41" fontId="2" fillId="0" borderId="0" applyFont="0" applyFill="0" applyBorder="0" applyAlignment="0" applyProtection="0"/>
    <xf numFmtId="41" fontId="2" fillId="0" borderId="0" applyFont="0" applyFill="0" applyBorder="0" applyAlignment="0" applyProtection="0"/>
    <xf numFmtId="0" fontId="2" fillId="0" borderId="0"/>
    <xf numFmtId="4" fontId="35" fillId="0" borderId="0">
      <alignment horizontal="left" vertical="top"/>
    </xf>
    <xf numFmtId="4" fontId="39" fillId="0" borderId="0">
      <alignment horizontal="center" vertical="top"/>
    </xf>
    <xf numFmtId="4" fontId="11" fillId="0" borderId="0">
      <alignment horizontal="left" vertical="top"/>
    </xf>
    <xf numFmtId="4" fontId="32" fillId="0" borderId="0">
      <alignment horizontal="left" vertical="top"/>
    </xf>
    <xf numFmtId="4" fontId="40" fillId="0" borderId="0">
      <alignment horizontal="right" vertical="top"/>
    </xf>
    <xf numFmtId="4" fontId="35" fillId="0" borderId="0">
      <alignment horizontal="center"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3" fontId="2" fillId="0" borderId="0" applyFont="0" applyFill="0" applyBorder="0" applyAlignment="0" applyProtection="0"/>
    <xf numFmtId="0" fontId="2" fillId="0" borderId="0"/>
    <xf numFmtId="41" fontId="2" fillId="0" borderId="0" applyFont="0" applyFill="0" applyBorder="0" applyAlignment="0" applyProtection="0"/>
    <xf numFmtId="0" fontId="2" fillId="0" borderId="0"/>
    <xf numFmtId="0" fontId="2" fillId="0" borderId="0"/>
    <xf numFmtId="41" fontId="2" fillId="0" borderId="0" applyFont="0" applyFill="0" applyBorder="0" applyAlignment="0" applyProtection="0"/>
    <xf numFmtId="0" fontId="2" fillId="0" borderId="0"/>
    <xf numFmtId="0" fontId="41" fillId="0" borderId="0"/>
    <xf numFmtId="170" fontId="43" fillId="0" borderId="0" applyBorder="0" applyProtection="0"/>
    <xf numFmtId="0" fontId="1" fillId="0" borderId="0"/>
    <xf numFmtId="4" fontId="11" fillId="0" borderId="0">
      <alignment horizontal="left" vertical="top"/>
    </xf>
  </cellStyleXfs>
  <cellXfs count="243">
    <xf numFmtId="0" fontId="0" fillId="0" borderId="0" xfId="0"/>
    <xf numFmtId="0" fontId="9" fillId="2"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wrapText="1"/>
    </xf>
    <xf numFmtId="0" fontId="10" fillId="0" borderId="2" xfId="0" applyFont="1" applyBorder="1" applyAlignment="1">
      <alignment horizontal="center" wrapText="1"/>
    </xf>
    <xf numFmtId="164" fontId="10" fillId="0" borderId="2" xfId="0" applyNumberFormat="1" applyFont="1" applyBorder="1" applyAlignment="1">
      <alignment wrapText="1"/>
    </xf>
    <xf numFmtId="0" fontId="0" fillId="0" borderId="2" xfId="0" applyBorder="1" applyAlignment="1">
      <alignment horizontal="center"/>
    </xf>
    <xf numFmtId="0" fontId="0" fillId="0" borderId="2" xfId="0" applyBorder="1"/>
    <xf numFmtId="4" fontId="11" fillId="0" borderId="2" xfId="2" quotePrefix="1" applyBorder="1" applyAlignment="1">
      <alignment horizontal="left" wrapText="1"/>
    </xf>
    <xf numFmtId="166" fontId="11" fillId="0" borderId="2" xfId="1" applyNumberFormat="1" applyFont="1" applyBorder="1" applyAlignment="1">
      <alignment horizontal="right" wrapText="1"/>
    </xf>
    <xf numFmtId="1" fontId="11" fillId="0" borderId="2" xfId="3" applyNumberFormat="1" applyBorder="1" applyAlignment="1">
      <alignment horizontal="center" wrapText="1"/>
    </xf>
    <xf numFmtId="0" fontId="0" fillId="0" borderId="2" xfId="0" applyBorder="1" applyAlignment="1"/>
    <xf numFmtId="0" fontId="0" fillId="0" borderId="0" xfId="0" applyAlignment="1">
      <alignment wrapText="1"/>
    </xf>
    <xf numFmtId="0" fontId="10" fillId="0" borderId="2" xfId="0" applyFont="1" applyBorder="1" applyAlignment="1">
      <alignment wrapText="1"/>
    </xf>
    <xf numFmtId="4" fontId="11" fillId="0" borderId="2" xfId="2" quotePrefix="1" applyBorder="1" applyAlignment="1">
      <alignment horizontal="left" vertical="top" wrapText="1"/>
    </xf>
    <xf numFmtId="166" fontId="11" fillId="0" borderId="2" xfId="1" applyNumberFormat="1" applyFont="1" applyBorder="1" applyAlignment="1">
      <alignment horizontal="right" vertical="top" wrapText="1"/>
    </xf>
    <xf numFmtId="1" fontId="11" fillId="0" borderId="2" xfId="3" applyNumberFormat="1"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0" xfId="0" applyBorder="1" applyAlignment="1">
      <alignment horizontal="center" vertical="center"/>
    </xf>
    <xf numFmtId="0" fontId="0" fillId="0" borderId="0" xfId="0" applyBorder="1" applyAlignment="1">
      <alignment wrapText="1"/>
    </xf>
    <xf numFmtId="0" fontId="10" fillId="0" borderId="0" xfId="0" applyFont="1" applyBorder="1" applyAlignment="1">
      <alignment horizontal="center" wrapText="1"/>
    </xf>
    <xf numFmtId="164" fontId="10" fillId="0" borderId="0" xfId="0" applyNumberFormat="1" applyFont="1" applyBorder="1" applyAlignment="1">
      <alignment wrapText="1"/>
    </xf>
    <xf numFmtId="0" fontId="0" fillId="0" borderId="0" xfId="0" applyBorder="1" applyAlignment="1">
      <alignment horizontal="center"/>
    </xf>
    <xf numFmtId="0" fontId="0" fillId="0" borderId="0" xfId="0" applyBorder="1"/>
    <xf numFmtId="0" fontId="0" fillId="3" borderId="0" xfId="0" applyFill="1" applyBorder="1" applyAlignment="1">
      <alignment horizontal="center" vertical="center"/>
    </xf>
    <xf numFmtId="0" fontId="0" fillId="3" borderId="0" xfId="0" applyFill="1" applyBorder="1" applyAlignment="1">
      <alignment wrapText="1"/>
    </xf>
    <xf numFmtId="0" fontId="10" fillId="3" borderId="0" xfId="0" applyFont="1" applyFill="1" applyBorder="1" applyAlignment="1">
      <alignment horizontal="center" wrapText="1"/>
    </xf>
    <xf numFmtId="164" fontId="10" fillId="3" borderId="0" xfId="0" applyNumberFormat="1" applyFont="1" applyFill="1" applyBorder="1" applyAlignment="1">
      <alignment wrapText="1"/>
    </xf>
    <xf numFmtId="0" fontId="0" fillId="3" borderId="0" xfId="0" applyFill="1" applyBorder="1" applyAlignment="1">
      <alignment horizontal="center"/>
    </xf>
    <xf numFmtId="0" fontId="0" fillId="3" borderId="0" xfId="0" applyFill="1" applyBorder="1"/>
    <xf numFmtId="0" fontId="0" fillId="0" borderId="6" xfId="0" applyBorder="1" applyAlignment="1">
      <alignment horizontal="center" vertical="center"/>
    </xf>
    <xf numFmtId="0" fontId="6" fillId="0" borderId="7" xfId="0" applyFont="1" applyFill="1" applyBorder="1" applyAlignment="1">
      <alignment wrapText="1"/>
    </xf>
    <xf numFmtId="0" fontId="6" fillId="0" borderId="7" xfId="0" applyFont="1" applyBorder="1"/>
    <xf numFmtId="0" fontId="0" fillId="0" borderId="7" xfId="0" applyBorder="1"/>
    <xf numFmtId="0" fontId="10" fillId="0" borderId="7" xfId="0" applyFont="1" applyBorder="1" applyAlignment="1">
      <alignment horizontal="center"/>
    </xf>
    <xf numFmtId="0" fontId="10" fillId="0" borderId="7" xfId="0" applyFont="1" applyBorder="1"/>
    <xf numFmtId="0" fontId="6" fillId="0" borderId="7" xfId="0" applyFont="1" applyBorder="1" applyAlignment="1">
      <alignment horizontal="center"/>
    </xf>
    <xf numFmtId="0" fontId="0" fillId="0" borderId="7" xfId="0" applyBorder="1" applyAlignment="1">
      <alignment wrapText="1"/>
    </xf>
    <xf numFmtId="0" fontId="6" fillId="0" borderId="7" xfId="0" applyFont="1" applyBorder="1" applyAlignment="1">
      <alignment wrapText="1"/>
    </xf>
    <xf numFmtId="0" fontId="0" fillId="0" borderId="8" xfId="0" applyBorder="1" applyAlignment="1">
      <alignment wrapText="1"/>
    </xf>
    <xf numFmtId="0" fontId="0" fillId="0" borderId="9" xfId="0" applyBorder="1" applyAlignment="1">
      <alignment horizontal="center" vertical="center"/>
    </xf>
    <xf numFmtId="0" fontId="10" fillId="0" borderId="0" xfId="0" applyFont="1" applyBorder="1" applyAlignment="1">
      <alignment horizontal="center"/>
    </xf>
    <xf numFmtId="0" fontId="10" fillId="0" borderId="0" xfId="0" applyFont="1" applyBorder="1"/>
    <xf numFmtId="0" fontId="6" fillId="0" borderId="0" xfId="0" applyFont="1" applyBorder="1" applyAlignment="1">
      <alignment wrapText="1"/>
    </xf>
    <xf numFmtId="0" fontId="0" fillId="0" borderId="10" xfId="0" applyBorder="1" applyAlignment="1">
      <alignment wrapText="1"/>
    </xf>
    <xf numFmtId="0" fontId="0" fillId="0" borderId="11" xfId="0" applyBorder="1" applyAlignment="1">
      <alignment horizontal="center" vertical="center"/>
    </xf>
    <xf numFmtId="0" fontId="0" fillId="0" borderId="12" xfId="0" applyBorder="1"/>
    <xf numFmtId="0" fontId="10" fillId="0" borderId="12" xfId="0" applyFont="1" applyBorder="1" applyAlignment="1">
      <alignment horizontal="center"/>
    </xf>
    <xf numFmtId="0" fontId="10" fillId="0" borderId="12" xfId="0" applyFont="1" applyBorder="1"/>
    <xf numFmtId="0" fontId="0" fillId="0" borderId="12" xfId="0" applyBorder="1" applyAlignment="1">
      <alignment horizontal="center"/>
    </xf>
    <xf numFmtId="0" fontId="0" fillId="0" borderId="12" xfId="0" applyBorder="1" applyAlignment="1">
      <alignment wrapText="1"/>
    </xf>
    <xf numFmtId="0" fontId="6" fillId="0" borderId="12" xfId="0" applyFont="1" applyBorder="1" applyAlignment="1">
      <alignment wrapText="1"/>
    </xf>
    <xf numFmtId="0" fontId="0" fillId="0" borderId="13" xfId="0" applyBorder="1" applyAlignment="1">
      <alignment wrapText="1"/>
    </xf>
    <xf numFmtId="0" fontId="0" fillId="0" borderId="0" xfId="0" applyAlignment="1">
      <alignment horizontal="center" vertical="center"/>
    </xf>
    <xf numFmtId="0" fontId="10" fillId="0" borderId="0" xfId="0" applyFont="1" applyAlignment="1">
      <alignment horizontal="center"/>
    </xf>
    <xf numFmtId="0" fontId="10" fillId="0" borderId="0" xfId="0" applyFont="1"/>
    <xf numFmtId="0" fontId="0" fillId="0" borderId="0" xfId="0" applyAlignment="1">
      <alignment horizontal="center"/>
    </xf>
    <xf numFmtId="0" fontId="19" fillId="4" borderId="2" xfId="5" applyFont="1" applyFill="1" applyBorder="1" applyAlignment="1">
      <alignment horizontal="center" vertical="center" wrapText="1"/>
    </xf>
    <xf numFmtId="167" fontId="20" fillId="4" borderId="2" xfId="5" applyNumberFormat="1" applyFont="1" applyFill="1" applyBorder="1" applyAlignment="1">
      <alignment horizontal="center" vertical="center" wrapText="1"/>
    </xf>
    <xf numFmtId="0" fontId="20" fillId="4" borderId="2" xfId="5" applyFont="1" applyFill="1" applyBorder="1" applyAlignment="1">
      <alignment horizontal="center" vertical="center" wrapText="1"/>
    </xf>
    <xf numFmtId="0" fontId="22" fillId="4" borderId="2" xfId="5" applyFont="1" applyFill="1" applyBorder="1" applyAlignment="1">
      <alignment horizontal="center" vertical="center" wrapText="1"/>
    </xf>
    <xf numFmtId="0" fontId="20" fillId="4" borderId="14" xfId="5" applyFont="1" applyFill="1" applyBorder="1" applyAlignment="1">
      <alignment horizontal="center" vertical="center" wrapText="1"/>
    </xf>
    <xf numFmtId="0" fontId="19" fillId="0" borderId="2" xfId="5" applyFont="1" applyBorder="1" applyAlignment="1">
      <alignment horizontal="center" vertical="center" wrapText="1"/>
    </xf>
    <xf numFmtId="167" fontId="20" fillId="0" borderId="2" xfId="5" applyNumberFormat="1" applyFont="1" applyBorder="1" applyAlignment="1">
      <alignment horizontal="center" vertical="center" wrapText="1"/>
    </xf>
    <xf numFmtId="0" fontId="20" fillId="0" borderId="2" xfId="5" applyFont="1" applyFill="1" applyBorder="1" applyAlignment="1">
      <alignment horizontal="center" vertical="center" wrapText="1"/>
    </xf>
    <xf numFmtId="0" fontId="22" fillId="0" borderId="2"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14" xfId="5" applyFont="1" applyBorder="1" applyAlignment="1">
      <alignment horizontal="center" vertical="center" wrapText="1"/>
    </xf>
    <xf numFmtId="0" fontId="24" fillId="0" borderId="2" xfId="5" applyFont="1" applyBorder="1" applyAlignment="1">
      <alignment horizontal="center" vertical="center" wrapText="1"/>
    </xf>
    <xf numFmtId="167" fontId="15" fillId="0" borderId="2" xfId="5" applyNumberFormat="1" applyFont="1" applyBorder="1" applyAlignment="1">
      <alignment horizontal="center" vertical="center" wrapText="1"/>
    </xf>
    <xf numFmtId="0" fontId="19" fillId="0" borderId="1" xfId="5" applyFont="1" applyBorder="1" applyAlignment="1">
      <alignment horizontal="center" vertical="center" wrapText="1"/>
    </xf>
    <xf numFmtId="167" fontId="20" fillId="0" borderId="1" xfId="5" applyNumberFormat="1" applyFont="1" applyBorder="1" applyAlignment="1">
      <alignment horizontal="center" vertical="center" wrapText="1"/>
    </xf>
    <xf numFmtId="0" fontId="20" fillId="0" borderId="1" xfId="5" applyFont="1" applyBorder="1" applyAlignment="1">
      <alignment horizontal="center" vertical="center" wrapText="1"/>
    </xf>
    <xf numFmtId="0" fontId="22" fillId="0" borderId="1" xfId="5" applyFont="1" applyBorder="1" applyAlignment="1">
      <alignment horizontal="center" vertical="center" wrapText="1"/>
    </xf>
    <xf numFmtId="0" fontId="25" fillId="0" borderId="2" xfId="5" applyFont="1" applyFill="1" applyBorder="1" applyAlignment="1">
      <alignment horizontal="center" vertical="center" wrapText="1"/>
    </xf>
    <xf numFmtId="167" fontId="22" fillId="0" borderId="2" xfId="5" applyNumberFormat="1" applyFont="1" applyFill="1" applyBorder="1" applyAlignment="1">
      <alignment horizontal="center" vertical="center" wrapText="1"/>
    </xf>
    <xf numFmtId="0" fontId="22" fillId="0" borderId="2" xfId="5" applyFont="1" applyFill="1" applyBorder="1" applyAlignment="1">
      <alignment horizontal="center" vertical="center" wrapText="1"/>
    </xf>
    <xf numFmtId="0" fontId="20" fillId="0" borderId="2" xfId="7" applyFont="1" applyFill="1" applyBorder="1" applyAlignment="1">
      <alignment horizontal="center" vertical="center" wrapText="1"/>
    </xf>
    <xf numFmtId="167" fontId="21" fillId="0" borderId="2" xfId="5" applyNumberFormat="1" applyFont="1" applyFill="1" applyBorder="1" applyAlignment="1">
      <alignment horizontal="center" vertical="center" wrapText="1"/>
    </xf>
    <xf numFmtId="0" fontId="25" fillId="5" borderId="2" xfId="5" applyFont="1" applyFill="1" applyBorder="1" applyAlignment="1">
      <alignment horizontal="center" vertical="center" wrapText="1"/>
    </xf>
    <xf numFmtId="167" fontId="22" fillId="5" borderId="2" xfId="5" applyNumberFormat="1" applyFont="1" applyFill="1" applyBorder="1" applyAlignment="1">
      <alignment horizontal="center" vertical="center" wrapText="1"/>
    </xf>
    <xf numFmtId="0" fontId="22" fillId="5" borderId="2" xfId="5" applyFont="1" applyFill="1" applyBorder="1" applyAlignment="1">
      <alignment horizontal="center" vertical="center" wrapText="1"/>
    </xf>
    <xf numFmtId="0" fontId="20" fillId="5" borderId="2" xfId="5" applyFont="1" applyFill="1" applyBorder="1" applyAlignment="1">
      <alignment horizontal="center" vertical="center" wrapText="1"/>
    </xf>
    <xf numFmtId="0" fontId="16" fillId="0" borderId="0" xfId="8" applyFont="1"/>
    <xf numFmtId="0" fontId="15" fillId="6" borderId="2" xfId="8" applyFont="1" applyFill="1" applyBorder="1" applyAlignment="1">
      <alignment horizontal="center" vertical="center" wrapText="1"/>
    </xf>
    <xf numFmtId="0" fontId="17" fillId="0" borderId="2" xfId="8" applyFont="1" applyBorder="1" applyAlignment="1">
      <alignment horizontal="center" vertical="center" wrapText="1"/>
    </xf>
    <xf numFmtId="0" fontId="20" fillId="0" borderId="2" xfId="8" applyFont="1" applyBorder="1" applyAlignment="1">
      <alignment horizontal="center" vertical="center" wrapText="1"/>
    </xf>
    <xf numFmtId="168" fontId="15" fillId="0" borderId="2" xfId="9" applyFont="1" applyBorder="1" applyAlignment="1">
      <alignment vertical="center"/>
    </xf>
    <xf numFmtId="0" fontId="21" fillId="0" borderId="2" xfId="8" applyFont="1" applyBorder="1" applyAlignment="1">
      <alignment horizontal="center" vertical="center" wrapText="1"/>
    </xf>
    <xf numFmtId="0" fontId="16" fillId="0" borderId="2" xfId="8" applyFont="1" applyBorder="1" applyAlignment="1">
      <alignment horizontal="center"/>
    </xf>
    <xf numFmtId="0" fontId="16" fillId="0" borderId="2" xfId="8" applyFont="1" applyBorder="1"/>
    <xf numFmtId="0" fontId="23" fillId="0" borderId="2" xfId="8" applyFont="1" applyBorder="1" applyAlignment="1">
      <alignment horizontal="center" vertical="center" wrapText="1"/>
    </xf>
    <xf numFmtId="0" fontId="16" fillId="0" borderId="2" xfId="8" applyFont="1" applyBorder="1" applyAlignment="1">
      <alignment vertical="top" wrapText="1"/>
    </xf>
    <xf numFmtId="0" fontId="20" fillId="0" borderId="1" xfId="8" applyFont="1" applyBorder="1" applyAlignment="1">
      <alignment horizontal="center" vertical="center" wrapText="1"/>
    </xf>
    <xf numFmtId="168" fontId="15" fillId="0" borderId="1" xfId="9" applyFont="1" applyBorder="1" applyAlignment="1">
      <alignment vertical="center"/>
    </xf>
    <xf numFmtId="0" fontId="21" fillId="0" borderId="1" xfId="8" applyFont="1" applyBorder="1" applyAlignment="1">
      <alignment horizontal="center" vertical="center" wrapText="1"/>
    </xf>
    <xf numFmtId="0" fontId="16" fillId="0" borderId="1" xfId="8" applyFont="1" applyBorder="1" applyAlignment="1">
      <alignment horizontal="center"/>
    </xf>
    <xf numFmtId="0" fontId="16" fillId="0" borderId="2" xfId="8" applyFont="1" applyBorder="1" applyAlignment="1">
      <alignment wrapText="1"/>
    </xf>
    <xf numFmtId="0" fontId="20" fillId="0" borderId="2" xfId="8" applyFont="1" applyFill="1" applyBorder="1" applyAlignment="1">
      <alignment horizontal="center" vertical="center" wrapText="1" readingOrder="1"/>
    </xf>
    <xf numFmtId="43" fontId="23" fillId="0" borderId="2" xfId="9" applyNumberFormat="1" applyFont="1" applyFill="1" applyBorder="1"/>
    <xf numFmtId="0" fontId="23" fillId="0" borderId="2" xfId="8" applyFont="1" applyFill="1" applyBorder="1" applyAlignment="1">
      <alignment horizontal="center" vertical="center" wrapText="1" readingOrder="1"/>
    </xf>
    <xf numFmtId="0" fontId="15" fillId="0" borderId="2" xfId="8" applyFont="1" applyBorder="1"/>
    <xf numFmtId="0" fontId="20" fillId="4" borderId="2" xfId="8" applyFont="1" applyFill="1" applyBorder="1" applyAlignment="1">
      <alignment horizontal="center" vertical="center" wrapText="1"/>
    </xf>
    <xf numFmtId="168" fontId="15" fillId="4" borderId="2" xfId="9" applyFont="1" applyFill="1" applyBorder="1" applyAlignment="1">
      <alignment vertical="center"/>
    </xf>
    <xf numFmtId="0" fontId="21" fillId="4" borderId="2" xfId="8" applyFont="1" applyFill="1" applyBorder="1" applyAlignment="1">
      <alignment horizontal="center" vertical="center" wrapText="1"/>
    </xf>
    <xf numFmtId="0" fontId="16" fillId="4" borderId="2" xfId="8" applyFont="1" applyFill="1" applyBorder="1" applyAlignment="1">
      <alignment horizontal="center"/>
    </xf>
    <xf numFmtId="0" fontId="16" fillId="4" borderId="2" xfId="8" applyFont="1" applyFill="1" applyBorder="1"/>
    <xf numFmtId="0" fontId="23" fillId="4" borderId="14" xfId="8" applyFont="1" applyFill="1" applyBorder="1" applyAlignment="1">
      <alignment horizontal="center" vertical="center" wrapText="1"/>
    </xf>
    <xf numFmtId="0" fontId="15" fillId="4" borderId="2" xfId="8" applyFont="1" applyFill="1" applyBorder="1" applyAlignment="1">
      <alignment horizontal="center" vertical="center" wrapText="1"/>
    </xf>
    <xf numFmtId="0" fontId="4" fillId="3" borderId="0" xfId="8" applyFill="1" applyBorder="1" applyAlignment="1">
      <alignment horizontal="center" vertical="center"/>
    </xf>
    <xf numFmtId="0" fontId="4" fillId="3" borderId="0" xfId="8" applyFill="1" applyBorder="1" applyAlignment="1">
      <alignment wrapText="1"/>
    </xf>
    <xf numFmtId="0" fontId="10" fillId="3" borderId="0" xfId="8" applyFont="1" applyFill="1" applyBorder="1" applyAlignment="1">
      <alignment horizontal="center" wrapText="1"/>
    </xf>
    <xf numFmtId="164" fontId="10" fillId="3" borderId="0" xfId="8" applyNumberFormat="1" applyFont="1" applyFill="1" applyBorder="1" applyAlignment="1">
      <alignment wrapText="1"/>
    </xf>
    <xf numFmtId="0" fontId="4" fillId="3" borderId="0" xfId="8" applyFill="1" applyBorder="1" applyAlignment="1">
      <alignment horizontal="center"/>
    </xf>
    <xf numFmtId="0" fontId="4" fillId="3" borderId="0" xfId="8" applyFill="1" applyBorder="1"/>
    <xf numFmtId="0" fontId="4" fillId="0" borderId="6" xfId="8" applyBorder="1" applyAlignment="1">
      <alignment horizontal="center" vertical="center"/>
    </xf>
    <xf numFmtId="0" fontId="6" fillId="0" borderId="7" xfId="8" applyFont="1" applyFill="1" applyBorder="1" applyAlignment="1">
      <alignment wrapText="1"/>
    </xf>
    <xf numFmtId="0" fontId="6" fillId="0" borderId="7" xfId="8" applyFont="1" applyBorder="1"/>
    <xf numFmtId="0" fontId="4" fillId="0" borderId="7" xfId="8" applyBorder="1"/>
    <xf numFmtId="0" fontId="6" fillId="0" borderId="7" xfId="8" applyFont="1" applyBorder="1" applyAlignment="1">
      <alignment horizontal="center"/>
    </xf>
    <xf numFmtId="0" fontId="4" fillId="0" borderId="7" xfId="8" applyBorder="1" applyAlignment="1">
      <alignment wrapText="1"/>
    </xf>
    <xf numFmtId="0" fontId="6" fillId="0" borderId="7" xfId="8" applyFont="1" applyBorder="1" applyAlignment="1">
      <alignment horizontal="center" vertical="center" textRotation="90" wrapText="1"/>
    </xf>
    <xf numFmtId="0" fontId="6" fillId="0" borderId="7" xfId="8" applyFont="1" applyBorder="1" applyAlignment="1">
      <alignment wrapText="1"/>
    </xf>
    <xf numFmtId="0" fontId="4" fillId="0" borderId="8" xfId="8" applyBorder="1" applyAlignment="1">
      <alignment wrapText="1"/>
    </xf>
    <xf numFmtId="0" fontId="4" fillId="0" borderId="9" xfId="8" applyBorder="1" applyAlignment="1">
      <alignment horizontal="center" vertical="center"/>
    </xf>
    <xf numFmtId="0" fontId="4" fillId="0" borderId="0" xfId="8" applyBorder="1"/>
    <xf numFmtId="0" fontId="4" fillId="0" borderId="0" xfId="8" applyBorder="1" applyAlignment="1">
      <alignment horizontal="center"/>
    </xf>
    <xf numFmtId="0" fontId="4" fillId="0" borderId="0" xfId="8" applyBorder="1" applyAlignment="1">
      <alignment wrapText="1"/>
    </xf>
    <xf numFmtId="0" fontId="6" fillId="0" borderId="0" xfId="8" applyFont="1" applyBorder="1" applyAlignment="1">
      <alignment horizontal="center" vertical="center" textRotation="90" wrapText="1"/>
    </xf>
    <xf numFmtId="0" fontId="6" fillId="0" borderId="0" xfId="8" applyFont="1" applyBorder="1" applyAlignment="1">
      <alignment wrapText="1"/>
    </xf>
    <xf numFmtId="0" fontId="4" fillId="0" borderId="10" xfId="8" applyBorder="1" applyAlignment="1">
      <alignment wrapText="1"/>
    </xf>
    <xf numFmtId="0" fontId="4" fillId="0" borderId="11" xfId="8" applyBorder="1" applyAlignment="1">
      <alignment horizontal="center" vertical="center"/>
    </xf>
    <xf numFmtId="0" fontId="4" fillId="0" borderId="12" xfId="8" applyBorder="1"/>
    <xf numFmtId="0" fontId="4" fillId="0" borderId="12" xfId="8" applyBorder="1" applyAlignment="1">
      <alignment horizontal="center"/>
    </xf>
    <xf numFmtId="0" fontId="4" fillId="0" borderId="12" xfId="8" applyBorder="1" applyAlignment="1">
      <alignment wrapText="1"/>
    </xf>
    <xf numFmtId="0" fontId="6" fillId="0" borderId="12" xfId="8" applyFont="1" applyBorder="1" applyAlignment="1">
      <alignment horizontal="center" vertical="center" textRotation="90" wrapText="1"/>
    </xf>
    <xf numFmtId="0" fontId="6" fillId="0" borderId="12" xfId="8" applyFont="1" applyBorder="1" applyAlignment="1">
      <alignment wrapText="1"/>
    </xf>
    <xf numFmtId="0" fontId="4" fillId="0" borderId="13" xfId="8" applyBorder="1" applyAlignment="1">
      <alignment wrapText="1"/>
    </xf>
    <xf numFmtId="0" fontId="19" fillId="0" borderId="0" xfId="8" applyFont="1"/>
    <xf numFmtId="0" fontId="15" fillId="0" borderId="0" xfId="8" applyFont="1"/>
    <xf numFmtId="0" fontId="15" fillId="2" borderId="2"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20" fillId="0" borderId="2" xfId="8" applyFont="1" applyFill="1" applyBorder="1" applyAlignment="1">
      <alignment horizontal="center" vertical="center" wrapText="1"/>
    </xf>
    <xf numFmtId="43" fontId="23" fillId="0" borderId="2" xfId="9" applyNumberFormat="1" applyFont="1" applyFill="1" applyBorder="1" applyAlignment="1">
      <alignment vertical="center"/>
    </xf>
    <xf numFmtId="0" fontId="23" fillId="0" borderId="2" xfId="8" applyFont="1" applyFill="1" applyBorder="1" applyAlignment="1">
      <alignment horizontal="center" vertical="center" wrapText="1"/>
    </xf>
    <xf numFmtId="0" fontId="25" fillId="0" borderId="2" xfId="8" applyFont="1" applyFill="1" applyBorder="1" applyAlignment="1">
      <alignment horizontal="center" vertical="center" wrapText="1"/>
    </xf>
    <xf numFmtId="0" fontId="21" fillId="0" borderId="2" xfId="8" applyFont="1" applyFill="1" applyBorder="1" applyAlignment="1">
      <alignment horizontal="center" vertical="center" wrapText="1"/>
    </xf>
    <xf numFmtId="0" fontId="20" fillId="5" borderId="2" xfId="8" applyFont="1" applyFill="1" applyBorder="1" applyAlignment="1">
      <alignment horizontal="center" vertical="center" wrapText="1"/>
    </xf>
    <xf numFmtId="43" fontId="23" fillId="5" borderId="2" xfId="9" applyNumberFormat="1" applyFont="1" applyFill="1" applyBorder="1" applyAlignment="1">
      <alignment vertical="center"/>
    </xf>
    <xf numFmtId="0" fontId="23" fillId="5" borderId="2" xfId="8" applyFont="1" applyFill="1" applyBorder="1" applyAlignment="1">
      <alignment horizontal="center" vertical="center" wrapText="1"/>
    </xf>
    <xf numFmtId="0" fontId="21" fillId="0" borderId="2" xfId="8" applyFont="1" applyFill="1" applyBorder="1" applyAlignment="1">
      <alignment horizontal="center" vertical="center" wrapText="1" readingOrder="1"/>
    </xf>
    <xf numFmtId="0" fontId="29" fillId="0" borderId="0" xfId="8" applyFont="1"/>
    <xf numFmtId="0" fontId="9" fillId="2" borderId="2"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3" fillId="0" borderId="0" xfId="0" applyFont="1"/>
    <xf numFmtId="0" fontId="9" fillId="0" borderId="0" xfId="0" applyFont="1" applyFill="1" applyBorder="1" applyAlignment="1">
      <alignment horizontal="left" vertical="center" wrapText="1"/>
    </xf>
    <xf numFmtId="0" fontId="31" fillId="0" borderId="0" xfId="0" applyFont="1" applyFill="1" applyBorder="1" applyAlignment="1">
      <alignment horizontal="center" vertical="center" wrapText="1"/>
    </xf>
    <xf numFmtId="0" fontId="9" fillId="0" borderId="21" xfId="0" applyFont="1" applyFill="1" applyBorder="1" applyAlignment="1">
      <alignment horizontal="center" vertical="center" wrapText="1"/>
    </xf>
    <xf numFmtId="0" fontId="3" fillId="0" borderId="21" xfId="0" applyFont="1" applyBorder="1"/>
    <xf numFmtId="0" fontId="31" fillId="0" borderId="21" xfId="0" applyFont="1" applyFill="1" applyBorder="1" applyAlignment="1">
      <alignment horizontal="center" vertical="center" wrapText="1"/>
    </xf>
    <xf numFmtId="0" fontId="9" fillId="0" borderId="21" xfId="0" applyFont="1" applyFill="1" applyBorder="1" applyAlignment="1">
      <alignment horizontal="left" vertical="center" wrapText="1"/>
    </xf>
    <xf numFmtId="0" fontId="8" fillId="0" borderId="21"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3" fillId="0" borderId="5" xfId="0" applyFont="1" applyBorder="1"/>
    <xf numFmtId="0" fontId="31" fillId="0" borderId="5" xfId="0" applyFont="1" applyFill="1" applyBorder="1" applyAlignment="1">
      <alignment horizontal="center" vertical="center" wrapText="1"/>
    </xf>
    <xf numFmtId="0" fontId="9" fillId="0" borderId="5" xfId="0" applyFont="1" applyFill="1" applyBorder="1" applyAlignment="1">
      <alignment horizontal="left" vertical="center" wrapText="1"/>
    </xf>
    <xf numFmtId="0" fontId="8" fillId="0" borderId="5" xfId="0" applyFont="1" applyFill="1" applyBorder="1" applyAlignment="1">
      <alignment horizontal="center" vertical="center" wrapText="1"/>
    </xf>
    <xf numFmtId="0" fontId="30" fillId="0" borderId="21" xfId="0" applyFont="1" applyBorder="1" applyAlignment="1">
      <alignment wrapText="1"/>
    </xf>
    <xf numFmtId="0" fontId="30" fillId="0" borderId="21" xfId="0" applyFont="1" applyBorder="1"/>
    <xf numFmtId="0" fontId="31" fillId="0" borderId="21" xfId="0" applyFont="1" applyBorder="1" applyAlignment="1">
      <alignment wrapText="1"/>
    </xf>
    <xf numFmtId="0" fontId="30" fillId="0" borderId="21" xfId="0" applyFont="1" applyBorder="1" applyAlignment="1">
      <alignment horizontal="center"/>
    </xf>
    <xf numFmtId="0" fontId="30" fillId="0" borderId="21" xfId="0" applyFont="1" applyBorder="1" applyAlignment="1">
      <alignment horizontal="left" wrapText="1"/>
    </xf>
    <xf numFmtId="0" fontId="3" fillId="0" borderId="0" xfId="0" applyFont="1" applyBorder="1"/>
    <xf numFmtId="0" fontId="2" fillId="0" borderId="4" xfId="0" applyFont="1" applyBorder="1"/>
    <xf numFmtId="0" fontId="2" fillId="0" borderId="0" xfId="0" applyFont="1" applyBorder="1" applyAlignment="1">
      <alignment wrapText="1"/>
    </xf>
    <xf numFmtId="0" fontId="8" fillId="0" borderId="4" xfId="0" applyFont="1" applyFill="1" applyBorder="1" applyAlignment="1">
      <alignment horizontal="center" vertical="center" wrapText="1"/>
    </xf>
    <xf numFmtId="0" fontId="3" fillId="0" borderId="4" xfId="0" applyFont="1" applyBorder="1"/>
    <xf numFmtId="0" fontId="9" fillId="0" borderId="4" xfId="0" applyFont="1" applyFill="1" applyBorder="1" applyAlignment="1">
      <alignment horizontal="center" vertical="center" wrapText="1"/>
    </xf>
    <xf numFmtId="4" fontId="9" fillId="0" borderId="0" xfId="0" applyNumberFormat="1" applyFont="1" applyFill="1" applyBorder="1" applyAlignment="1">
      <alignment horizontal="center" vertical="center" wrapText="1"/>
    </xf>
    <xf numFmtId="15" fontId="9" fillId="0" borderId="0" xfId="0" applyNumberFormat="1" applyFont="1" applyFill="1" applyBorder="1" applyAlignment="1">
      <alignment horizontal="center" vertical="center" wrapText="1"/>
    </xf>
    <xf numFmtId="0" fontId="9" fillId="0" borderId="4" xfId="0" applyFont="1" applyFill="1" applyBorder="1" applyAlignment="1">
      <alignment horizontal="left" vertical="center" wrapText="1"/>
    </xf>
    <xf numFmtId="0" fontId="2" fillId="0" borderId="0" xfId="0" applyFont="1" applyAlignment="1">
      <alignment wrapText="1"/>
    </xf>
    <xf numFmtId="0" fontId="31" fillId="0" borderId="4" xfId="0" applyFont="1" applyFill="1" applyBorder="1" applyAlignment="1">
      <alignment horizontal="center" vertical="center" wrapText="1"/>
    </xf>
    <xf numFmtId="0" fontId="42" fillId="7" borderId="2" xfId="92" applyFont="1" applyFill="1" applyBorder="1" applyAlignment="1">
      <alignment horizontal="center" vertical="center" wrapText="1"/>
    </xf>
    <xf numFmtId="0" fontId="42" fillId="0" borderId="2" xfId="92" applyFont="1" applyBorder="1" applyAlignment="1">
      <alignment horizontal="center" vertical="center" wrapText="1"/>
    </xf>
    <xf numFmtId="49" fontId="42" fillId="0" borderId="2" xfId="92" applyNumberFormat="1" applyFont="1" applyBorder="1" applyAlignment="1">
      <alignment horizontal="center" vertical="center" wrapText="1"/>
    </xf>
    <xf numFmtId="169" fontId="42" fillId="7" borderId="2" xfId="92" applyNumberFormat="1" applyFont="1" applyFill="1" applyBorder="1" applyAlignment="1">
      <alignment horizontal="center" vertical="center" wrapText="1"/>
    </xf>
    <xf numFmtId="170" fontId="44" fillId="0" borderId="2" xfId="93" applyFont="1" applyBorder="1" applyProtection="1"/>
    <xf numFmtId="0" fontId="42" fillId="0" borderId="0" xfId="92" applyFont="1" applyAlignment="1">
      <alignment horizontal="center" vertical="center" wrapText="1"/>
    </xf>
    <xf numFmtId="0" fontId="45" fillId="0" borderId="0" xfId="92" applyFont="1" applyAlignment="1">
      <alignment horizontal="center" vertical="center" wrapText="1"/>
    </xf>
    <xf numFmtId="0" fontId="45" fillId="0" borderId="2" xfId="92" applyFont="1" applyBorder="1" applyAlignment="1">
      <alignment horizontal="center" vertical="center" wrapText="1"/>
    </xf>
    <xf numFmtId="0" fontId="45" fillId="0" borderId="2" xfId="92" applyFont="1" applyBorder="1" applyAlignment="1">
      <alignment horizontal="center" vertical="center" wrapText="1" readingOrder="1"/>
    </xf>
    <xf numFmtId="0" fontId="47" fillId="0" borderId="2" xfId="5" applyFont="1" applyBorder="1" applyAlignment="1">
      <alignment horizontal="center" vertical="center" wrapText="1"/>
    </xf>
    <xf numFmtId="171" fontId="48" fillId="0" borderId="2" xfId="5" applyNumberFormat="1" applyFont="1" applyBorder="1" applyAlignment="1">
      <alignment horizontal="center" vertical="center" wrapText="1"/>
    </xf>
    <xf numFmtId="170" fontId="43" fillId="0" borderId="2" xfId="93" applyBorder="1"/>
    <xf numFmtId="0" fontId="47" fillId="0" borderId="0" xfId="92" applyFont="1" applyAlignment="1">
      <alignment horizontal="center" vertical="center" wrapText="1"/>
    </xf>
    <xf numFmtId="172" fontId="48" fillId="0" borderId="2" xfId="5" applyNumberFormat="1" applyFont="1" applyBorder="1" applyAlignment="1">
      <alignment horizontal="center" vertical="center" wrapText="1"/>
    </xf>
    <xf numFmtId="0" fontId="48" fillId="0" borderId="2" xfId="94" applyFont="1" applyBorder="1" applyAlignment="1">
      <alignment horizontal="center" vertical="center" wrapText="1"/>
    </xf>
    <xf numFmtId="0" fontId="47" fillId="0" borderId="2" xfId="92" applyFont="1" applyBorder="1" applyAlignment="1">
      <alignment horizontal="center" vertical="center" wrapText="1"/>
    </xf>
    <xf numFmtId="4" fontId="47" fillId="0" borderId="2" xfId="5" applyNumberFormat="1" applyFont="1" applyBorder="1" applyAlignment="1">
      <alignment horizontal="center" vertical="center" wrapText="1"/>
    </xf>
    <xf numFmtId="0" fontId="47" fillId="0" borderId="2" xfId="92" applyFont="1" applyBorder="1" applyAlignment="1">
      <alignment horizontal="center" vertical="center" wrapText="1" readingOrder="1"/>
    </xf>
    <xf numFmtId="172" fontId="47" fillId="0" borderId="2" xfId="5" applyNumberFormat="1" applyFont="1" applyBorder="1" applyAlignment="1">
      <alignment horizontal="center" vertical="center" wrapText="1"/>
    </xf>
    <xf numFmtId="0" fontId="46" fillId="0" borderId="2" xfId="7" applyFont="1" applyFill="1" applyBorder="1" applyAlignment="1">
      <alignment horizontal="center" vertical="center" wrapText="1"/>
    </xf>
    <xf numFmtId="0" fontId="48" fillId="0" borderId="2" xfId="5" applyFont="1" applyBorder="1" applyAlignment="1">
      <alignment horizontal="center" vertical="center" wrapText="1"/>
    </xf>
    <xf numFmtId="170" fontId="44" fillId="0" borderId="2" xfId="93" applyFont="1" applyBorder="1"/>
    <xf numFmtId="4" fontId="48" fillId="0" borderId="2" xfId="5" applyNumberFormat="1" applyFont="1" applyBorder="1" applyAlignment="1">
      <alignment horizontal="center" vertical="center" wrapText="1"/>
    </xf>
    <xf numFmtId="170" fontId="49" fillId="0" borderId="2" xfId="93" applyFont="1" applyBorder="1"/>
    <xf numFmtId="170" fontId="45" fillId="0" borderId="2" xfId="92" applyNumberFormat="1" applyFont="1" applyBorder="1" applyAlignment="1">
      <alignment horizontal="center" vertical="center" wrapText="1"/>
    </xf>
    <xf numFmtId="169" fontId="45" fillId="0" borderId="0" xfId="92" applyNumberFormat="1" applyFont="1" applyAlignment="1">
      <alignment horizontal="center" vertical="center" wrapText="1"/>
    </xf>
    <xf numFmtId="170" fontId="49" fillId="0" borderId="0" xfId="93" applyFont="1" applyBorder="1" applyProtection="1"/>
    <xf numFmtId="0" fontId="13" fillId="4" borderId="2" xfId="8" applyFont="1" applyFill="1" applyBorder="1" applyAlignment="1">
      <alignment horizontal="center" vertical="center" wrapText="1"/>
    </xf>
    <xf numFmtId="0" fontId="15" fillId="4" borderId="2" xfId="8" applyFont="1" applyFill="1" applyBorder="1" applyAlignment="1">
      <alignment horizontal="center" vertical="center" wrapText="1"/>
    </xf>
    <xf numFmtId="0" fontId="13" fillId="6" borderId="2" xfId="8" applyFont="1" applyFill="1" applyBorder="1" applyAlignment="1">
      <alignment horizontal="center" vertical="center" wrapText="1"/>
    </xf>
    <xf numFmtId="0" fontId="15" fillId="6" borderId="2" xfId="8" applyFont="1" applyFill="1" applyBorder="1" applyAlignment="1">
      <alignment horizontal="center" vertical="center" wrapText="1"/>
    </xf>
    <xf numFmtId="0" fontId="14" fillId="4" borderId="2" xfId="8" applyFont="1" applyFill="1" applyBorder="1" applyAlignment="1">
      <alignment horizontal="center" vertical="center" wrapText="1"/>
    </xf>
    <xf numFmtId="0" fontId="14" fillId="6" borderId="2" xfId="8" applyFont="1" applyFill="1" applyBorder="1" applyAlignment="1">
      <alignment horizontal="center" vertical="center" wrapText="1"/>
    </xf>
    <xf numFmtId="0" fontId="26" fillId="4" borderId="1" xfId="8" applyFont="1" applyFill="1" applyBorder="1" applyAlignment="1">
      <alignment horizontal="center" vertical="center" wrapText="1"/>
    </xf>
    <xf numFmtId="0" fontId="26" fillId="4" borderId="3" xfId="8" applyFont="1" applyFill="1" applyBorder="1" applyAlignment="1">
      <alignment horizontal="center" vertical="center" wrapText="1"/>
    </xf>
    <xf numFmtId="0" fontId="13" fillId="4" borderId="15" xfId="8" applyFont="1" applyFill="1" applyBorder="1" applyAlignment="1">
      <alignment horizontal="center" vertical="center" wrapText="1"/>
    </xf>
    <xf numFmtId="0" fontId="13" fillId="4" borderId="16" xfId="8" applyFont="1" applyFill="1" applyBorder="1" applyAlignment="1">
      <alignment horizontal="center" vertical="center" wrapText="1"/>
    </xf>
    <xf numFmtId="0" fontId="13" fillId="4" borderId="19" xfId="8" applyFont="1" applyFill="1" applyBorder="1" applyAlignment="1">
      <alignment horizontal="center" vertical="center" wrapText="1"/>
    </xf>
    <xf numFmtId="0" fontId="13" fillId="4" borderId="20" xfId="8" applyFont="1" applyFill="1" applyBorder="1" applyAlignment="1">
      <alignment horizontal="center" vertical="center" wrapText="1"/>
    </xf>
    <xf numFmtId="0" fontId="15" fillId="4" borderId="17" xfId="8" applyFont="1" applyFill="1" applyBorder="1" applyAlignment="1">
      <alignment horizontal="center" vertical="center" wrapText="1"/>
    </xf>
    <xf numFmtId="0" fontId="15" fillId="4" borderId="5" xfId="8" applyFont="1" applyFill="1" applyBorder="1" applyAlignment="1">
      <alignment horizontal="center" vertical="center" wrapText="1"/>
    </xf>
    <xf numFmtId="0" fontId="15" fillId="4" borderId="18" xfId="8" applyFont="1" applyFill="1" applyBorder="1" applyAlignment="1">
      <alignment horizontal="center" vertical="center" wrapText="1"/>
    </xf>
    <xf numFmtId="0" fontId="13" fillId="4" borderId="1" xfId="8" applyFont="1" applyFill="1" applyBorder="1" applyAlignment="1">
      <alignment horizontal="center" vertical="center" wrapText="1"/>
    </xf>
    <xf numFmtId="0" fontId="13" fillId="4" borderId="3" xfId="8" applyFont="1" applyFill="1" applyBorder="1" applyAlignment="1">
      <alignment horizontal="center" vertical="center" wrapText="1"/>
    </xf>
    <xf numFmtId="0" fontId="26" fillId="4" borderId="2" xfId="8" applyFont="1" applyFill="1" applyBorder="1" applyAlignment="1">
      <alignment horizontal="center" vertical="center" wrapText="1"/>
    </xf>
    <xf numFmtId="0" fontId="13" fillId="2" borderId="2" xfId="8" applyFont="1" applyFill="1" applyBorder="1" applyAlignment="1">
      <alignment horizontal="center" vertical="center" wrapText="1"/>
    </xf>
    <xf numFmtId="0" fontId="14" fillId="4" borderId="1" xfId="8" applyFont="1" applyFill="1" applyBorder="1" applyAlignment="1">
      <alignment horizontal="center" vertical="center" wrapText="1"/>
    </xf>
    <xf numFmtId="0" fontId="14" fillId="4" borderId="3" xfId="8" applyFont="1" applyFill="1" applyBorder="1" applyAlignment="1">
      <alignment horizontal="center" vertical="center" wrapText="1"/>
    </xf>
    <xf numFmtId="0" fontId="15" fillId="2" borderId="2" xfId="8" applyFont="1" applyFill="1" applyBorder="1" applyAlignment="1">
      <alignment horizontal="center" vertical="center" wrapText="1"/>
    </xf>
    <xf numFmtId="0" fontId="26" fillId="2" borderId="2" xfId="8" applyFont="1" applyFill="1" applyBorder="1" applyAlignment="1">
      <alignment horizontal="center" vertical="center" wrapText="1"/>
    </xf>
    <xf numFmtId="0" fontId="14" fillId="2" borderId="2" xfId="8"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textRotation="90" wrapText="1"/>
    </xf>
    <xf numFmtId="0" fontId="6" fillId="0" borderId="0" xfId="0" applyFont="1" applyBorder="1" applyAlignment="1">
      <alignment horizontal="center" vertical="center" textRotation="90" wrapText="1"/>
    </xf>
    <xf numFmtId="0" fontId="6" fillId="0" borderId="12" xfId="0" applyFont="1" applyBorder="1" applyAlignment="1">
      <alignment horizontal="center" vertical="center" textRotation="90" wrapText="1"/>
    </xf>
    <xf numFmtId="0" fontId="9" fillId="2" borderId="2" xfId="0" applyFont="1" applyFill="1" applyBorder="1" applyAlignment="1">
      <alignment horizontal="center" vertical="center" wrapText="1"/>
    </xf>
  </cellXfs>
  <cellStyles count="96">
    <cellStyle name="Comma [0]" xfId="1" builtinId="6"/>
    <cellStyle name="Comma [0] 13 3" xfId="12"/>
    <cellStyle name="Comma [0] 13 3 2" xfId="65"/>
    <cellStyle name="Comma [0] 13 3 2 2" xfId="90"/>
    <cellStyle name="Comma [0] 13 3 3" xfId="87"/>
    <cellStyle name="Comma [0] 2" xfId="14"/>
    <cellStyle name="Comma [0] 22" xfId="15"/>
    <cellStyle name="Comma [0] 22 2" xfId="66"/>
    <cellStyle name="Comma [0] 3" xfId="16"/>
    <cellStyle name="Comma [0] 4" xfId="63"/>
    <cellStyle name="Comma [0] 5" xfId="84"/>
    <cellStyle name="Comma [0] 6" xfId="10"/>
    <cellStyle name="Comma 2" xfId="6"/>
    <cellStyle name="Comma 2 2" xfId="17"/>
    <cellStyle name="Comma 3" xfId="9"/>
    <cellStyle name="Comma 3 2" xfId="85"/>
    <cellStyle name="Comma 4" xfId="93"/>
    <cellStyle name="Hyperlink" xfId="7" builtinId="8"/>
    <cellStyle name="Normal" xfId="0" builtinId="0"/>
    <cellStyle name="Normal 10" xfId="56"/>
    <cellStyle name="Normal 11" xfId="57"/>
    <cellStyle name="Normal 11 2" xfId="79"/>
    <cellStyle name="Normal 11 3" xfId="88"/>
    <cellStyle name="Normal 12" xfId="58"/>
    <cellStyle name="Normal 12 2" xfId="80"/>
    <cellStyle name="Normal 13" xfId="59"/>
    <cellStyle name="Normal 13 2" xfId="81"/>
    <cellStyle name="Normal 14" xfId="62"/>
    <cellStyle name="Normal 15" xfId="60"/>
    <cellStyle name="Normal 16" xfId="82"/>
    <cellStyle name="Normal 17" xfId="83"/>
    <cellStyle name="Normal 18" xfId="92"/>
    <cellStyle name="Normal 2" xfId="4"/>
    <cellStyle name="Normal 2 19 2" xfId="5"/>
    <cellStyle name="Normal 2 2" xfId="18"/>
    <cellStyle name="Normal 23" xfId="94"/>
    <cellStyle name="Normal 3" xfId="8"/>
    <cellStyle name="Normal 3 2" xfId="19"/>
    <cellStyle name="Normal 4" xfId="20"/>
    <cellStyle name="Normal 45" xfId="21"/>
    <cellStyle name="Normal 45 2" xfId="67"/>
    <cellStyle name="Normal 45 3" xfId="91"/>
    <cellStyle name="Normal 47" xfId="11"/>
    <cellStyle name="Normal 47 2" xfId="64"/>
    <cellStyle name="Normal 47 2 2" xfId="89"/>
    <cellStyle name="Normal 47 3" xfId="86"/>
    <cellStyle name="Normal 5" xfId="48"/>
    <cellStyle name="Normal 5 2" xfId="74"/>
    <cellStyle name="Normal 6" xfId="52"/>
    <cellStyle name="Normal 6 2" xfId="75"/>
    <cellStyle name="Normal 7" xfId="53"/>
    <cellStyle name="Normal 7 2" xfId="76"/>
    <cellStyle name="Normal 8" xfId="54"/>
    <cellStyle name="Normal 8 2" xfId="77"/>
    <cellStyle name="Normal 9" xfId="55"/>
    <cellStyle name="Normal 9 2" xfId="78"/>
    <cellStyle name="S0" xfId="22"/>
    <cellStyle name="S1" xfId="23"/>
    <cellStyle name="S10" xfId="24"/>
    <cellStyle name="S10 2" xfId="25"/>
    <cellStyle name="S10 3" xfId="26"/>
    <cellStyle name="S10 4" xfId="68"/>
    <cellStyle name="S11" xfId="27"/>
    <cellStyle name="S2" xfId="28"/>
    <cellStyle name="S3" xfId="3"/>
    <cellStyle name="S4" xfId="29"/>
    <cellStyle name="S4 2" xfId="30"/>
    <cellStyle name="S5" xfId="31"/>
    <cellStyle name="S5 2" xfId="2"/>
    <cellStyle name="S5 3" xfId="32"/>
    <cellStyle name="S5 4" xfId="33"/>
    <cellStyle name="S5 5" xfId="49"/>
    <cellStyle name="S5 6" xfId="69"/>
    <cellStyle name="S6" xfId="34"/>
    <cellStyle name="S6 2" xfId="35"/>
    <cellStyle name="S6 3" xfId="13"/>
    <cellStyle name="S6 4" xfId="50"/>
    <cellStyle name="S6 5" xfId="70"/>
    <cellStyle name="S6 6" xfId="61"/>
    <cellStyle name="S7" xfId="36"/>
    <cellStyle name="S7 2" xfId="37"/>
    <cellStyle name="S7 2 3" xfId="95"/>
    <cellStyle name="S7 3" xfId="38"/>
    <cellStyle name="S7 4" xfId="39"/>
    <cellStyle name="S7 5" xfId="51"/>
    <cellStyle name="S7 6" xfId="71"/>
    <cellStyle name="S8" xfId="40"/>
    <cellStyle name="S8 2" xfId="41"/>
    <cellStyle name="S8 3" xfId="42"/>
    <cellStyle name="S8 4" xfId="43"/>
    <cellStyle name="S8 5" xfId="72"/>
    <cellStyle name="S9" xfId="44"/>
    <cellStyle name="S9 2" xfId="45"/>
    <cellStyle name="S9 3" xfId="46"/>
    <cellStyle name="S9 4" xfId="47"/>
    <cellStyle name="S9 5" xfId="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AppData/Roaming/Microsoft/AppData/Roaming/Microsoft/AppData/Roaming/AppData/Roaming/Microsoft/AppData/Roaming/Microsoft/Excel/WBL%2520List%2520Aset%2520Tetap%2520&amp;%2520PI%2520%2520(Fiscal%2520310899703442636203/Inventory%20Kantor%20Developer/Estate/PKawasan025.jp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84"/>
  <sheetViews>
    <sheetView tabSelected="1" zoomScale="55" zoomScaleNormal="55" workbookViewId="0">
      <pane ySplit="1" topLeftCell="A71" activePane="bottomLeft" state="frozen"/>
      <selection pane="bottomLeft" activeCell="N76" sqref="N76"/>
    </sheetView>
  </sheetViews>
  <sheetFormatPr defaultColWidth="14.42578125" defaultRowHeight="58.15" customHeight="1" x14ac:dyDescent="0.35"/>
  <cols>
    <col min="1" max="1" width="13" style="191" bestFit="1" customWidth="1"/>
    <col min="2" max="2" width="45.7109375" style="191" bestFit="1" customWidth="1"/>
    <col min="3" max="3" width="23.140625" style="191" customWidth="1"/>
    <col min="4" max="4" width="17.85546875" style="191" customWidth="1"/>
    <col min="5" max="5" width="32.85546875" style="210" bestFit="1" customWidth="1"/>
    <col min="6" max="6" width="26.42578125" style="211" bestFit="1" customWidth="1"/>
    <col min="7" max="7" width="18.140625" style="191" customWidth="1"/>
    <col min="8" max="8" width="19.42578125" style="191" customWidth="1"/>
    <col min="9" max="9" width="39.85546875" style="191" bestFit="1" customWidth="1"/>
    <col min="10" max="10" width="18.42578125" style="191" customWidth="1"/>
    <col min="11" max="11" width="18.5703125" style="191" bestFit="1" customWidth="1"/>
    <col min="12" max="25" width="9.140625" style="191" customWidth="1"/>
    <col min="26" max="16384" width="14.42578125" style="191"/>
  </cols>
  <sheetData>
    <row r="1" spans="1:25" ht="58.15" customHeight="1" x14ac:dyDescent="0.35">
      <c r="A1" s="185" t="s">
        <v>2681</v>
      </c>
      <c r="B1" s="185" t="s">
        <v>2682</v>
      </c>
      <c r="C1" s="186" t="s">
        <v>2683</v>
      </c>
      <c r="D1" s="187" t="s">
        <v>2684</v>
      </c>
      <c r="E1" s="188" t="s">
        <v>2685</v>
      </c>
      <c r="F1" s="189" t="s">
        <v>8</v>
      </c>
      <c r="G1" s="185" t="s">
        <v>2686</v>
      </c>
      <c r="H1" s="185" t="s">
        <v>2687</v>
      </c>
      <c r="I1" s="185" t="s">
        <v>11</v>
      </c>
      <c r="J1" s="185" t="s">
        <v>2688</v>
      </c>
      <c r="K1" s="185" t="s">
        <v>2689</v>
      </c>
      <c r="L1" s="190"/>
      <c r="M1" s="190"/>
      <c r="N1" s="190"/>
      <c r="O1" s="190"/>
      <c r="P1" s="190"/>
      <c r="Q1" s="190"/>
      <c r="R1" s="190"/>
      <c r="S1" s="190"/>
      <c r="T1" s="190"/>
      <c r="U1" s="190"/>
      <c r="V1" s="190"/>
      <c r="W1" s="190"/>
      <c r="X1" s="190"/>
      <c r="Y1" s="190"/>
    </row>
    <row r="2" spans="1:25" ht="58.15" customHeight="1" x14ac:dyDescent="0.25">
      <c r="A2" s="192">
        <v>1</v>
      </c>
      <c r="B2" s="192" t="s">
        <v>2691</v>
      </c>
      <c r="C2" s="194"/>
      <c r="D2" s="194" t="s">
        <v>2692</v>
      </c>
      <c r="E2" s="195">
        <v>45657</v>
      </c>
      <c r="F2" s="196">
        <v>156500000</v>
      </c>
      <c r="G2" s="192"/>
      <c r="H2" s="192"/>
      <c r="I2" s="192" t="s">
        <v>422</v>
      </c>
      <c r="J2" s="192" t="s">
        <v>422</v>
      </c>
      <c r="K2" s="194" t="s">
        <v>1569</v>
      </c>
    </row>
    <row r="3" spans="1:25" ht="58.15" customHeight="1" x14ac:dyDescent="0.25">
      <c r="A3" s="192">
        <v>2</v>
      </c>
      <c r="B3" s="192" t="s">
        <v>2693</v>
      </c>
      <c r="C3" s="194"/>
      <c r="D3" s="194" t="s">
        <v>2692</v>
      </c>
      <c r="E3" s="195">
        <v>45657</v>
      </c>
      <c r="F3" s="196">
        <v>106300000</v>
      </c>
      <c r="G3" s="192"/>
      <c r="H3" s="192"/>
      <c r="I3" s="192" t="s">
        <v>422</v>
      </c>
      <c r="J3" s="192" t="s">
        <v>422</v>
      </c>
      <c r="K3" s="194" t="s">
        <v>1569</v>
      </c>
    </row>
    <row r="4" spans="1:25" ht="58.15" customHeight="1" x14ac:dyDescent="0.25">
      <c r="A4" s="192">
        <v>3</v>
      </c>
      <c r="B4" s="194" t="s">
        <v>2694</v>
      </c>
      <c r="C4" s="192"/>
      <c r="D4" s="197"/>
      <c r="E4" s="198">
        <v>45657</v>
      </c>
      <c r="F4" s="196">
        <v>15600000</v>
      </c>
      <c r="G4" s="192"/>
      <c r="H4" s="192"/>
      <c r="I4" s="194" t="s">
        <v>2695</v>
      </c>
      <c r="J4" s="199" t="s">
        <v>2696</v>
      </c>
      <c r="K4" s="194" t="s">
        <v>2697</v>
      </c>
    </row>
    <row r="5" spans="1:25" ht="58.15" customHeight="1" x14ac:dyDescent="0.25">
      <c r="A5" s="192">
        <v>4</v>
      </c>
      <c r="B5" s="194" t="s">
        <v>2698</v>
      </c>
      <c r="C5" s="192"/>
      <c r="D5" s="200" t="s">
        <v>2692</v>
      </c>
      <c r="E5" s="198">
        <v>45657</v>
      </c>
      <c r="F5" s="196">
        <v>138000000</v>
      </c>
      <c r="G5" s="192"/>
      <c r="H5" s="192"/>
      <c r="I5" s="194" t="s">
        <v>2695</v>
      </c>
      <c r="J5" s="199" t="s">
        <v>2696</v>
      </c>
      <c r="K5" s="194" t="s">
        <v>2697</v>
      </c>
    </row>
    <row r="6" spans="1:25" ht="58.15" customHeight="1" x14ac:dyDescent="0.25">
      <c r="A6" s="192">
        <v>5</v>
      </c>
      <c r="B6" s="201" t="s">
        <v>2702</v>
      </c>
      <c r="C6" s="192"/>
      <c r="D6" s="200" t="s">
        <v>2692</v>
      </c>
      <c r="E6" s="198">
        <v>45657</v>
      </c>
      <c r="F6" s="196">
        <v>1002500000</v>
      </c>
      <c r="G6" s="192"/>
      <c r="H6" s="192"/>
      <c r="I6" s="201" t="s">
        <v>2699</v>
      </c>
      <c r="J6" s="199" t="s">
        <v>2696</v>
      </c>
      <c r="K6" s="201" t="s">
        <v>2703</v>
      </c>
    </row>
    <row r="7" spans="1:25" ht="58.15" customHeight="1" x14ac:dyDescent="0.25">
      <c r="A7" s="192">
        <v>6</v>
      </c>
      <c r="B7" s="193" t="s">
        <v>2709</v>
      </c>
      <c r="C7" s="193">
        <v>0</v>
      </c>
      <c r="D7" s="202" t="s">
        <v>2710</v>
      </c>
      <c r="E7" s="203">
        <v>45657</v>
      </c>
      <c r="F7" s="196">
        <v>8224700</v>
      </c>
      <c r="G7" s="192"/>
      <c r="H7" s="192"/>
      <c r="I7" s="192" t="s">
        <v>2711</v>
      </c>
      <c r="J7" s="193" t="s">
        <v>2696</v>
      </c>
      <c r="K7" s="192" t="s">
        <v>2711</v>
      </c>
    </row>
    <row r="8" spans="1:25" ht="58.15" customHeight="1" x14ac:dyDescent="0.25">
      <c r="A8" s="192">
        <v>7</v>
      </c>
      <c r="B8" s="193" t="s">
        <v>2712</v>
      </c>
      <c r="C8" s="193"/>
      <c r="D8" s="202" t="s">
        <v>2692</v>
      </c>
      <c r="E8" s="203">
        <v>45657</v>
      </c>
      <c r="F8" s="196">
        <v>234431500</v>
      </c>
      <c r="G8" s="192"/>
      <c r="H8" s="192"/>
      <c r="I8" s="192" t="s">
        <v>804</v>
      </c>
      <c r="J8" s="193" t="s">
        <v>2696</v>
      </c>
      <c r="K8" s="192" t="s">
        <v>832</v>
      </c>
    </row>
    <row r="9" spans="1:25" ht="58.15" customHeight="1" x14ac:dyDescent="0.25">
      <c r="A9" s="192">
        <v>8</v>
      </c>
      <c r="B9" s="193" t="s">
        <v>2712</v>
      </c>
      <c r="C9" s="193"/>
      <c r="D9" s="202" t="s">
        <v>2692</v>
      </c>
      <c r="E9" s="203">
        <v>45657</v>
      </c>
      <c r="F9" s="196">
        <v>234431500</v>
      </c>
      <c r="G9" s="192"/>
      <c r="H9" s="192"/>
      <c r="I9" s="192" t="s">
        <v>804</v>
      </c>
      <c r="J9" s="193" t="s">
        <v>2696</v>
      </c>
      <c r="K9" s="192" t="s">
        <v>832</v>
      </c>
    </row>
    <row r="10" spans="1:25" ht="58.15" customHeight="1" x14ac:dyDescent="0.25">
      <c r="A10" s="192">
        <v>9</v>
      </c>
      <c r="B10" s="193" t="s">
        <v>2713</v>
      </c>
      <c r="C10" s="193"/>
      <c r="D10" s="202" t="s">
        <v>2692</v>
      </c>
      <c r="E10" s="203">
        <v>45657</v>
      </c>
      <c r="F10" s="196">
        <v>5859000</v>
      </c>
      <c r="G10" s="192"/>
      <c r="H10" s="192"/>
      <c r="I10" s="192"/>
      <c r="J10" s="193" t="s">
        <v>2696</v>
      </c>
      <c r="K10" s="192"/>
    </row>
    <row r="11" spans="1:25" ht="58.15" customHeight="1" x14ac:dyDescent="0.25">
      <c r="A11" s="192">
        <v>10</v>
      </c>
      <c r="B11" s="193" t="s">
        <v>2714</v>
      </c>
      <c r="C11" s="193"/>
      <c r="D11" s="202" t="s">
        <v>2692</v>
      </c>
      <c r="E11" s="203">
        <v>45657</v>
      </c>
      <c r="F11" s="196">
        <v>214895599.99999994</v>
      </c>
      <c r="G11" s="192"/>
      <c r="H11" s="192"/>
      <c r="I11" s="192" t="s">
        <v>2715</v>
      </c>
      <c r="J11" s="193" t="s">
        <v>2696</v>
      </c>
      <c r="K11" s="192" t="s">
        <v>832</v>
      </c>
    </row>
    <row r="12" spans="1:25" ht="58.15" customHeight="1" x14ac:dyDescent="0.25">
      <c r="A12" s="192">
        <v>11</v>
      </c>
      <c r="B12" s="193" t="s">
        <v>2714</v>
      </c>
      <c r="C12" s="193"/>
      <c r="D12" s="202" t="s">
        <v>2692</v>
      </c>
      <c r="E12" s="203">
        <v>45657</v>
      </c>
      <c r="F12" s="196">
        <v>214895599.99999994</v>
      </c>
      <c r="G12" s="192"/>
      <c r="H12" s="192"/>
      <c r="I12" s="192" t="s">
        <v>2715</v>
      </c>
      <c r="J12" s="193" t="s">
        <v>2696</v>
      </c>
      <c r="K12" s="192" t="s">
        <v>832</v>
      </c>
    </row>
    <row r="13" spans="1:25" ht="58.15" customHeight="1" x14ac:dyDescent="0.25">
      <c r="A13" s="192">
        <v>12</v>
      </c>
      <c r="B13" s="193" t="s">
        <v>2716</v>
      </c>
      <c r="C13" s="193"/>
      <c r="D13" s="202" t="s">
        <v>2692</v>
      </c>
      <c r="E13" s="203">
        <v>45657</v>
      </c>
      <c r="F13" s="196">
        <v>813185300</v>
      </c>
      <c r="G13" s="192"/>
      <c r="H13" s="192"/>
      <c r="I13" s="192" t="s">
        <v>2717</v>
      </c>
      <c r="J13" s="193" t="s">
        <v>2696</v>
      </c>
      <c r="K13" s="192"/>
    </row>
    <row r="14" spans="1:25" ht="58.15" customHeight="1" x14ac:dyDescent="0.25">
      <c r="A14" s="192">
        <v>13</v>
      </c>
      <c r="B14" s="194" t="s">
        <v>2722</v>
      </c>
      <c r="C14" s="194" t="s">
        <v>2723</v>
      </c>
      <c r="D14" s="202" t="s">
        <v>2724</v>
      </c>
      <c r="E14" s="203">
        <v>45657</v>
      </c>
      <c r="F14" s="196">
        <v>465499.99999999814</v>
      </c>
      <c r="G14" s="192"/>
      <c r="H14" s="192"/>
      <c r="I14" s="201" t="s">
        <v>2720</v>
      </c>
      <c r="J14" s="193" t="s">
        <v>2707</v>
      </c>
      <c r="K14" s="201" t="s">
        <v>2708</v>
      </c>
    </row>
    <row r="15" spans="1:25" ht="58.15" customHeight="1" x14ac:dyDescent="0.25">
      <c r="A15" s="192">
        <v>14</v>
      </c>
      <c r="B15" s="194" t="s">
        <v>2725</v>
      </c>
      <c r="C15" s="204" t="s">
        <v>2726</v>
      </c>
      <c r="D15" s="202" t="s">
        <v>2727</v>
      </c>
      <c r="E15" s="203">
        <v>45657</v>
      </c>
      <c r="F15" s="196">
        <v>380400</v>
      </c>
      <c r="G15" s="192"/>
      <c r="H15" s="192"/>
      <c r="I15" s="194" t="s">
        <v>2721</v>
      </c>
      <c r="J15" s="193" t="s">
        <v>2707</v>
      </c>
      <c r="K15" s="194" t="s">
        <v>2707</v>
      </c>
    </row>
    <row r="16" spans="1:25" ht="58.15" customHeight="1" x14ac:dyDescent="0.25">
      <c r="A16" s="192">
        <v>15</v>
      </c>
      <c r="B16" s="194" t="s">
        <v>2728</v>
      </c>
      <c r="C16" s="194" t="s">
        <v>2729</v>
      </c>
      <c r="D16" s="202" t="s">
        <v>2730</v>
      </c>
      <c r="E16" s="203">
        <v>45657</v>
      </c>
      <c r="F16" s="196">
        <v>296000.00000000186</v>
      </c>
      <c r="G16" s="192"/>
      <c r="H16" s="192"/>
      <c r="I16" s="194"/>
      <c r="J16" s="193" t="s">
        <v>2707</v>
      </c>
      <c r="K16" s="194"/>
    </row>
    <row r="17" spans="1:11" ht="58.15" customHeight="1" x14ac:dyDescent="0.35">
      <c r="A17" s="192">
        <v>16</v>
      </c>
      <c r="B17" s="205" t="s">
        <v>2731</v>
      </c>
      <c r="C17" s="194" t="s">
        <v>2732</v>
      </c>
      <c r="D17" s="202" t="s">
        <v>2733</v>
      </c>
      <c r="E17" s="203">
        <v>45657</v>
      </c>
      <c r="F17" s="206">
        <v>8000</v>
      </c>
      <c r="G17" s="192"/>
      <c r="H17" s="192"/>
      <c r="I17" s="194"/>
      <c r="J17" s="193" t="s">
        <v>2696</v>
      </c>
      <c r="K17" s="194"/>
    </row>
    <row r="18" spans="1:11" ht="58.15" customHeight="1" x14ac:dyDescent="0.35">
      <c r="A18" s="192">
        <v>17</v>
      </c>
      <c r="B18" s="205" t="s">
        <v>2734</v>
      </c>
      <c r="C18" s="204" t="s">
        <v>2735</v>
      </c>
      <c r="D18" s="202" t="s">
        <v>2736</v>
      </c>
      <c r="E18" s="203">
        <v>45657</v>
      </c>
      <c r="F18" s="206">
        <v>609800</v>
      </c>
      <c r="G18" s="192"/>
      <c r="H18" s="192"/>
      <c r="I18" s="194" t="s">
        <v>2737</v>
      </c>
      <c r="J18" s="193" t="s">
        <v>2696</v>
      </c>
      <c r="K18" s="194" t="s">
        <v>2737</v>
      </c>
    </row>
    <row r="19" spans="1:11" ht="58.15" customHeight="1" x14ac:dyDescent="0.35">
      <c r="A19" s="192">
        <v>18</v>
      </c>
      <c r="B19" s="205" t="s">
        <v>2738</v>
      </c>
      <c r="C19" s="204" t="s">
        <v>2739</v>
      </c>
      <c r="D19" s="202" t="s">
        <v>2740</v>
      </c>
      <c r="E19" s="203">
        <v>45657</v>
      </c>
      <c r="F19" s="206">
        <v>248700</v>
      </c>
      <c r="G19" s="192"/>
      <c r="H19" s="192"/>
      <c r="I19" s="194" t="s">
        <v>2741</v>
      </c>
      <c r="J19" s="193" t="s">
        <v>2696</v>
      </c>
      <c r="K19" s="194" t="s">
        <v>2737</v>
      </c>
    </row>
    <row r="20" spans="1:11" ht="58.15" customHeight="1" x14ac:dyDescent="0.35">
      <c r="A20" s="192">
        <v>19</v>
      </c>
      <c r="B20" s="205" t="s">
        <v>2742</v>
      </c>
      <c r="C20" s="204" t="s">
        <v>2743</v>
      </c>
      <c r="D20" s="202" t="s">
        <v>2744</v>
      </c>
      <c r="E20" s="203">
        <v>45657</v>
      </c>
      <c r="F20" s="206">
        <v>486500</v>
      </c>
      <c r="G20" s="192"/>
      <c r="H20" s="192"/>
      <c r="I20" s="194" t="s">
        <v>2737</v>
      </c>
      <c r="J20" s="193" t="s">
        <v>2696</v>
      </c>
      <c r="K20" s="194" t="s">
        <v>2737</v>
      </c>
    </row>
    <row r="21" spans="1:11" ht="58.15" customHeight="1" x14ac:dyDescent="0.35">
      <c r="A21" s="192">
        <v>20</v>
      </c>
      <c r="B21" s="205" t="s">
        <v>2745</v>
      </c>
      <c r="C21" s="204" t="s">
        <v>2746</v>
      </c>
      <c r="D21" s="202" t="s">
        <v>2747</v>
      </c>
      <c r="E21" s="203">
        <v>45657</v>
      </c>
      <c r="F21" s="206">
        <v>83300</v>
      </c>
      <c r="G21" s="192"/>
      <c r="H21" s="192"/>
      <c r="I21" s="194" t="s">
        <v>2748</v>
      </c>
      <c r="J21" s="193" t="s">
        <v>2696</v>
      </c>
      <c r="K21" s="194" t="s">
        <v>2737</v>
      </c>
    </row>
    <row r="22" spans="1:11" ht="58.15" customHeight="1" x14ac:dyDescent="0.35">
      <c r="A22" s="192">
        <v>21</v>
      </c>
      <c r="B22" s="205" t="s">
        <v>2751</v>
      </c>
      <c r="C22" s="204" t="s">
        <v>2752</v>
      </c>
      <c r="D22" s="202" t="s">
        <v>2753</v>
      </c>
      <c r="E22" s="203">
        <v>45657</v>
      </c>
      <c r="F22" s="206">
        <v>146300</v>
      </c>
      <c r="G22" s="192"/>
      <c r="H22" s="192"/>
      <c r="I22" s="194" t="s">
        <v>2754</v>
      </c>
      <c r="J22" s="193" t="s">
        <v>2696</v>
      </c>
      <c r="K22" s="194" t="s">
        <v>2737</v>
      </c>
    </row>
    <row r="23" spans="1:11" ht="58.15" customHeight="1" x14ac:dyDescent="0.35">
      <c r="A23" s="192">
        <v>22</v>
      </c>
      <c r="B23" s="205" t="s">
        <v>2755</v>
      </c>
      <c r="C23" s="204" t="s">
        <v>2756</v>
      </c>
      <c r="D23" s="202" t="s">
        <v>2757</v>
      </c>
      <c r="E23" s="203">
        <v>45657</v>
      </c>
      <c r="F23" s="206">
        <f>1910100/7</f>
        <v>272871.42857142858</v>
      </c>
      <c r="G23" s="192"/>
      <c r="H23" s="192"/>
      <c r="I23" s="194" t="s">
        <v>2749</v>
      </c>
      <c r="J23" s="193" t="s">
        <v>2696</v>
      </c>
      <c r="K23" s="194" t="s">
        <v>2737</v>
      </c>
    </row>
    <row r="24" spans="1:11" ht="58.15" customHeight="1" x14ac:dyDescent="0.35">
      <c r="A24" s="192">
        <v>23</v>
      </c>
      <c r="B24" s="205" t="s">
        <v>2755</v>
      </c>
      <c r="C24" s="204" t="s">
        <v>2756</v>
      </c>
      <c r="D24" s="202" t="s">
        <v>2758</v>
      </c>
      <c r="E24" s="203">
        <v>45657</v>
      </c>
      <c r="F24" s="206">
        <f t="shared" ref="F24:F29" si="0">1910100/7</f>
        <v>272871.42857142858</v>
      </c>
      <c r="G24" s="192"/>
      <c r="H24" s="192"/>
      <c r="I24" s="194" t="s">
        <v>2749</v>
      </c>
      <c r="J24" s="193" t="s">
        <v>2696</v>
      </c>
      <c r="K24" s="194" t="s">
        <v>2737</v>
      </c>
    </row>
    <row r="25" spans="1:11" ht="58.15" customHeight="1" x14ac:dyDescent="0.35">
      <c r="A25" s="192">
        <v>24</v>
      </c>
      <c r="B25" s="205" t="s">
        <v>2755</v>
      </c>
      <c r="C25" s="204" t="s">
        <v>2756</v>
      </c>
      <c r="D25" s="202" t="s">
        <v>2759</v>
      </c>
      <c r="E25" s="203">
        <v>45657</v>
      </c>
      <c r="F25" s="206">
        <f t="shared" si="0"/>
        <v>272871.42857142858</v>
      </c>
      <c r="G25" s="192"/>
      <c r="H25" s="192"/>
      <c r="I25" s="194" t="s">
        <v>2749</v>
      </c>
      <c r="J25" s="193" t="s">
        <v>2696</v>
      </c>
      <c r="K25" s="194" t="s">
        <v>2737</v>
      </c>
    </row>
    <row r="26" spans="1:11" ht="58.15" customHeight="1" x14ac:dyDescent="0.35">
      <c r="A26" s="192">
        <v>25</v>
      </c>
      <c r="B26" s="205" t="s">
        <v>2755</v>
      </c>
      <c r="C26" s="204" t="s">
        <v>2756</v>
      </c>
      <c r="D26" s="202" t="s">
        <v>2760</v>
      </c>
      <c r="E26" s="203">
        <v>45657</v>
      </c>
      <c r="F26" s="206">
        <f t="shared" si="0"/>
        <v>272871.42857142858</v>
      </c>
      <c r="G26" s="192"/>
      <c r="H26" s="192"/>
      <c r="I26" s="194" t="s">
        <v>2749</v>
      </c>
      <c r="J26" s="193" t="s">
        <v>2696</v>
      </c>
      <c r="K26" s="194" t="s">
        <v>2737</v>
      </c>
    </row>
    <row r="27" spans="1:11" ht="58.15" customHeight="1" x14ac:dyDescent="0.35">
      <c r="A27" s="192">
        <v>26</v>
      </c>
      <c r="B27" s="205" t="s">
        <v>2755</v>
      </c>
      <c r="C27" s="204" t="s">
        <v>2756</v>
      </c>
      <c r="D27" s="202" t="s">
        <v>2761</v>
      </c>
      <c r="E27" s="203">
        <v>45657</v>
      </c>
      <c r="F27" s="206">
        <f t="shared" si="0"/>
        <v>272871.42857142858</v>
      </c>
      <c r="G27" s="192"/>
      <c r="H27" s="192"/>
      <c r="I27" s="194" t="s">
        <v>2749</v>
      </c>
      <c r="J27" s="193" t="s">
        <v>2696</v>
      </c>
      <c r="K27" s="194" t="s">
        <v>2737</v>
      </c>
    </row>
    <row r="28" spans="1:11" ht="58.15" customHeight="1" x14ac:dyDescent="0.35">
      <c r="A28" s="192">
        <v>27</v>
      </c>
      <c r="B28" s="205" t="s">
        <v>2755</v>
      </c>
      <c r="C28" s="204" t="s">
        <v>2756</v>
      </c>
      <c r="D28" s="202" t="s">
        <v>2762</v>
      </c>
      <c r="E28" s="203">
        <v>45657</v>
      </c>
      <c r="F28" s="206">
        <f t="shared" si="0"/>
        <v>272871.42857142858</v>
      </c>
      <c r="G28" s="192"/>
      <c r="H28" s="192"/>
      <c r="I28" s="194" t="s">
        <v>2749</v>
      </c>
      <c r="J28" s="193" t="s">
        <v>2696</v>
      </c>
      <c r="K28" s="194" t="s">
        <v>2737</v>
      </c>
    </row>
    <row r="29" spans="1:11" ht="58.15" customHeight="1" x14ac:dyDescent="0.35">
      <c r="A29" s="192">
        <v>28</v>
      </c>
      <c r="B29" s="205" t="s">
        <v>2755</v>
      </c>
      <c r="C29" s="204" t="s">
        <v>2756</v>
      </c>
      <c r="D29" s="202" t="s">
        <v>2763</v>
      </c>
      <c r="E29" s="203">
        <v>45657</v>
      </c>
      <c r="F29" s="206">
        <f t="shared" si="0"/>
        <v>272871.42857142858</v>
      </c>
      <c r="G29" s="192"/>
      <c r="H29" s="192"/>
      <c r="I29" s="194" t="s">
        <v>2749</v>
      </c>
      <c r="J29" s="193" t="s">
        <v>2696</v>
      </c>
      <c r="K29" s="194" t="s">
        <v>2737</v>
      </c>
    </row>
    <row r="30" spans="1:11" ht="58.15" customHeight="1" x14ac:dyDescent="0.35">
      <c r="A30" s="192">
        <v>29</v>
      </c>
      <c r="B30" s="205" t="s">
        <v>2764</v>
      </c>
      <c r="C30" s="204" t="s">
        <v>2765</v>
      </c>
      <c r="D30" s="202" t="s">
        <v>2766</v>
      </c>
      <c r="E30" s="203">
        <v>45657</v>
      </c>
      <c r="F30" s="206">
        <v>71800</v>
      </c>
      <c r="G30" s="192"/>
      <c r="H30" s="192"/>
      <c r="I30" s="194" t="s">
        <v>2767</v>
      </c>
      <c r="J30" s="193" t="s">
        <v>2696</v>
      </c>
      <c r="K30" s="194" t="s">
        <v>2737</v>
      </c>
    </row>
    <row r="31" spans="1:11" ht="58.15" customHeight="1" x14ac:dyDescent="0.35">
      <c r="A31" s="192">
        <v>30</v>
      </c>
      <c r="B31" s="205" t="s">
        <v>2768</v>
      </c>
      <c r="C31" s="204" t="s">
        <v>2769</v>
      </c>
      <c r="D31" s="202" t="s">
        <v>2770</v>
      </c>
      <c r="E31" s="203">
        <v>45657</v>
      </c>
      <c r="F31" s="206">
        <v>562800</v>
      </c>
      <c r="G31" s="192"/>
      <c r="H31" s="192"/>
      <c r="I31" s="194" t="s">
        <v>2749</v>
      </c>
      <c r="J31" s="193" t="s">
        <v>2696</v>
      </c>
      <c r="K31" s="194" t="s">
        <v>2737</v>
      </c>
    </row>
    <row r="32" spans="1:11" ht="58.15" customHeight="1" x14ac:dyDescent="0.35">
      <c r="A32" s="192">
        <v>31</v>
      </c>
      <c r="B32" s="205" t="s">
        <v>2773</v>
      </c>
      <c r="C32" s="204" t="s">
        <v>2774</v>
      </c>
      <c r="D32" s="202" t="s">
        <v>2775</v>
      </c>
      <c r="E32" s="203">
        <v>45657</v>
      </c>
      <c r="F32" s="206">
        <v>358300</v>
      </c>
      <c r="G32" s="192"/>
      <c r="H32" s="192"/>
      <c r="I32" s="194" t="s">
        <v>2772</v>
      </c>
      <c r="J32" s="193" t="s">
        <v>2696</v>
      </c>
      <c r="K32" s="194" t="s">
        <v>2737</v>
      </c>
    </row>
    <row r="33" spans="1:11" ht="58.15" customHeight="1" x14ac:dyDescent="0.35">
      <c r="A33" s="192">
        <v>32</v>
      </c>
      <c r="B33" s="205" t="s">
        <v>2776</v>
      </c>
      <c r="C33" s="204" t="s">
        <v>2777</v>
      </c>
      <c r="D33" s="202" t="s">
        <v>2778</v>
      </c>
      <c r="E33" s="203">
        <v>45657</v>
      </c>
      <c r="F33" s="206">
        <v>492900</v>
      </c>
      <c r="G33" s="192"/>
      <c r="H33" s="192"/>
      <c r="I33" s="194" t="s">
        <v>2772</v>
      </c>
      <c r="J33" s="193" t="s">
        <v>2696</v>
      </c>
      <c r="K33" s="194" t="s">
        <v>2737</v>
      </c>
    </row>
    <row r="34" spans="1:11" ht="58.15" customHeight="1" x14ac:dyDescent="0.35">
      <c r="A34" s="192">
        <v>33</v>
      </c>
      <c r="B34" s="205" t="s">
        <v>2780</v>
      </c>
      <c r="C34" s="204" t="s">
        <v>2781</v>
      </c>
      <c r="D34" s="202" t="s">
        <v>2782</v>
      </c>
      <c r="E34" s="203">
        <v>45657</v>
      </c>
      <c r="F34" s="206">
        <f>1374600/3</f>
        <v>458200</v>
      </c>
      <c r="G34" s="192"/>
      <c r="H34" s="192"/>
      <c r="I34" s="194" t="s">
        <v>2779</v>
      </c>
      <c r="J34" s="193" t="s">
        <v>2696</v>
      </c>
      <c r="K34" s="194" t="s">
        <v>2750</v>
      </c>
    </row>
    <row r="35" spans="1:11" ht="58.15" customHeight="1" x14ac:dyDescent="0.35">
      <c r="A35" s="192">
        <v>34</v>
      </c>
      <c r="B35" s="205" t="s">
        <v>2780</v>
      </c>
      <c r="C35" s="204" t="s">
        <v>2781</v>
      </c>
      <c r="D35" s="202" t="s">
        <v>2783</v>
      </c>
      <c r="E35" s="203">
        <v>45657</v>
      </c>
      <c r="F35" s="206">
        <f t="shared" ref="F35:F36" si="1">1374600/3</f>
        <v>458200</v>
      </c>
      <c r="G35" s="192"/>
      <c r="H35" s="192"/>
      <c r="I35" s="194" t="s">
        <v>2779</v>
      </c>
      <c r="J35" s="193" t="s">
        <v>2696</v>
      </c>
      <c r="K35" s="194" t="s">
        <v>2750</v>
      </c>
    </row>
    <row r="36" spans="1:11" ht="58.15" customHeight="1" x14ac:dyDescent="0.35">
      <c r="A36" s="192">
        <v>35</v>
      </c>
      <c r="B36" s="205" t="s">
        <v>2780</v>
      </c>
      <c r="C36" s="204" t="s">
        <v>2781</v>
      </c>
      <c r="D36" s="202" t="s">
        <v>2784</v>
      </c>
      <c r="E36" s="203">
        <v>45657</v>
      </c>
      <c r="F36" s="206">
        <f t="shared" si="1"/>
        <v>458200</v>
      </c>
      <c r="G36" s="192"/>
      <c r="H36" s="192"/>
      <c r="I36" s="194" t="s">
        <v>2779</v>
      </c>
      <c r="J36" s="193" t="s">
        <v>2696</v>
      </c>
      <c r="K36" s="194" t="s">
        <v>2750</v>
      </c>
    </row>
    <row r="37" spans="1:11" ht="58.15" customHeight="1" x14ac:dyDescent="0.35">
      <c r="A37" s="192">
        <v>36</v>
      </c>
      <c r="B37" s="205" t="s">
        <v>2785</v>
      </c>
      <c r="C37" s="204" t="s">
        <v>2786</v>
      </c>
      <c r="D37" s="202" t="s">
        <v>2787</v>
      </c>
      <c r="E37" s="203">
        <v>45657</v>
      </c>
      <c r="F37" s="206">
        <v>519300</v>
      </c>
      <c r="G37" s="192"/>
      <c r="H37" s="192"/>
      <c r="I37" s="194" t="s">
        <v>2754</v>
      </c>
      <c r="J37" s="193" t="s">
        <v>2696</v>
      </c>
      <c r="K37" s="194" t="s">
        <v>2737</v>
      </c>
    </row>
    <row r="38" spans="1:11" ht="58.15" customHeight="1" x14ac:dyDescent="0.35">
      <c r="A38" s="192">
        <v>37</v>
      </c>
      <c r="B38" s="205" t="s">
        <v>2788</v>
      </c>
      <c r="C38" s="204" t="s">
        <v>2789</v>
      </c>
      <c r="D38" s="202" t="s">
        <v>2790</v>
      </c>
      <c r="E38" s="203">
        <v>45657</v>
      </c>
      <c r="F38" s="206">
        <f>860300/3</f>
        <v>286766.66666666669</v>
      </c>
      <c r="G38" s="192"/>
      <c r="H38" s="192"/>
      <c r="I38" s="194" t="s">
        <v>2779</v>
      </c>
      <c r="J38" s="193" t="s">
        <v>2696</v>
      </c>
      <c r="K38" s="194" t="s">
        <v>2750</v>
      </c>
    </row>
    <row r="39" spans="1:11" ht="58.15" customHeight="1" x14ac:dyDescent="0.35">
      <c r="A39" s="192">
        <v>38</v>
      </c>
      <c r="B39" s="205" t="s">
        <v>2788</v>
      </c>
      <c r="C39" s="204" t="s">
        <v>2789</v>
      </c>
      <c r="D39" s="202" t="s">
        <v>2791</v>
      </c>
      <c r="E39" s="203">
        <v>45657</v>
      </c>
      <c r="F39" s="206">
        <f t="shared" ref="F39:F40" si="2">860300/3</f>
        <v>286766.66666666669</v>
      </c>
      <c r="G39" s="192"/>
      <c r="H39" s="192"/>
      <c r="I39" s="194" t="s">
        <v>2779</v>
      </c>
      <c r="J39" s="193" t="s">
        <v>2696</v>
      </c>
      <c r="K39" s="194" t="s">
        <v>2750</v>
      </c>
    </row>
    <row r="40" spans="1:11" ht="58.15" customHeight="1" x14ac:dyDescent="0.35">
      <c r="A40" s="192">
        <v>39</v>
      </c>
      <c r="B40" s="205" t="s">
        <v>2788</v>
      </c>
      <c r="C40" s="204" t="s">
        <v>2789</v>
      </c>
      <c r="D40" s="202" t="s">
        <v>2792</v>
      </c>
      <c r="E40" s="203">
        <v>45657</v>
      </c>
      <c r="F40" s="206">
        <f t="shared" si="2"/>
        <v>286766.66666666669</v>
      </c>
      <c r="G40" s="192"/>
      <c r="H40" s="192"/>
      <c r="I40" s="194" t="s">
        <v>2779</v>
      </c>
      <c r="J40" s="193" t="s">
        <v>2696</v>
      </c>
      <c r="K40" s="194" t="s">
        <v>2750</v>
      </c>
    </row>
    <row r="41" spans="1:11" ht="58.15" customHeight="1" x14ac:dyDescent="0.35">
      <c r="A41" s="192">
        <v>40</v>
      </c>
      <c r="B41" s="205" t="s">
        <v>2793</v>
      </c>
      <c r="C41" s="204" t="s">
        <v>2794</v>
      </c>
      <c r="D41" s="202" t="s">
        <v>2795</v>
      </c>
      <c r="E41" s="203">
        <v>45657</v>
      </c>
      <c r="F41" s="206">
        <v>305500</v>
      </c>
      <c r="G41" s="192"/>
      <c r="H41" s="192"/>
      <c r="I41" s="194" t="s">
        <v>2779</v>
      </c>
      <c r="J41" s="193" t="s">
        <v>2696</v>
      </c>
      <c r="K41" s="194" t="s">
        <v>2750</v>
      </c>
    </row>
    <row r="42" spans="1:11" ht="58.15" customHeight="1" x14ac:dyDescent="0.35">
      <c r="A42" s="192">
        <v>41</v>
      </c>
      <c r="B42" s="205" t="s">
        <v>2796</v>
      </c>
      <c r="C42" s="204" t="s">
        <v>2797</v>
      </c>
      <c r="D42" s="202" t="s">
        <v>2798</v>
      </c>
      <c r="E42" s="203">
        <v>45657</v>
      </c>
      <c r="F42" s="206">
        <v>202700</v>
      </c>
      <c r="G42" s="192"/>
      <c r="H42" s="192"/>
      <c r="I42" s="194" t="s">
        <v>2779</v>
      </c>
      <c r="J42" s="193" t="s">
        <v>2696</v>
      </c>
      <c r="K42" s="194" t="s">
        <v>2750</v>
      </c>
    </row>
    <row r="43" spans="1:11" ht="58.15" customHeight="1" x14ac:dyDescent="0.35">
      <c r="A43" s="192">
        <v>42</v>
      </c>
      <c r="B43" s="205" t="s">
        <v>2799</v>
      </c>
      <c r="C43" s="204" t="s">
        <v>2800</v>
      </c>
      <c r="D43" s="202" t="s">
        <v>2801</v>
      </c>
      <c r="E43" s="203">
        <v>45657</v>
      </c>
      <c r="F43" s="206">
        <v>621400</v>
      </c>
      <c r="G43" s="192"/>
      <c r="H43" s="192"/>
      <c r="I43" s="194" t="s">
        <v>2737</v>
      </c>
      <c r="J43" s="193" t="s">
        <v>2696</v>
      </c>
      <c r="K43" s="194" t="s">
        <v>2737</v>
      </c>
    </row>
    <row r="44" spans="1:11" ht="58.15" customHeight="1" x14ac:dyDescent="0.35">
      <c r="A44" s="192">
        <v>43</v>
      </c>
      <c r="B44" s="205" t="s">
        <v>2802</v>
      </c>
      <c r="C44" s="194" t="s">
        <v>2803</v>
      </c>
      <c r="D44" s="202" t="s">
        <v>2804</v>
      </c>
      <c r="E44" s="203">
        <v>45657</v>
      </c>
      <c r="F44" s="206">
        <v>113500</v>
      </c>
      <c r="G44" s="192"/>
      <c r="H44" s="192"/>
      <c r="I44" s="194" t="s">
        <v>2741</v>
      </c>
      <c r="J44" s="193" t="s">
        <v>2696</v>
      </c>
      <c r="K44" s="194" t="s">
        <v>2737</v>
      </c>
    </row>
    <row r="45" spans="1:11" ht="58.15" customHeight="1" x14ac:dyDescent="0.35">
      <c r="A45" s="192">
        <v>44</v>
      </c>
      <c r="B45" s="205" t="s">
        <v>2805</v>
      </c>
      <c r="C45" s="204" t="s">
        <v>2806</v>
      </c>
      <c r="D45" s="202" t="s">
        <v>2807</v>
      </c>
      <c r="E45" s="203">
        <v>45657</v>
      </c>
      <c r="F45" s="206">
        <v>293300</v>
      </c>
      <c r="G45" s="192"/>
      <c r="H45" s="192"/>
      <c r="I45" s="194" t="s">
        <v>2741</v>
      </c>
      <c r="J45" s="193" t="s">
        <v>2696</v>
      </c>
      <c r="K45" s="194" t="s">
        <v>2737</v>
      </c>
    </row>
    <row r="46" spans="1:11" ht="58.15" customHeight="1" x14ac:dyDescent="0.35">
      <c r="A46" s="192">
        <v>45</v>
      </c>
      <c r="B46" s="205" t="s">
        <v>2808</v>
      </c>
      <c r="C46" s="194" t="s">
        <v>2809</v>
      </c>
      <c r="D46" s="202" t="s">
        <v>2810</v>
      </c>
      <c r="E46" s="203">
        <v>45657</v>
      </c>
      <c r="F46" s="206">
        <v>404900</v>
      </c>
      <c r="G46" s="192"/>
      <c r="H46" s="192"/>
      <c r="I46" s="194" t="s">
        <v>2811</v>
      </c>
      <c r="J46" s="193" t="s">
        <v>2696</v>
      </c>
      <c r="K46" s="194" t="s">
        <v>2812</v>
      </c>
    </row>
    <row r="47" spans="1:11" ht="58.15" customHeight="1" x14ac:dyDescent="0.35">
      <c r="A47" s="192">
        <v>46</v>
      </c>
      <c r="B47" s="205" t="s">
        <v>2813</v>
      </c>
      <c r="C47" s="204" t="s">
        <v>2814</v>
      </c>
      <c r="D47" s="202" t="s">
        <v>2815</v>
      </c>
      <c r="E47" s="203">
        <v>45657</v>
      </c>
      <c r="F47" s="206">
        <v>164200</v>
      </c>
      <c r="G47" s="192"/>
      <c r="H47" s="192"/>
      <c r="I47" s="194" t="s">
        <v>2737</v>
      </c>
      <c r="J47" s="193" t="s">
        <v>2696</v>
      </c>
      <c r="K47" s="194" t="s">
        <v>2737</v>
      </c>
    </row>
    <row r="48" spans="1:11" ht="58.15" customHeight="1" x14ac:dyDescent="0.35">
      <c r="A48" s="192">
        <v>47</v>
      </c>
      <c r="B48" s="205" t="s">
        <v>2816</v>
      </c>
      <c r="C48" s="204" t="s">
        <v>2817</v>
      </c>
      <c r="D48" s="202" t="s">
        <v>2818</v>
      </c>
      <c r="E48" s="203">
        <v>45657</v>
      </c>
      <c r="F48" s="206">
        <v>353800</v>
      </c>
      <c r="G48" s="192"/>
      <c r="H48" s="192"/>
      <c r="I48" s="194" t="s">
        <v>2737</v>
      </c>
      <c r="J48" s="193" t="s">
        <v>2696</v>
      </c>
      <c r="K48" s="194" t="s">
        <v>2737</v>
      </c>
    </row>
    <row r="49" spans="1:11" ht="58.15" customHeight="1" x14ac:dyDescent="0.35">
      <c r="A49" s="192">
        <v>48</v>
      </c>
      <c r="B49" s="205" t="s">
        <v>2819</v>
      </c>
      <c r="C49" s="204" t="s">
        <v>2820</v>
      </c>
      <c r="D49" s="202" t="s">
        <v>2821</v>
      </c>
      <c r="E49" s="203">
        <v>45657</v>
      </c>
      <c r="F49" s="206">
        <v>361500</v>
      </c>
      <c r="G49" s="192"/>
      <c r="H49" s="192"/>
      <c r="I49" s="194" t="s">
        <v>2771</v>
      </c>
      <c r="J49" s="193" t="s">
        <v>2696</v>
      </c>
      <c r="K49" s="194" t="s">
        <v>2737</v>
      </c>
    </row>
    <row r="50" spans="1:11" ht="58.15" customHeight="1" x14ac:dyDescent="0.35">
      <c r="A50" s="192">
        <v>49</v>
      </c>
      <c r="B50" s="205" t="s">
        <v>2822</v>
      </c>
      <c r="C50" s="204" t="s">
        <v>2823</v>
      </c>
      <c r="D50" s="202" t="s">
        <v>2824</v>
      </c>
      <c r="E50" s="203">
        <v>45657</v>
      </c>
      <c r="F50" s="206">
        <v>352200</v>
      </c>
      <c r="G50" s="192"/>
      <c r="H50" s="192"/>
      <c r="I50" s="194" t="s">
        <v>2825</v>
      </c>
      <c r="J50" s="193" t="s">
        <v>2696</v>
      </c>
      <c r="K50" s="194" t="s">
        <v>2737</v>
      </c>
    </row>
    <row r="51" spans="1:11" ht="58.15" customHeight="1" x14ac:dyDescent="0.35">
      <c r="A51" s="192">
        <v>50</v>
      </c>
      <c r="B51" s="205" t="s">
        <v>2827</v>
      </c>
      <c r="C51" s="204" t="s">
        <v>2828</v>
      </c>
      <c r="D51" s="202" t="s">
        <v>2829</v>
      </c>
      <c r="E51" s="203">
        <v>45657</v>
      </c>
      <c r="F51" s="206">
        <f>945600/8</f>
        <v>118200</v>
      </c>
      <c r="G51" s="192"/>
      <c r="H51" s="192"/>
      <c r="I51" s="194" t="s">
        <v>2741</v>
      </c>
      <c r="J51" s="193" t="s">
        <v>2696</v>
      </c>
      <c r="K51" s="194" t="s">
        <v>2737</v>
      </c>
    </row>
    <row r="52" spans="1:11" ht="58.15" customHeight="1" x14ac:dyDescent="0.35">
      <c r="A52" s="192">
        <v>51</v>
      </c>
      <c r="B52" s="205" t="s">
        <v>2827</v>
      </c>
      <c r="C52" s="204" t="s">
        <v>2828</v>
      </c>
      <c r="D52" s="202" t="s">
        <v>2830</v>
      </c>
      <c r="E52" s="203">
        <v>45657</v>
      </c>
      <c r="F52" s="206">
        <f t="shared" ref="F52:F58" si="3">945600/8</f>
        <v>118200</v>
      </c>
      <c r="G52" s="192"/>
      <c r="H52" s="192"/>
      <c r="I52" s="194" t="s">
        <v>2741</v>
      </c>
      <c r="J52" s="193" t="s">
        <v>2696</v>
      </c>
      <c r="K52" s="194" t="s">
        <v>2737</v>
      </c>
    </row>
    <row r="53" spans="1:11" ht="58.15" customHeight="1" x14ac:dyDescent="0.35">
      <c r="A53" s="192">
        <v>52</v>
      </c>
      <c r="B53" s="205" t="s">
        <v>2827</v>
      </c>
      <c r="C53" s="204" t="s">
        <v>2828</v>
      </c>
      <c r="D53" s="202" t="s">
        <v>2831</v>
      </c>
      <c r="E53" s="203">
        <v>45657</v>
      </c>
      <c r="F53" s="206">
        <f t="shared" si="3"/>
        <v>118200</v>
      </c>
      <c r="G53" s="192"/>
      <c r="H53" s="192"/>
      <c r="I53" s="194" t="s">
        <v>2741</v>
      </c>
      <c r="J53" s="193" t="s">
        <v>2696</v>
      </c>
      <c r="K53" s="194" t="s">
        <v>2737</v>
      </c>
    </row>
    <row r="54" spans="1:11" ht="58.15" customHeight="1" x14ac:dyDescent="0.35">
      <c r="A54" s="192">
        <v>53</v>
      </c>
      <c r="B54" s="205" t="s">
        <v>2827</v>
      </c>
      <c r="C54" s="204" t="s">
        <v>2828</v>
      </c>
      <c r="D54" s="202" t="s">
        <v>2832</v>
      </c>
      <c r="E54" s="203">
        <v>45657</v>
      </c>
      <c r="F54" s="206">
        <f t="shared" si="3"/>
        <v>118200</v>
      </c>
      <c r="G54" s="192"/>
      <c r="H54" s="192"/>
      <c r="I54" s="194" t="s">
        <v>2741</v>
      </c>
      <c r="J54" s="193" t="s">
        <v>2696</v>
      </c>
      <c r="K54" s="194" t="s">
        <v>2737</v>
      </c>
    </row>
    <row r="55" spans="1:11" ht="58.15" customHeight="1" x14ac:dyDescent="0.35">
      <c r="A55" s="192">
        <v>54</v>
      </c>
      <c r="B55" s="205" t="s">
        <v>2827</v>
      </c>
      <c r="C55" s="204" t="s">
        <v>2828</v>
      </c>
      <c r="D55" s="202" t="s">
        <v>2833</v>
      </c>
      <c r="E55" s="203">
        <v>45657</v>
      </c>
      <c r="F55" s="206">
        <f t="shared" si="3"/>
        <v>118200</v>
      </c>
      <c r="G55" s="192"/>
      <c r="H55" s="192"/>
      <c r="I55" s="194" t="s">
        <v>2741</v>
      </c>
      <c r="J55" s="193" t="s">
        <v>2696</v>
      </c>
      <c r="K55" s="194" t="s">
        <v>2737</v>
      </c>
    </row>
    <row r="56" spans="1:11" ht="58.15" customHeight="1" x14ac:dyDescent="0.35">
      <c r="A56" s="192">
        <v>55</v>
      </c>
      <c r="B56" s="205" t="s">
        <v>2827</v>
      </c>
      <c r="C56" s="204" t="s">
        <v>2828</v>
      </c>
      <c r="D56" s="202" t="s">
        <v>2834</v>
      </c>
      <c r="E56" s="203">
        <v>45657</v>
      </c>
      <c r="F56" s="206">
        <f t="shared" si="3"/>
        <v>118200</v>
      </c>
      <c r="G56" s="192"/>
      <c r="H56" s="192"/>
      <c r="I56" s="194" t="s">
        <v>2741</v>
      </c>
      <c r="J56" s="193" t="s">
        <v>2696</v>
      </c>
      <c r="K56" s="194" t="s">
        <v>2737</v>
      </c>
    </row>
    <row r="57" spans="1:11" ht="58.15" customHeight="1" x14ac:dyDescent="0.35">
      <c r="A57" s="192">
        <v>56</v>
      </c>
      <c r="B57" s="205" t="s">
        <v>2827</v>
      </c>
      <c r="C57" s="204" t="s">
        <v>2828</v>
      </c>
      <c r="D57" s="202" t="s">
        <v>2835</v>
      </c>
      <c r="E57" s="203">
        <v>45657</v>
      </c>
      <c r="F57" s="206">
        <f t="shared" si="3"/>
        <v>118200</v>
      </c>
      <c r="G57" s="192"/>
      <c r="H57" s="192"/>
      <c r="I57" s="194" t="s">
        <v>2741</v>
      </c>
      <c r="J57" s="193" t="s">
        <v>2696</v>
      </c>
      <c r="K57" s="194" t="s">
        <v>2737</v>
      </c>
    </row>
    <row r="58" spans="1:11" ht="58.15" customHeight="1" x14ac:dyDescent="0.35">
      <c r="A58" s="192">
        <v>57</v>
      </c>
      <c r="B58" s="205" t="s">
        <v>2827</v>
      </c>
      <c r="C58" s="204" t="s">
        <v>2828</v>
      </c>
      <c r="D58" s="202" t="s">
        <v>2836</v>
      </c>
      <c r="E58" s="203">
        <v>45657</v>
      </c>
      <c r="F58" s="206">
        <f t="shared" si="3"/>
        <v>118200</v>
      </c>
      <c r="G58" s="192"/>
      <c r="H58" s="192"/>
      <c r="I58" s="194" t="s">
        <v>2741</v>
      </c>
      <c r="J58" s="193" t="s">
        <v>2696</v>
      </c>
      <c r="K58" s="194" t="s">
        <v>2737</v>
      </c>
    </row>
    <row r="59" spans="1:11" ht="58.15" customHeight="1" x14ac:dyDescent="0.35">
      <c r="A59" s="192">
        <v>58</v>
      </c>
      <c r="B59" s="205" t="s">
        <v>2837</v>
      </c>
      <c r="C59" s="204" t="s">
        <v>2838</v>
      </c>
      <c r="D59" s="202" t="s">
        <v>2839</v>
      </c>
      <c r="E59" s="203">
        <v>45657</v>
      </c>
      <c r="F59" s="206">
        <v>245300</v>
      </c>
      <c r="G59" s="192"/>
      <c r="H59" s="192"/>
      <c r="I59" s="194" t="s">
        <v>2737</v>
      </c>
      <c r="J59" s="193" t="s">
        <v>2696</v>
      </c>
      <c r="K59" s="194" t="s">
        <v>2737</v>
      </c>
    </row>
    <row r="60" spans="1:11" ht="58.15" customHeight="1" x14ac:dyDescent="0.35">
      <c r="A60" s="192">
        <v>59</v>
      </c>
      <c r="B60" s="205" t="s">
        <v>2840</v>
      </c>
      <c r="C60" s="204" t="s">
        <v>2841</v>
      </c>
      <c r="D60" s="202" t="s">
        <v>2842</v>
      </c>
      <c r="E60" s="203">
        <v>45657</v>
      </c>
      <c r="F60" s="206">
        <v>100700</v>
      </c>
      <c r="G60" s="192"/>
      <c r="H60" s="192"/>
      <c r="I60" s="194" t="s">
        <v>2843</v>
      </c>
      <c r="J60" s="193" t="s">
        <v>2696</v>
      </c>
      <c r="K60" s="194" t="s">
        <v>2737</v>
      </c>
    </row>
    <row r="61" spans="1:11" ht="58.15" customHeight="1" x14ac:dyDescent="0.35">
      <c r="A61" s="192">
        <v>60</v>
      </c>
      <c r="B61" s="205" t="s">
        <v>2844</v>
      </c>
      <c r="C61" s="204" t="s">
        <v>2845</v>
      </c>
      <c r="D61" s="202" t="s">
        <v>2846</v>
      </c>
      <c r="E61" s="203">
        <v>45657</v>
      </c>
      <c r="F61" s="206">
        <v>163100</v>
      </c>
      <c r="G61" s="192"/>
      <c r="H61" s="192"/>
      <c r="I61" s="194" t="s">
        <v>2847</v>
      </c>
      <c r="J61" s="193" t="s">
        <v>2696</v>
      </c>
      <c r="K61" s="194" t="s">
        <v>2737</v>
      </c>
    </row>
    <row r="62" spans="1:11" ht="58.15" customHeight="1" x14ac:dyDescent="0.35">
      <c r="A62" s="192">
        <v>61</v>
      </c>
      <c r="B62" s="205" t="s">
        <v>2848</v>
      </c>
      <c r="C62" s="204" t="s">
        <v>2849</v>
      </c>
      <c r="D62" s="202" t="s">
        <v>2850</v>
      </c>
      <c r="E62" s="203">
        <v>45657</v>
      </c>
      <c r="F62" s="206">
        <v>209600</v>
      </c>
      <c r="G62" s="192"/>
      <c r="H62" s="192"/>
      <c r="I62" s="194" t="s">
        <v>2847</v>
      </c>
      <c r="J62" s="193" t="s">
        <v>2696</v>
      </c>
      <c r="K62" s="194" t="s">
        <v>2737</v>
      </c>
    </row>
    <row r="63" spans="1:11" ht="58.15" customHeight="1" x14ac:dyDescent="0.35">
      <c r="A63" s="192">
        <v>62</v>
      </c>
      <c r="B63" s="205" t="s">
        <v>2851</v>
      </c>
      <c r="C63" s="204" t="s">
        <v>2852</v>
      </c>
      <c r="D63" s="202" t="s">
        <v>2853</v>
      </c>
      <c r="E63" s="203">
        <v>45657</v>
      </c>
      <c r="F63" s="206">
        <v>166600</v>
      </c>
      <c r="G63" s="192"/>
      <c r="H63" s="192"/>
      <c r="I63" s="194" t="s">
        <v>2741</v>
      </c>
      <c r="J63" s="193" t="s">
        <v>2696</v>
      </c>
      <c r="K63" s="194" t="s">
        <v>2737</v>
      </c>
    </row>
    <row r="64" spans="1:11" ht="58.15" customHeight="1" x14ac:dyDescent="0.35">
      <c r="A64" s="192">
        <v>63</v>
      </c>
      <c r="B64" s="207" t="s">
        <v>2854</v>
      </c>
      <c r="C64" s="194" t="s">
        <v>2855</v>
      </c>
      <c r="D64" s="202" t="s">
        <v>2856</v>
      </c>
      <c r="E64" s="203">
        <v>45657</v>
      </c>
      <c r="F64" s="206">
        <v>609000</v>
      </c>
      <c r="G64" s="192"/>
      <c r="H64" s="192"/>
      <c r="I64" s="194" t="s">
        <v>2826</v>
      </c>
      <c r="J64" s="193" t="s">
        <v>2696</v>
      </c>
      <c r="K64" s="194" t="s">
        <v>2737</v>
      </c>
    </row>
    <row r="65" spans="1:11" ht="58.15" customHeight="1" x14ac:dyDescent="0.35">
      <c r="A65" s="192">
        <v>64</v>
      </c>
      <c r="B65" s="205" t="s">
        <v>2857</v>
      </c>
      <c r="C65" s="193"/>
      <c r="D65" s="202" t="s">
        <v>2692</v>
      </c>
      <c r="E65" s="203">
        <v>45657</v>
      </c>
      <c r="F65" s="206">
        <v>3853600</v>
      </c>
      <c r="G65" s="192"/>
      <c r="H65" s="192"/>
      <c r="I65" s="194"/>
      <c r="J65" s="193" t="s">
        <v>2696</v>
      </c>
      <c r="K65" s="194"/>
    </row>
    <row r="66" spans="1:11" ht="58.15" customHeight="1" x14ac:dyDescent="0.35">
      <c r="A66" s="192">
        <v>65</v>
      </c>
      <c r="B66" s="205" t="s">
        <v>2858</v>
      </c>
      <c r="C66" s="193"/>
      <c r="D66" s="202" t="s">
        <v>2692</v>
      </c>
      <c r="E66" s="203">
        <v>45657</v>
      </c>
      <c r="F66" s="206">
        <v>6749800</v>
      </c>
      <c r="G66" s="192"/>
      <c r="H66" s="192"/>
      <c r="I66" s="194"/>
      <c r="J66" s="193" t="s">
        <v>2696</v>
      </c>
      <c r="K66" s="194"/>
    </row>
    <row r="67" spans="1:11" ht="58.15" customHeight="1" x14ac:dyDescent="0.25">
      <c r="A67" s="192">
        <v>66</v>
      </c>
      <c r="B67" s="205" t="s">
        <v>2859</v>
      </c>
      <c r="C67" s="193" t="s">
        <v>2860</v>
      </c>
      <c r="D67" s="202" t="s">
        <v>2861</v>
      </c>
      <c r="E67" s="203">
        <v>45657</v>
      </c>
      <c r="F67" s="196">
        <v>555500</v>
      </c>
      <c r="G67" s="192"/>
      <c r="H67" s="192"/>
      <c r="I67" s="194" t="s">
        <v>2862</v>
      </c>
      <c r="J67" s="193" t="s">
        <v>2707</v>
      </c>
      <c r="K67" s="194" t="s">
        <v>2863</v>
      </c>
    </row>
    <row r="68" spans="1:11" ht="58.15" customHeight="1" x14ac:dyDescent="0.25">
      <c r="A68" s="192">
        <v>67</v>
      </c>
      <c r="B68" s="205" t="s">
        <v>2864</v>
      </c>
      <c r="C68" s="193" t="s">
        <v>2865</v>
      </c>
      <c r="D68" s="202" t="s">
        <v>2866</v>
      </c>
      <c r="E68" s="203">
        <v>45657</v>
      </c>
      <c r="F68" s="196">
        <v>202100</v>
      </c>
      <c r="G68" s="192"/>
      <c r="H68" s="192"/>
      <c r="I68" s="194" t="s">
        <v>2867</v>
      </c>
      <c r="J68" s="193" t="s">
        <v>2707</v>
      </c>
      <c r="K68" s="194" t="s">
        <v>2695</v>
      </c>
    </row>
    <row r="69" spans="1:11" ht="58.15" customHeight="1" x14ac:dyDescent="0.25">
      <c r="A69" s="192">
        <v>68</v>
      </c>
      <c r="B69" s="205" t="s">
        <v>2868</v>
      </c>
      <c r="C69" s="193" t="s">
        <v>2869</v>
      </c>
      <c r="D69" s="202" t="s">
        <v>2870</v>
      </c>
      <c r="E69" s="203">
        <v>45657</v>
      </c>
      <c r="F69" s="196">
        <v>549200</v>
      </c>
      <c r="G69" s="192"/>
      <c r="H69" s="192"/>
      <c r="I69" s="194" t="s">
        <v>2871</v>
      </c>
      <c r="J69" s="193" t="s">
        <v>2707</v>
      </c>
      <c r="K69" s="194" t="s">
        <v>1292</v>
      </c>
    </row>
    <row r="70" spans="1:11" ht="58.15" customHeight="1" x14ac:dyDescent="0.25">
      <c r="A70" s="192">
        <v>69</v>
      </c>
      <c r="B70" s="205" t="s">
        <v>2872</v>
      </c>
      <c r="C70" s="193" t="s">
        <v>2873</v>
      </c>
      <c r="D70" s="202" t="s">
        <v>2874</v>
      </c>
      <c r="E70" s="203">
        <v>45657</v>
      </c>
      <c r="F70" s="196">
        <v>212500</v>
      </c>
      <c r="G70" s="192"/>
      <c r="H70" s="192"/>
      <c r="I70" s="194" t="s">
        <v>2867</v>
      </c>
      <c r="J70" s="193" t="s">
        <v>2707</v>
      </c>
      <c r="K70" s="194" t="s">
        <v>2695</v>
      </c>
    </row>
    <row r="71" spans="1:11" ht="58.15" customHeight="1" x14ac:dyDescent="0.25">
      <c r="A71" s="192">
        <v>70</v>
      </c>
      <c r="B71" s="205" t="s">
        <v>2875</v>
      </c>
      <c r="C71" s="193" t="s">
        <v>2876</v>
      </c>
      <c r="D71" s="202" t="s">
        <v>2877</v>
      </c>
      <c r="E71" s="203">
        <v>45657</v>
      </c>
      <c r="F71" s="196">
        <v>126600</v>
      </c>
      <c r="G71" s="192"/>
      <c r="H71" s="192"/>
      <c r="I71" s="194" t="s">
        <v>2721</v>
      </c>
      <c r="J71" s="193" t="s">
        <v>2707</v>
      </c>
      <c r="K71" s="194" t="s">
        <v>2707</v>
      </c>
    </row>
    <row r="72" spans="1:11" ht="58.15" customHeight="1" x14ac:dyDescent="0.25">
      <c r="A72" s="192">
        <v>71</v>
      </c>
      <c r="B72" s="205" t="s">
        <v>2878</v>
      </c>
      <c r="C72" s="193" t="s">
        <v>2879</v>
      </c>
      <c r="D72" s="202" t="s">
        <v>2880</v>
      </c>
      <c r="E72" s="203">
        <v>45657</v>
      </c>
      <c r="F72" s="196">
        <v>580900</v>
      </c>
      <c r="G72" s="192"/>
      <c r="H72" s="192"/>
      <c r="I72" s="194"/>
      <c r="J72" s="193" t="s">
        <v>2707</v>
      </c>
      <c r="K72" s="194"/>
    </row>
    <row r="73" spans="1:11" ht="58.15" customHeight="1" x14ac:dyDescent="0.25">
      <c r="A73" s="192">
        <v>72</v>
      </c>
      <c r="B73" s="205" t="s">
        <v>2881</v>
      </c>
      <c r="C73" s="193" t="s">
        <v>2882</v>
      </c>
      <c r="D73" s="202" t="s">
        <v>2883</v>
      </c>
      <c r="E73" s="203">
        <v>45657</v>
      </c>
      <c r="F73" s="196">
        <v>503400</v>
      </c>
      <c r="G73" s="192"/>
      <c r="H73" s="192"/>
      <c r="I73" s="194"/>
      <c r="J73" s="193" t="s">
        <v>2707</v>
      </c>
      <c r="K73" s="194"/>
    </row>
    <row r="74" spans="1:11" ht="58.15" customHeight="1" x14ac:dyDescent="0.25">
      <c r="A74" s="192">
        <v>73</v>
      </c>
      <c r="B74" s="205" t="s">
        <v>2886</v>
      </c>
      <c r="C74" s="193" t="s">
        <v>2887</v>
      </c>
      <c r="D74" s="202" t="s">
        <v>2888</v>
      </c>
      <c r="E74" s="203">
        <v>45657</v>
      </c>
      <c r="F74" s="196">
        <v>388800</v>
      </c>
      <c r="G74" s="192"/>
      <c r="H74" s="192"/>
      <c r="I74" s="194" t="s">
        <v>2884</v>
      </c>
      <c r="J74" s="193" t="s">
        <v>2707</v>
      </c>
      <c r="K74" s="194" t="s">
        <v>2885</v>
      </c>
    </row>
    <row r="75" spans="1:11" ht="58.15" customHeight="1" x14ac:dyDescent="0.25">
      <c r="A75" s="192">
        <v>74</v>
      </c>
      <c r="B75" s="205" t="s">
        <v>2889</v>
      </c>
      <c r="C75" s="193" t="s">
        <v>2890</v>
      </c>
      <c r="D75" s="202" t="s">
        <v>2891</v>
      </c>
      <c r="E75" s="203">
        <v>45657</v>
      </c>
      <c r="F75" s="196">
        <v>472100</v>
      </c>
      <c r="G75" s="192"/>
      <c r="H75" s="192"/>
      <c r="I75" s="194" t="s">
        <v>2892</v>
      </c>
      <c r="J75" s="193" t="s">
        <v>2707</v>
      </c>
      <c r="K75" s="194" t="s">
        <v>2706</v>
      </c>
    </row>
    <row r="76" spans="1:11" ht="58.15" customHeight="1" x14ac:dyDescent="0.25">
      <c r="A76" s="192">
        <v>75</v>
      </c>
      <c r="B76" s="205" t="s">
        <v>2893</v>
      </c>
      <c r="C76" s="193" t="s">
        <v>2894</v>
      </c>
      <c r="D76" s="202" t="s">
        <v>2895</v>
      </c>
      <c r="E76" s="203">
        <v>45657</v>
      </c>
      <c r="F76" s="196">
        <v>388800</v>
      </c>
      <c r="G76" s="192"/>
      <c r="H76" s="192"/>
      <c r="I76" s="194" t="s">
        <v>2884</v>
      </c>
      <c r="J76" s="193" t="s">
        <v>2707</v>
      </c>
      <c r="K76" s="194" t="s">
        <v>2896</v>
      </c>
    </row>
    <row r="77" spans="1:11" ht="58.15" customHeight="1" x14ac:dyDescent="0.25">
      <c r="A77" s="192">
        <v>76</v>
      </c>
      <c r="B77" s="205" t="s">
        <v>2897</v>
      </c>
      <c r="C77" s="193" t="s">
        <v>2898</v>
      </c>
      <c r="D77" s="202" t="s">
        <v>2899</v>
      </c>
      <c r="E77" s="203">
        <v>45657</v>
      </c>
      <c r="F77" s="196">
        <v>562500</v>
      </c>
      <c r="G77" s="192"/>
      <c r="H77" s="192"/>
      <c r="I77" s="194" t="s">
        <v>2867</v>
      </c>
      <c r="J77" s="193" t="s">
        <v>2707</v>
      </c>
      <c r="K77" s="194" t="s">
        <v>2707</v>
      </c>
    </row>
    <row r="78" spans="1:11" ht="58.15" customHeight="1" x14ac:dyDescent="0.25">
      <c r="A78" s="192">
        <v>77</v>
      </c>
      <c r="B78" s="205" t="s">
        <v>2900</v>
      </c>
      <c r="C78" s="193" t="s">
        <v>2901</v>
      </c>
      <c r="D78" s="202" t="s">
        <v>2902</v>
      </c>
      <c r="E78" s="203">
        <v>45657</v>
      </c>
      <c r="F78" s="196">
        <v>416500</v>
      </c>
      <c r="G78" s="192"/>
      <c r="H78" s="192"/>
      <c r="I78" s="194" t="s">
        <v>2903</v>
      </c>
      <c r="J78" s="193" t="s">
        <v>2707</v>
      </c>
      <c r="K78" s="194" t="s">
        <v>2904</v>
      </c>
    </row>
    <row r="79" spans="1:11" ht="58.15" customHeight="1" x14ac:dyDescent="0.25">
      <c r="A79" s="192">
        <v>78</v>
      </c>
      <c r="B79" s="205" t="s">
        <v>2905</v>
      </c>
      <c r="C79" s="193" t="s">
        <v>2906</v>
      </c>
      <c r="D79" s="202" t="s">
        <v>2907</v>
      </c>
      <c r="E79" s="203">
        <v>45657</v>
      </c>
      <c r="F79" s="196">
        <v>533100</v>
      </c>
      <c r="G79" s="192"/>
      <c r="H79" s="192"/>
      <c r="I79" s="194" t="s">
        <v>2908</v>
      </c>
      <c r="J79" s="193" t="s">
        <v>2707</v>
      </c>
      <c r="K79" s="194" t="s">
        <v>2909</v>
      </c>
    </row>
    <row r="80" spans="1:11" ht="58.15" customHeight="1" x14ac:dyDescent="0.25">
      <c r="A80" s="192">
        <v>79</v>
      </c>
      <c r="B80" s="205" t="s">
        <v>2911</v>
      </c>
      <c r="C80" s="193" t="s">
        <v>2912</v>
      </c>
      <c r="D80" s="202" t="s">
        <v>2913</v>
      </c>
      <c r="E80" s="203">
        <v>45657</v>
      </c>
      <c r="F80" s="196">
        <v>533100</v>
      </c>
      <c r="G80" s="192"/>
      <c r="H80" s="192"/>
      <c r="I80" s="194"/>
      <c r="J80" s="193" t="s">
        <v>2707</v>
      </c>
      <c r="K80" s="194"/>
    </row>
    <row r="81" spans="1:11" ht="58.15" customHeight="1" x14ac:dyDescent="0.25">
      <c r="A81" s="192">
        <v>80</v>
      </c>
      <c r="B81" s="205" t="s">
        <v>2917</v>
      </c>
      <c r="C81" s="193"/>
      <c r="D81" s="202" t="s">
        <v>2692</v>
      </c>
      <c r="E81" s="203">
        <v>45657</v>
      </c>
      <c r="F81" s="196">
        <v>1101700</v>
      </c>
      <c r="G81" s="192"/>
      <c r="H81" s="192"/>
      <c r="I81" s="194" t="s">
        <v>2916</v>
      </c>
      <c r="J81" s="193" t="s">
        <v>2707</v>
      </c>
      <c r="K81" s="194" t="s">
        <v>2706</v>
      </c>
    </row>
    <row r="82" spans="1:11" ht="58.15" customHeight="1" x14ac:dyDescent="0.25">
      <c r="A82" s="192">
        <v>81</v>
      </c>
      <c r="B82" s="205" t="s">
        <v>2918</v>
      </c>
      <c r="C82" s="193"/>
      <c r="D82" s="202" t="s">
        <v>2692</v>
      </c>
      <c r="E82" s="203">
        <v>45657</v>
      </c>
      <c r="F82" s="196">
        <v>1107500</v>
      </c>
      <c r="G82" s="192"/>
      <c r="H82" s="192"/>
      <c r="I82" s="194" t="s">
        <v>2916</v>
      </c>
      <c r="J82" s="193" t="s">
        <v>2707</v>
      </c>
      <c r="K82" s="194" t="s">
        <v>2706</v>
      </c>
    </row>
    <row r="83" spans="1:11" ht="58.15" customHeight="1" x14ac:dyDescent="0.25">
      <c r="A83" s="192">
        <v>82</v>
      </c>
      <c r="B83" s="205" t="s">
        <v>2919</v>
      </c>
      <c r="C83" s="193"/>
      <c r="D83" s="202" t="s">
        <v>2692</v>
      </c>
      <c r="E83" s="203">
        <v>45657</v>
      </c>
      <c r="F83" s="196">
        <v>2345100</v>
      </c>
      <c r="G83" s="192"/>
      <c r="H83" s="192"/>
      <c r="I83" s="194" t="s">
        <v>2920</v>
      </c>
      <c r="J83" s="193" t="s">
        <v>2707</v>
      </c>
      <c r="K83" s="194" t="s">
        <v>2863</v>
      </c>
    </row>
    <row r="84" spans="1:11" ht="58.15" customHeight="1" x14ac:dyDescent="0.25">
      <c r="A84" s="192">
        <v>83</v>
      </c>
      <c r="B84" s="205" t="s">
        <v>2921</v>
      </c>
      <c r="C84" s="193"/>
      <c r="D84" s="202" t="s">
        <v>2692</v>
      </c>
      <c r="E84" s="203">
        <v>45657</v>
      </c>
      <c r="F84" s="196">
        <v>1591200</v>
      </c>
      <c r="G84" s="192"/>
      <c r="H84" s="192"/>
      <c r="I84" s="194"/>
      <c r="J84" s="193" t="s">
        <v>2707</v>
      </c>
      <c r="K84" s="194"/>
    </row>
    <row r="85" spans="1:11" ht="58.15" customHeight="1" x14ac:dyDescent="0.25">
      <c r="A85" s="192">
        <v>84</v>
      </c>
      <c r="B85" s="205" t="s">
        <v>2922</v>
      </c>
      <c r="C85" s="193"/>
      <c r="D85" s="202" t="s">
        <v>2692</v>
      </c>
      <c r="E85" s="203">
        <v>45657</v>
      </c>
      <c r="F85" s="196">
        <v>14382600</v>
      </c>
      <c r="G85" s="192"/>
      <c r="H85" s="192"/>
      <c r="I85" s="194" t="s">
        <v>2923</v>
      </c>
      <c r="J85" s="193" t="s">
        <v>2707</v>
      </c>
      <c r="K85" s="194" t="s">
        <v>2707</v>
      </c>
    </row>
    <row r="86" spans="1:11" ht="58.15" customHeight="1" x14ac:dyDescent="0.25">
      <c r="A86" s="192">
        <v>85</v>
      </c>
      <c r="B86" s="205" t="s">
        <v>2927</v>
      </c>
      <c r="C86" s="193" t="s">
        <v>2928</v>
      </c>
      <c r="D86" s="202" t="s">
        <v>2929</v>
      </c>
      <c r="E86" s="203">
        <v>45657</v>
      </c>
      <c r="F86" s="196">
        <v>234400</v>
      </c>
      <c r="G86" s="192"/>
      <c r="H86" s="192"/>
      <c r="I86" s="194" t="s">
        <v>1563</v>
      </c>
      <c r="J86" s="193" t="s">
        <v>1115</v>
      </c>
      <c r="K86" s="194" t="s">
        <v>867</v>
      </c>
    </row>
    <row r="87" spans="1:11" ht="58.15" customHeight="1" x14ac:dyDescent="0.25">
      <c r="A87" s="192">
        <v>86</v>
      </c>
      <c r="B87" s="205" t="s">
        <v>2930</v>
      </c>
      <c r="C87" s="193" t="s">
        <v>2931</v>
      </c>
      <c r="D87" s="202" t="s">
        <v>2932</v>
      </c>
      <c r="E87" s="203">
        <v>45657</v>
      </c>
      <c r="F87" s="196">
        <v>30700</v>
      </c>
      <c r="G87" s="192"/>
      <c r="H87" s="192"/>
      <c r="I87" s="194" t="s">
        <v>2933</v>
      </c>
      <c r="J87" s="193" t="s">
        <v>1115</v>
      </c>
      <c r="K87" s="194" t="s">
        <v>867</v>
      </c>
    </row>
    <row r="88" spans="1:11" ht="58.15" customHeight="1" x14ac:dyDescent="0.25">
      <c r="A88" s="192">
        <v>87</v>
      </c>
      <c r="B88" s="205" t="s">
        <v>2930</v>
      </c>
      <c r="C88" s="193" t="s">
        <v>2934</v>
      </c>
      <c r="D88" s="202" t="s">
        <v>2935</v>
      </c>
      <c r="E88" s="203">
        <v>45657</v>
      </c>
      <c r="F88" s="196">
        <v>107500</v>
      </c>
      <c r="G88" s="192"/>
      <c r="H88" s="192"/>
      <c r="I88" s="194" t="s">
        <v>1563</v>
      </c>
      <c r="J88" s="193" t="s">
        <v>1115</v>
      </c>
      <c r="K88" s="194" t="s">
        <v>867</v>
      </c>
    </row>
    <row r="89" spans="1:11" ht="58.15" customHeight="1" x14ac:dyDescent="0.25">
      <c r="A89" s="192">
        <v>88</v>
      </c>
      <c r="B89" s="205" t="s">
        <v>2927</v>
      </c>
      <c r="C89" s="193" t="s">
        <v>2936</v>
      </c>
      <c r="D89" s="202" t="s">
        <v>2937</v>
      </c>
      <c r="E89" s="203">
        <v>45657</v>
      </c>
      <c r="F89" s="196">
        <v>223300</v>
      </c>
      <c r="G89" s="192"/>
      <c r="H89" s="192"/>
      <c r="I89" s="194" t="s">
        <v>1563</v>
      </c>
      <c r="J89" s="193" t="s">
        <v>1115</v>
      </c>
      <c r="K89" s="194" t="s">
        <v>867</v>
      </c>
    </row>
    <row r="90" spans="1:11" ht="58.15" customHeight="1" x14ac:dyDescent="0.25">
      <c r="A90" s="192">
        <v>89</v>
      </c>
      <c r="B90" s="205" t="s">
        <v>2938</v>
      </c>
      <c r="C90" s="193" t="s">
        <v>2939</v>
      </c>
      <c r="D90" s="202" t="s">
        <v>2940</v>
      </c>
      <c r="E90" s="203">
        <v>45657</v>
      </c>
      <c r="F90" s="196">
        <v>33100</v>
      </c>
      <c r="G90" s="192"/>
      <c r="H90" s="192"/>
      <c r="I90" s="194" t="s">
        <v>2941</v>
      </c>
      <c r="J90" s="193" t="s">
        <v>1115</v>
      </c>
      <c r="K90" s="194" t="s">
        <v>867</v>
      </c>
    </row>
    <row r="91" spans="1:11" ht="58.15" customHeight="1" x14ac:dyDescent="0.25">
      <c r="A91" s="192">
        <v>90</v>
      </c>
      <c r="B91" s="205" t="s">
        <v>2942</v>
      </c>
      <c r="C91" s="193" t="s">
        <v>2943</v>
      </c>
      <c r="D91" s="202" t="s">
        <v>2944</v>
      </c>
      <c r="E91" s="203">
        <v>45657</v>
      </c>
      <c r="F91" s="196">
        <v>101900</v>
      </c>
      <c r="G91" s="192"/>
      <c r="H91" s="192"/>
      <c r="I91" s="194" t="s">
        <v>2945</v>
      </c>
      <c r="J91" s="193" t="s">
        <v>1115</v>
      </c>
      <c r="K91" s="194" t="s">
        <v>867</v>
      </c>
    </row>
    <row r="92" spans="1:11" ht="58.15" customHeight="1" x14ac:dyDescent="0.25">
      <c r="A92" s="192">
        <v>91</v>
      </c>
      <c r="B92" s="205" t="s">
        <v>2946</v>
      </c>
      <c r="C92" s="193" t="s">
        <v>2947</v>
      </c>
      <c r="D92" s="202" t="s">
        <v>2948</v>
      </c>
      <c r="E92" s="203">
        <v>45657</v>
      </c>
      <c r="F92" s="196">
        <v>240000</v>
      </c>
      <c r="G92" s="192"/>
      <c r="H92" s="192"/>
      <c r="I92" s="194" t="s">
        <v>2949</v>
      </c>
      <c r="J92" s="193" t="s">
        <v>1115</v>
      </c>
      <c r="K92" s="194" t="s">
        <v>867</v>
      </c>
    </row>
    <row r="93" spans="1:11" ht="58.15" customHeight="1" x14ac:dyDescent="0.25">
      <c r="A93" s="192">
        <v>92</v>
      </c>
      <c r="B93" s="205" t="s">
        <v>2950</v>
      </c>
      <c r="C93" s="193" t="s">
        <v>2951</v>
      </c>
      <c r="D93" s="202" t="s">
        <v>2952</v>
      </c>
      <c r="E93" s="203">
        <v>45657</v>
      </c>
      <c r="F93" s="196">
        <v>30600</v>
      </c>
      <c r="G93" s="192"/>
      <c r="H93" s="192"/>
      <c r="I93" s="194" t="s">
        <v>2949</v>
      </c>
      <c r="J93" s="193" t="s">
        <v>1115</v>
      </c>
      <c r="K93" s="194" t="s">
        <v>867</v>
      </c>
    </row>
    <row r="94" spans="1:11" ht="58.15" customHeight="1" x14ac:dyDescent="0.25">
      <c r="A94" s="192">
        <v>93</v>
      </c>
      <c r="B94" s="205" t="s">
        <v>2953</v>
      </c>
      <c r="C94" s="193" t="s">
        <v>2954</v>
      </c>
      <c r="D94" s="202" t="s">
        <v>2955</v>
      </c>
      <c r="E94" s="203">
        <v>45657</v>
      </c>
      <c r="F94" s="196">
        <v>69900</v>
      </c>
      <c r="G94" s="192"/>
      <c r="H94" s="192"/>
      <c r="I94" s="194" t="s">
        <v>2949</v>
      </c>
      <c r="J94" s="193" t="s">
        <v>1115</v>
      </c>
      <c r="K94" s="194" t="s">
        <v>867</v>
      </c>
    </row>
    <row r="95" spans="1:11" ht="58.15" customHeight="1" x14ac:dyDescent="0.25">
      <c r="A95" s="192">
        <v>94</v>
      </c>
      <c r="B95" s="205" t="s">
        <v>2956</v>
      </c>
      <c r="C95" s="193" t="s">
        <v>2957</v>
      </c>
      <c r="D95" s="202" t="s">
        <v>2958</v>
      </c>
      <c r="E95" s="203">
        <v>45657</v>
      </c>
      <c r="F95" s="196">
        <v>473300</v>
      </c>
      <c r="G95" s="192"/>
      <c r="H95" s="192"/>
      <c r="I95" s="194" t="s">
        <v>2959</v>
      </c>
      <c r="J95" s="193" t="s">
        <v>1115</v>
      </c>
      <c r="K95" s="194" t="s">
        <v>867</v>
      </c>
    </row>
    <row r="96" spans="1:11" ht="58.15" customHeight="1" x14ac:dyDescent="0.25">
      <c r="A96" s="192">
        <v>95</v>
      </c>
      <c r="B96" s="205" t="s">
        <v>2960</v>
      </c>
      <c r="C96" s="193" t="s">
        <v>2961</v>
      </c>
      <c r="D96" s="202" t="s">
        <v>2962</v>
      </c>
      <c r="E96" s="203">
        <v>45657</v>
      </c>
      <c r="F96" s="196">
        <v>184600</v>
      </c>
      <c r="G96" s="192"/>
      <c r="H96" s="192"/>
      <c r="I96" s="194" t="s">
        <v>2941</v>
      </c>
      <c r="J96" s="193" t="s">
        <v>1115</v>
      </c>
      <c r="K96" s="194" t="s">
        <v>867</v>
      </c>
    </row>
    <row r="97" spans="1:11" ht="58.15" customHeight="1" x14ac:dyDescent="0.25">
      <c r="A97" s="192">
        <v>96</v>
      </c>
      <c r="B97" s="205" t="s">
        <v>2963</v>
      </c>
      <c r="C97" s="193" t="s">
        <v>2964</v>
      </c>
      <c r="D97" s="202" t="s">
        <v>2965</v>
      </c>
      <c r="E97" s="203">
        <v>45657</v>
      </c>
      <c r="F97" s="196">
        <v>62800</v>
      </c>
      <c r="G97" s="192"/>
      <c r="H97" s="192"/>
      <c r="I97" s="194" t="s">
        <v>2287</v>
      </c>
      <c r="J97" s="193" t="s">
        <v>1115</v>
      </c>
      <c r="K97" s="194" t="s">
        <v>867</v>
      </c>
    </row>
    <row r="98" spans="1:11" ht="58.15" customHeight="1" x14ac:dyDescent="0.25">
      <c r="A98" s="192">
        <v>97</v>
      </c>
      <c r="B98" s="205" t="s">
        <v>2966</v>
      </c>
      <c r="C98" s="193" t="s">
        <v>2967</v>
      </c>
      <c r="D98" s="202" t="s">
        <v>2968</v>
      </c>
      <c r="E98" s="203">
        <v>45657</v>
      </c>
      <c r="F98" s="196">
        <v>16700</v>
      </c>
      <c r="G98" s="192"/>
      <c r="H98" s="192"/>
      <c r="I98" s="194" t="s">
        <v>2969</v>
      </c>
      <c r="J98" s="193" t="s">
        <v>1115</v>
      </c>
      <c r="K98" s="194" t="s">
        <v>1564</v>
      </c>
    </row>
    <row r="99" spans="1:11" ht="58.15" customHeight="1" x14ac:dyDescent="0.25">
      <c r="A99" s="192">
        <v>98</v>
      </c>
      <c r="B99" s="205" t="s">
        <v>2970</v>
      </c>
      <c r="C99" s="193" t="s">
        <v>2971</v>
      </c>
      <c r="D99" s="202" t="s">
        <v>2972</v>
      </c>
      <c r="E99" s="203">
        <v>45657</v>
      </c>
      <c r="F99" s="196">
        <v>97100</v>
      </c>
      <c r="G99" s="192"/>
      <c r="H99" s="192"/>
      <c r="I99" s="194" t="s">
        <v>2973</v>
      </c>
      <c r="J99" s="193" t="s">
        <v>1115</v>
      </c>
      <c r="K99" s="194" t="s">
        <v>867</v>
      </c>
    </row>
    <row r="100" spans="1:11" ht="58.15" customHeight="1" x14ac:dyDescent="0.25">
      <c r="A100" s="192">
        <v>99</v>
      </c>
      <c r="B100" s="205" t="s">
        <v>2974</v>
      </c>
      <c r="C100" s="193" t="s">
        <v>2975</v>
      </c>
      <c r="D100" s="202" t="s">
        <v>2976</v>
      </c>
      <c r="E100" s="203">
        <v>45657</v>
      </c>
      <c r="F100" s="196">
        <v>47100</v>
      </c>
      <c r="G100" s="192"/>
      <c r="H100" s="192"/>
      <c r="I100" s="194" t="s">
        <v>2977</v>
      </c>
      <c r="J100" s="193" t="s">
        <v>1115</v>
      </c>
      <c r="K100" s="194" t="s">
        <v>867</v>
      </c>
    </row>
    <row r="101" spans="1:11" ht="58.15" customHeight="1" x14ac:dyDescent="0.25">
      <c r="A101" s="192">
        <v>100</v>
      </c>
      <c r="B101" s="205" t="s">
        <v>2978</v>
      </c>
      <c r="C101" s="193" t="s">
        <v>2979</v>
      </c>
      <c r="D101" s="202" t="s">
        <v>2980</v>
      </c>
      <c r="E101" s="203">
        <v>45657</v>
      </c>
      <c r="F101" s="196">
        <v>458400</v>
      </c>
      <c r="G101" s="192"/>
      <c r="H101" s="192"/>
      <c r="I101" s="194" t="s">
        <v>2199</v>
      </c>
      <c r="J101" s="193" t="s">
        <v>1115</v>
      </c>
      <c r="K101" s="194" t="s">
        <v>2981</v>
      </c>
    </row>
    <row r="102" spans="1:11" ht="58.15" customHeight="1" x14ac:dyDescent="0.25">
      <c r="A102" s="192">
        <v>101</v>
      </c>
      <c r="B102" s="205" t="s">
        <v>2982</v>
      </c>
      <c r="C102" s="193" t="s">
        <v>2983</v>
      </c>
      <c r="D102" s="202" t="s">
        <v>2984</v>
      </c>
      <c r="E102" s="203">
        <v>45657</v>
      </c>
      <c r="F102" s="196">
        <v>81900</v>
      </c>
      <c r="G102" s="192"/>
      <c r="H102" s="192"/>
      <c r="I102" s="194" t="s">
        <v>881</v>
      </c>
      <c r="J102" s="193" t="s">
        <v>1115</v>
      </c>
      <c r="K102" s="194" t="s">
        <v>867</v>
      </c>
    </row>
    <row r="103" spans="1:11" ht="58.15" customHeight="1" x14ac:dyDescent="0.25">
      <c r="A103" s="192">
        <v>102</v>
      </c>
      <c r="B103" s="205" t="s">
        <v>2985</v>
      </c>
      <c r="C103" s="193" t="s">
        <v>2986</v>
      </c>
      <c r="D103" s="202" t="s">
        <v>2987</v>
      </c>
      <c r="E103" s="203">
        <v>45657</v>
      </c>
      <c r="F103" s="196">
        <v>60500</v>
      </c>
      <c r="G103" s="192"/>
      <c r="H103" s="192"/>
      <c r="I103" s="194" t="s">
        <v>2988</v>
      </c>
      <c r="J103" s="193" t="s">
        <v>1115</v>
      </c>
      <c r="K103" s="194" t="s">
        <v>2989</v>
      </c>
    </row>
    <row r="104" spans="1:11" ht="58.15" customHeight="1" x14ac:dyDescent="0.25">
      <c r="A104" s="192">
        <v>103</v>
      </c>
      <c r="B104" s="205" t="s">
        <v>2990</v>
      </c>
      <c r="C104" s="193" t="s">
        <v>2991</v>
      </c>
      <c r="D104" s="202" t="s">
        <v>2992</v>
      </c>
      <c r="E104" s="203">
        <v>45657</v>
      </c>
      <c r="F104" s="196">
        <v>16700</v>
      </c>
      <c r="G104" s="192"/>
      <c r="H104" s="192"/>
      <c r="I104" s="194" t="s">
        <v>2993</v>
      </c>
      <c r="J104" s="193" t="s">
        <v>1115</v>
      </c>
      <c r="K104" s="194" t="s">
        <v>867</v>
      </c>
    </row>
    <row r="105" spans="1:11" ht="58.15" customHeight="1" x14ac:dyDescent="0.25">
      <c r="A105" s="192">
        <v>104</v>
      </c>
      <c r="B105" s="205" t="s">
        <v>2994</v>
      </c>
      <c r="C105" s="193" t="s">
        <v>2995</v>
      </c>
      <c r="D105" s="202" t="s">
        <v>2996</v>
      </c>
      <c r="E105" s="203">
        <v>45657</v>
      </c>
      <c r="F105" s="196">
        <v>40800</v>
      </c>
      <c r="G105" s="192"/>
      <c r="H105" s="192"/>
      <c r="I105" s="194" t="s">
        <v>2993</v>
      </c>
      <c r="J105" s="193" t="s">
        <v>1115</v>
      </c>
      <c r="K105" s="194" t="s">
        <v>867</v>
      </c>
    </row>
    <row r="106" spans="1:11" ht="58.15" customHeight="1" x14ac:dyDescent="0.25">
      <c r="A106" s="192">
        <v>105</v>
      </c>
      <c r="B106" s="205" t="s">
        <v>2997</v>
      </c>
      <c r="C106" s="193" t="s">
        <v>2998</v>
      </c>
      <c r="D106" s="202" t="s">
        <v>2999</v>
      </c>
      <c r="E106" s="203">
        <v>45657</v>
      </c>
      <c r="F106" s="196">
        <v>21400</v>
      </c>
      <c r="G106" s="192"/>
      <c r="H106" s="192"/>
      <c r="I106" s="194" t="s">
        <v>2993</v>
      </c>
      <c r="J106" s="193" t="s">
        <v>1115</v>
      </c>
      <c r="K106" s="194" t="s">
        <v>867</v>
      </c>
    </row>
    <row r="107" spans="1:11" ht="58.15" customHeight="1" x14ac:dyDescent="0.25">
      <c r="A107" s="192">
        <v>106</v>
      </c>
      <c r="B107" s="205" t="s">
        <v>3000</v>
      </c>
      <c r="C107" s="193" t="s">
        <v>3001</v>
      </c>
      <c r="D107" s="202" t="s">
        <v>3002</v>
      </c>
      <c r="E107" s="203">
        <v>45657</v>
      </c>
      <c r="F107" s="196">
        <v>46500</v>
      </c>
      <c r="G107" s="192"/>
      <c r="H107" s="192"/>
      <c r="I107" s="194" t="s">
        <v>2993</v>
      </c>
      <c r="J107" s="193" t="s">
        <v>1115</v>
      </c>
      <c r="K107" s="194" t="s">
        <v>867</v>
      </c>
    </row>
    <row r="108" spans="1:11" ht="58.15" customHeight="1" x14ac:dyDescent="0.25">
      <c r="A108" s="192">
        <v>107</v>
      </c>
      <c r="B108" s="205" t="s">
        <v>3003</v>
      </c>
      <c r="C108" s="193" t="s">
        <v>3004</v>
      </c>
      <c r="D108" s="202" t="s">
        <v>3005</v>
      </c>
      <c r="E108" s="203">
        <v>45657</v>
      </c>
      <c r="F108" s="196">
        <v>21200</v>
      </c>
      <c r="G108" s="192"/>
      <c r="H108" s="192"/>
      <c r="I108" s="194" t="s">
        <v>2993</v>
      </c>
      <c r="J108" s="193" t="s">
        <v>1115</v>
      </c>
      <c r="K108" s="194" t="s">
        <v>867</v>
      </c>
    </row>
    <row r="109" spans="1:11" ht="58.15" customHeight="1" x14ac:dyDescent="0.25">
      <c r="A109" s="192">
        <v>108</v>
      </c>
      <c r="B109" s="205" t="s">
        <v>3006</v>
      </c>
      <c r="C109" s="193" t="s">
        <v>3007</v>
      </c>
      <c r="D109" s="202" t="s">
        <v>3008</v>
      </c>
      <c r="E109" s="203">
        <v>45657</v>
      </c>
      <c r="F109" s="196">
        <v>22900</v>
      </c>
      <c r="G109" s="192"/>
      <c r="H109" s="192"/>
      <c r="I109" s="194" t="s">
        <v>2993</v>
      </c>
      <c r="J109" s="193" t="s">
        <v>1115</v>
      </c>
      <c r="K109" s="194" t="s">
        <v>867</v>
      </c>
    </row>
    <row r="110" spans="1:11" ht="58.15" customHeight="1" x14ac:dyDescent="0.25">
      <c r="A110" s="192">
        <v>109</v>
      </c>
      <c r="B110" s="205" t="s">
        <v>3009</v>
      </c>
      <c r="C110" s="193" t="s">
        <v>3010</v>
      </c>
      <c r="D110" s="202" t="s">
        <v>3011</v>
      </c>
      <c r="E110" s="203">
        <v>45657</v>
      </c>
      <c r="F110" s="196">
        <v>112100</v>
      </c>
      <c r="G110" s="192"/>
      <c r="H110" s="192"/>
      <c r="I110" s="194" t="s">
        <v>2993</v>
      </c>
      <c r="J110" s="193" t="s">
        <v>1115</v>
      </c>
      <c r="K110" s="194" t="s">
        <v>867</v>
      </c>
    </row>
    <row r="111" spans="1:11" ht="58.15" customHeight="1" x14ac:dyDescent="0.25">
      <c r="A111" s="192">
        <v>110</v>
      </c>
      <c r="B111" s="205" t="s">
        <v>3012</v>
      </c>
      <c r="C111" s="193" t="s">
        <v>3013</v>
      </c>
      <c r="D111" s="202" t="s">
        <v>3014</v>
      </c>
      <c r="E111" s="203">
        <v>45657</v>
      </c>
      <c r="F111" s="196">
        <v>25100</v>
      </c>
      <c r="G111" s="192"/>
      <c r="H111" s="192"/>
      <c r="I111" s="194" t="s">
        <v>929</v>
      </c>
      <c r="J111" s="193" t="s">
        <v>1115</v>
      </c>
      <c r="K111" s="194" t="s">
        <v>1496</v>
      </c>
    </row>
    <row r="112" spans="1:11" ht="58.15" customHeight="1" x14ac:dyDescent="0.25">
      <c r="A112" s="192">
        <v>111</v>
      </c>
      <c r="B112" s="205" t="s">
        <v>3015</v>
      </c>
      <c r="C112" s="193" t="s">
        <v>3016</v>
      </c>
      <c r="D112" s="202" t="s">
        <v>3017</v>
      </c>
      <c r="E112" s="203">
        <v>45657</v>
      </c>
      <c r="F112" s="196">
        <v>85100</v>
      </c>
      <c r="G112" s="192"/>
      <c r="H112" s="192"/>
      <c r="I112" s="194" t="s">
        <v>3018</v>
      </c>
      <c r="J112" s="193" t="s">
        <v>1115</v>
      </c>
      <c r="K112" s="194" t="s">
        <v>867</v>
      </c>
    </row>
    <row r="113" spans="1:11" ht="58.15" customHeight="1" x14ac:dyDescent="0.25">
      <c r="A113" s="192">
        <v>112</v>
      </c>
      <c r="B113" s="205" t="s">
        <v>3019</v>
      </c>
      <c r="C113" s="193" t="s">
        <v>3020</v>
      </c>
      <c r="D113" s="202" t="s">
        <v>3021</v>
      </c>
      <c r="E113" s="203">
        <v>45657</v>
      </c>
      <c r="F113" s="196">
        <v>32400</v>
      </c>
      <c r="G113" s="192"/>
      <c r="H113" s="192"/>
      <c r="I113" s="194" t="s">
        <v>3022</v>
      </c>
      <c r="J113" s="193" t="s">
        <v>1115</v>
      </c>
      <c r="K113" s="194" t="s">
        <v>820</v>
      </c>
    </row>
    <row r="114" spans="1:11" ht="58.15" customHeight="1" x14ac:dyDescent="0.25">
      <c r="A114" s="192">
        <v>113</v>
      </c>
      <c r="B114" s="205" t="s">
        <v>3023</v>
      </c>
      <c r="C114" s="193" t="s">
        <v>3024</v>
      </c>
      <c r="D114" s="202" t="s">
        <v>3025</v>
      </c>
      <c r="E114" s="203">
        <v>45657</v>
      </c>
      <c r="F114" s="196">
        <v>52300</v>
      </c>
      <c r="G114" s="192"/>
      <c r="H114" s="192"/>
      <c r="I114" s="194" t="s">
        <v>1229</v>
      </c>
      <c r="J114" s="193" t="s">
        <v>1115</v>
      </c>
      <c r="K114" s="194" t="s">
        <v>867</v>
      </c>
    </row>
    <row r="115" spans="1:11" ht="58.15" customHeight="1" x14ac:dyDescent="0.25">
      <c r="A115" s="192">
        <v>114</v>
      </c>
      <c r="B115" s="205" t="s">
        <v>3026</v>
      </c>
      <c r="C115" s="193" t="s">
        <v>3027</v>
      </c>
      <c r="D115" s="202" t="s">
        <v>3028</v>
      </c>
      <c r="E115" s="203">
        <v>45657</v>
      </c>
      <c r="F115" s="196">
        <v>111600</v>
      </c>
      <c r="G115" s="192"/>
      <c r="H115" s="192"/>
      <c r="I115" s="194" t="s">
        <v>881</v>
      </c>
      <c r="J115" s="193" t="s">
        <v>1115</v>
      </c>
      <c r="K115" s="194" t="s">
        <v>867</v>
      </c>
    </row>
    <row r="116" spans="1:11" ht="58.15" customHeight="1" x14ac:dyDescent="0.25">
      <c r="A116" s="192">
        <v>115</v>
      </c>
      <c r="B116" s="205" t="s">
        <v>3029</v>
      </c>
      <c r="C116" s="193" t="s">
        <v>3030</v>
      </c>
      <c r="D116" s="202" t="s">
        <v>3031</v>
      </c>
      <c r="E116" s="203">
        <v>45657</v>
      </c>
      <c r="F116" s="196">
        <v>30700</v>
      </c>
      <c r="G116" s="192"/>
      <c r="H116" s="192"/>
      <c r="I116" s="194" t="s">
        <v>1563</v>
      </c>
      <c r="J116" s="193" t="s">
        <v>1115</v>
      </c>
      <c r="K116" s="194" t="s">
        <v>867</v>
      </c>
    </row>
    <row r="117" spans="1:11" ht="58.15" customHeight="1" x14ac:dyDescent="0.25">
      <c r="A117" s="192">
        <v>116</v>
      </c>
      <c r="B117" s="205" t="s">
        <v>3032</v>
      </c>
      <c r="C117" s="193" t="s">
        <v>3033</v>
      </c>
      <c r="D117" s="202" t="s">
        <v>3034</v>
      </c>
      <c r="E117" s="203">
        <v>45657</v>
      </c>
      <c r="F117" s="196">
        <v>8400</v>
      </c>
      <c r="G117" s="192"/>
      <c r="H117" s="192"/>
      <c r="I117" s="194" t="s">
        <v>3035</v>
      </c>
      <c r="J117" s="193" t="s">
        <v>1115</v>
      </c>
      <c r="K117" s="194" t="s">
        <v>824</v>
      </c>
    </row>
    <row r="118" spans="1:11" ht="58.15" customHeight="1" x14ac:dyDescent="0.25">
      <c r="A118" s="192">
        <v>117</v>
      </c>
      <c r="B118" s="205" t="s">
        <v>3036</v>
      </c>
      <c r="C118" s="193" t="s">
        <v>3037</v>
      </c>
      <c r="D118" s="202" t="s">
        <v>3038</v>
      </c>
      <c r="E118" s="203">
        <v>45657</v>
      </c>
      <c r="F118" s="196">
        <v>18800</v>
      </c>
      <c r="G118" s="192"/>
      <c r="H118" s="192"/>
      <c r="I118" s="194" t="s">
        <v>3039</v>
      </c>
      <c r="J118" s="193" t="s">
        <v>1115</v>
      </c>
      <c r="K118" s="194" t="s">
        <v>867</v>
      </c>
    </row>
    <row r="119" spans="1:11" ht="58.15" customHeight="1" x14ac:dyDescent="0.25">
      <c r="A119" s="192">
        <v>118</v>
      </c>
      <c r="B119" s="205" t="s">
        <v>2938</v>
      </c>
      <c r="C119" s="193" t="s">
        <v>3040</v>
      </c>
      <c r="D119" s="202" t="s">
        <v>3041</v>
      </c>
      <c r="E119" s="203">
        <v>45657</v>
      </c>
      <c r="F119" s="196">
        <v>64200</v>
      </c>
      <c r="G119" s="192"/>
      <c r="H119" s="192"/>
      <c r="I119" s="194" t="s">
        <v>3039</v>
      </c>
      <c r="J119" s="193" t="s">
        <v>1115</v>
      </c>
      <c r="K119" s="194" t="s">
        <v>867</v>
      </c>
    </row>
    <row r="120" spans="1:11" ht="58.15" customHeight="1" x14ac:dyDescent="0.25">
      <c r="A120" s="192">
        <v>119</v>
      </c>
      <c r="B120" s="205" t="s">
        <v>3042</v>
      </c>
      <c r="C120" s="193" t="s">
        <v>3043</v>
      </c>
      <c r="D120" s="202" t="s">
        <v>3044</v>
      </c>
      <c r="E120" s="203">
        <v>45657</v>
      </c>
      <c r="F120" s="196">
        <v>78800</v>
      </c>
      <c r="G120" s="192"/>
      <c r="H120" s="192"/>
      <c r="I120" s="194" t="s">
        <v>3045</v>
      </c>
      <c r="J120" s="193" t="s">
        <v>1115</v>
      </c>
      <c r="K120" s="194" t="s">
        <v>824</v>
      </c>
    </row>
    <row r="121" spans="1:11" ht="58.15" customHeight="1" x14ac:dyDescent="0.25">
      <c r="A121" s="192">
        <v>120</v>
      </c>
      <c r="B121" s="205" t="s">
        <v>3046</v>
      </c>
      <c r="C121" s="193" t="s">
        <v>3047</v>
      </c>
      <c r="D121" s="202" t="s">
        <v>3048</v>
      </c>
      <c r="E121" s="203">
        <v>45657</v>
      </c>
      <c r="F121" s="196">
        <v>94200</v>
      </c>
      <c r="G121" s="192"/>
      <c r="H121" s="192"/>
      <c r="I121" s="194" t="s">
        <v>3049</v>
      </c>
      <c r="J121" s="193" t="s">
        <v>1115</v>
      </c>
      <c r="K121" s="194" t="s">
        <v>824</v>
      </c>
    </row>
    <row r="122" spans="1:11" ht="58.15" customHeight="1" x14ac:dyDescent="0.25">
      <c r="A122" s="192">
        <v>121</v>
      </c>
      <c r="B122" s="205" t="s">
        <v>3050</v>
      </c>
      <c r="C122" s="193" t="s">
        <v>3051</v>
      </c>
      <c r="D122" s="202" t="s">
        <v>3052</v>
      </c>
      <c r="E122" s="203">
        <v>45657</v>
      </c>
      <c r="F122" s="196">
        <v>37700</v>
      </c>
      <c r="G122" s="192"/>
      <c r="H122" s="192"/>
      <c r="I122" s="194" t="s">
        <v>2945</v>
      </c>
      <c r="J122" s="193" t="s">
        <v>1115</v>
      </c>
      <c r="K122" s="194" t="s">
        <v>867</v>
      </c>
    </row>
    <row r="123" spans="1:11" ht="58.15" customHeight="1" x14ac:dyDescent="0.25">
      <c r="A123" s="192">
        <v>122</v>
      </c>
      <c r="B123" s="205" t="s">
        <v>3053</v>
      </c>
      <c r="C123" s="193" t="s">
        <v>3054</v>
      </c>
      <c r="D123" s="202" t="s">
        <v>3055</v>
      </c>
      <c r="E123" s="203">
        <v>45657</v>
      </c>
      <c r="F123" s="196">
        <v>31800</v>
      </c>
      <c r="G123" s="192"/>
      <c r="H123" s="192"/>
      <c r="I123" s="194" t="s">
        <v>3039</v>
      </c>
      <c r="J123" s="193" t="s">
        <v>1115</v>
      </c>
      <c r="K123" s="194" t="s">
        <v>867</v>
      </c>
    </row>
    <row r="124" spans="1:11" ht="58.15" customHeight="1" x14ac:dyDescent="0.25">
      <c r="A124" s="192">
        <v>123</v>
      </c>
      <c r="B124" s="205" t="s">
        <v>3056</v>
      </c>
      <c r="C124" s="193" t="s">
        <v>3057</v>
      </c>
      <c r="D124" s="202" t="s">
        <v>3058</v>
      </c>
      <c r="E124" s="203">
        <v>45657</v>
      </c>
      <c r="F124" s="196">
        <v>16700</v>
      </c>
      <c r="G124" s="192"/>
      <c r="H124" s="192"/>
      <c r="I124" s="194"/>
      <c r="J124" s="193" t="s">
        <v>1115</v>
      </c>
      <c r="K124" s="194"/>
    </row>
    <row r="125" spans="1:11" ht="58.15" customHeight="1" x14ac:dyDescent="0.25">
      <c r="A125" s="192">
        <v>124</v>
      </c>
      <c r="B125" s="205" t="s">
        <v>3059</v>
      </c>
      <c r="C125" s="193" t="s">
        <v>3060</v>
      </c>
      <c r="D125" s="202" t="s">
        <v>3061</v>
      </c>
      <c r="E125" s="203">
        <v>45657</v>
      </c>
      <c r="F125" s="196">
        <v>104700</v>
      </c>
      <c r="G125" s="192"/>
      <c r="H125" s="192"/>
      <c r="I125" s="194" t="s">
        <v>3062</v>
      </c>
      <c r="J125" s="193" t="s">
        <v>1115</v>
      </c>
      <c r="K125" s="194" t="s">
        <v>3063</v>
      </c>
    </row>
    <row r="126" spans="1:11" ht="58.15" customHeight="1" x14ac:dyDescent="0.25">
      <c r="A126" s="192">
        <v>125</v>
      </c>
      <c r="B126" s="205" t="s">
        <v>3064</v>
      </c>
      <c r="C126" s="193" t="s">
        <v>3065</v>
      </c>
      <c r="D126" s="202" t="s">
        <v>3066</v>
      </c>
      <c r="E126" s="203">
        <v>45657</v>
      </c>
      <c r="F126" s="196">
        <v>378900</v>
      </c>
      <c r="G126" s="192"/>
      <c r="H126" s="192"/>
      <c r="I126" s="194" t="s">
        <v>3067</v>
      </c>
      <c r="J126" s="193" t="s">
        <v>1115</v>
      </c>
      <c r="K126" s="194" t="s">
        <v>824</v>
      </c>
    </row>
    <row r="127" spans="1:11" ht="58.15" customHeight="1" x14ac:dyDescent="0.25">
      <c r="A127" s="192">
        <v>126</v>
      </c>
      <c r="B127" s="205" t="s">
        <v>2910</v>
      </c>
      <c r="C127" s="193" t="s">
        <v>3068</v>
      </c>
      <c r="D127" s="202" t="s">
        <v>3069</v>
      </c>
      <c r="E127" s="203">
        <v>45657</v>
      </c>
      <c r="F127" s="196">
        <v>329400</v>
      </c>
      <c r="G127" s="192"/>
      <c r="H127" s="192"/>
      <c r="I127" s="194" t="s">
        <v>3070</v>
      </c>
      <c r="J127" s="193" t="s">
        <v>1115</v>
      </c>
      <c r="K127" s="194" t="s">
        <v>820</v>
      </c>
    </row>
    <row r="128" spans="1:11" ht="58.15" customHeight="1" x14ac:dyDescent="0.25">
      <c r="A128" s="192">
        <v>127</v>
      </c>
      <c r="B128" s="205" t="s">
        <v>3071</v>
      </c>
      <c r="C128" s="193" t="s">
        <v>3072</v>
      </c>
      <c r="D128" s="202" t="s">
        <v>3073</v>
      </c>
      <c r="E128" s="203">
        <v>45657</v>
      </c>
      <c r="F128" s="196">
        <v>94000</v>
      </c>
      <c r="G128" s="192"/>
      <c r="H128" s="192"/>
      <c r="I128" s="194" t="s">
        <v>3074</v>
      </c>
      <c r="J128" s="193" t="s">
        <v>1115</v>
      </c>
      <c r="K128" s="194" t="s">
        <v>867</v>
      </c>
    </row>
    <row r="129" spans="1:11" ht="58.15" customHeight="1" x14ac:dyDescent="0.25">
      <c r="A129" s="192">
        <v>128</v>
      </c>
      <c r="B129" s="205" t="s">
        <v>2978</v>
      </c>
      <c r="C129" s="193" t="s">
        <v>3075</v>
      </c>
      <c r="D129" s="202" t="s">
        <v>3076</v>
      </c>
      <c r="E129" s="203">
        <v>45657</v>
      </c>
      <c r="F129" s="196">
        <v>171600</v>
      </c>
      <c r="G129" s="192"/>
      <c r="H129" s="192"/>
      <c r="I129" s="194" t="s">
        <v>884</v>
      </c>
      <c r="J129" s="193" t="s">
        <v>1115</v>
      </c>
      <c r="K129" s="194" t="s">
        <v>867</v>
      </c>
    </row>
    <row r="130" spans="1:11" ht="58.15" customHeight="1" x14ac:dyDescent="0.25">
      <c r="A130" s="192">
        <v>129</v>
      </c>
      <c r="B130" s="205" t="s">
        <v>2978</v>
      </c>
      <c r="C130" s="193" t="s">
        <v>3077</v>
      </c>
      <c r="D130" s="202" t="s">
        <v>3078</v>
      </c>
      <c r="E130" s="203">
        <v>45657</v>
      </c>
      <c r="F130" s="196">
        <v>114400</v>
      </c>
      <c r="G130" s="192"/>
      <c r="H130" s="192"/>
      <c r="I130" s="194" t="s">
        <v>884</v>
      </c>
      <c r="J130" s="193" t="s">
        <v>1115</v>
      </c>
      <c r="K130" s="194" t="s">
        <v>867</v>
      </c>
    </row>
    <row r="131" spans="1:11" ht="58.15" customHeight="1" x14ac:dyDescent="0.25">
      <c r="A131" s="192">
        <v>130</v>
      </c>
      <c r="B131" s="205" t="s">
        <v>2978</v>
      </c>
      <c r="C131" s="193" t="s">
        <v>3079</v>
      </c>
      <c r="D131" s="202" t="s">
        <v>3080</v>
      </c>
      <c r="E131" s="203">
        <v>45657</v>
      </c>
      <c r="F131" s="196">
        <v>457700</v>
      </c>
      <c r="G131" s="192"/>
      <c r="H131" s="192"/>
      <c r="I131" s="194" t="s">
        <v>884</v>
      </c>
      <c r="J131" s="193" t="s">
        <v>1115</v>
      </c>
      <c r="K131" s="194" t="s">
        <v>867</v>
      </c>
    </row>
    <row r="132" spans="1:11" ht="58.15" customHeight="1" x14ac:dyDescent="0.25">
      <c r="A132" s="192">
        <v>131</v>
      </c>
      <c r="B132" s="205" t="s">
        <v>2978</v>
      </c>
      <c r="C132" s="193" t="s">
        <v>3081</v>
      </c>
      <c r="D132" s="202" t="s">
        <v>3082</v>
      </c>
      <c r="E132" s="203">
        <v>45657</v>
      </c>
      <c r="F132" s="196">
        <v>457700</v>
      </c>
      <c r="G132" s="192"/>
      <c r="H132" s="192"/>
      <c r="I132" s="194" t="s">
        <v>884</v>
      </c>
      <c r="J132" s="193" t="s">
        <v>1115</v>
      </c>
      <c r="K132" s="194" t="s">
        <v>867</v>
      </c>
    </row>
    <row r="133" spans="1:11" ht="58.15" customHeight="1" x14ac:dyDescent="0.25">
      <c r="A133" s="192">
        <v>132</v>
      </c>
      <c r="B133" s="205" t="s">
        <v>3083</v>
      </c>
      <c r="C133" s="193" t="s">
        <v>3084</v>
      </c>
      <c r="D133" s="202" t="s">
        <v>3085</v>
      </c>
      <c r="E133" s="203">
        <v>45657</v>
      </c>
      <c r="F133" s="196">
        <v>334900</v>
      </c>
      <c r="G133" s="192"/>
      <c r="H133" s="192"/>
      <c r="I133" s="194" t="s">
        <v>3086</v>
      </c>
      <c r="J133" s="193" t="s">
        <v>1115</v>
      </c>
      <c r="K133" s="194" t="s">
        <v>820</v>
      </c>
    </row>
    <row r="134" spans="1:11" ht="58.15" customHeight="1" x14ac:dyDescent="0.25">
      <c r="A134" s="192">
        <v>133</v>
      </c>
      <c r="B134" s="205" t="s">
        <v>3083</v>
      </c>
      <c r="C134" s="193" t="s">
        <v>3087</v>
      </c>
      <c r="D134" s="202" t="s">
        <v>3088</v>
      </c>
      <c r="E134" s="203">
        <v>45657</v>
      </c>
      <c r="F134" s="196">
        <v>390700</v>
      </c>
      <c r="G134" s="192"/>
      <c r="H134" s="192"/>
      <c r="I134" s="194" t="s">
        <v>1292</v>
      </c>
      <c r="J134" s="193" t="s">
        <v>1115</v>
      </c>
      <c r="K134" s="194" t="s">
        <v>3089</v>
      </c>
    </row>
    <row r="135" spans="1:11" ht="58.15" customHeight="1" x14ac:dyDescent="0.25">
      <c r="A135" s="192">
        <v>134</v>
      </c>
      <c r="B135" s="205" t="s">
        <v>3090</v>
      </c>
      <c r="C135" s="193" t="s">
        <v>3091</v>
      </c>
      <c r="D135" s="202" t="s">
        <v>3092</v>
      </c>
      <c r="E135" s="203">
        <v>45657</v>
      </c>
      <c r="F135" s="196">
        <v>100500</v>
      </c>
      <c r="G135" s="192"/>
      <c r="H135" s="192"/>
      <c r="I135" s="194" t="s">
        <v>3093</v>
      </c>
      <c r="J135" s="193" t="s">
        <v>1115</v>
      </c>
      <c r="K135" s="194" t="s">
        <v>3094</v>
      </c>
    </row>
    <row r="136" spans="1:11" ht="58.15" customHeight="1" x14ac:dyDescent="0.25">
      <c r="A136" s="192">
        <v>135</v>
      </c>
      <c r="B136" s="205" t="s">
        <v>3083</v>
      </c>
      <c r="C136" s="193" t="s">
        <v>3095</v>
      </c>
      <c r="D136" s="202" t="s">
        <v>3096</v>
      </c>
      <c r="E136" s="203">
        <v>45657</v>
      </c>
      <c r="F136" s="196">
        <v>163700</v>
      </c>
      <c r="G136" s="192"/>
      <c r="H136" s="192"/>
      <c r="I136" s="194" t="s">
        <v>3097</v>
      </c>
      <c r="J136" s="193" t="s">
        <v>1115</v>
      </c>
      <c r="K136" s="194" t="s">
        <v>867</v>
      </c>
    </row>
    <row r="137" spans="1:11" ht="58.15" customHeight="1" x14ac:dyDescent="0.25">
      <c r="A137" s="192">
        <v>136</v>
      </c>
      <c r="B137" s="205" t="s">
        <v>3098</v>
      </c>
      <c r="C137" s="193" t="s">
        <v>3099</v>
      </c>
      <c r="D137" s="202" t="s">
        <v>3100</v>
      </c>
      <c r="E137" s="203">
        <v>45657</v>
      </c>
      <c r="F137" s="196">
        <v>169800</v>
      </c>
      <c r="G137" s="192"/>
      <c r="H137" s="192"/>
      <c r="I137" s="194" t="s">
        <v>3101</v>
      </c>
      <c r="J137" s="193" t="s">
        <v>1115</v>
      </c>
      <c r="K137" s="194" t="s">
        <v>867</v>
      </c>
    </row>
    <row r="138" spans="1:11" ht="58.15" customHeight="1" x14ac:dyDescent="0.25">
      <c r="A138" s="192">
        <v>137</v>
      </c>
      <c r="B138" s="205" t="s">
        <v>3098</v>
      </c>
      <c r="C138" s="193" t="s">
        <v>3102</v>
      </c>
      <c r="D138" s="202" t="s">
        <v>3103</v>
      </c>
      <c r="E138" s="203">
        <v>45657</v>
      </c>
      <c r="F138" s="196">
        <v>176100</v>
      </c>
      <c r="G138" s="192"/>
      <c r="H138" s="192"/>
      <c r="I138" s="194" t="s">
        <v>3104</v>
      </c>
      <c r="J138" s="193" t="s">
        <v>1115</v>
      </c>
      <c r="K138" s="194" t="s">
        <v>867</v>
      </c>
    </row>
    <row r="139" spans="1:11" ht="58.15" customHeight="1" x14ac:dyDescent="0.25">
      <c r="A139" s="192">
        <v>138</v>
      </c>
      <c r="B139" s="205" t="s">
        <v>3098</v>
      </c>
      <c r="C139" s="193" t="s">
        <v>3105</v>
      </c>
      <c r="D139" s="202" t="s">
        <v>3106</v>
      </c>
      <c r="E139" s="203">
        <v>45657</v>
      </c>
      <c r="F139" s="196">
        <v>176100</v>
      </c>
      <c r="G139" s="192"/>
      <c r="H139" s="192"/>
      <c r="I139" s="194" t="s">
        <v>3107</v>
      </c>
      <c r="J139" s="193" t="s">
        <v>1115</v>
      </c>
      <c r="K139" s="194" t="s">
        <v>867</v>
      </c>
    </row>
    <row r="140" spans="1:11" ht="58.15" customHeight="1" x14ac:dyDescent="0.25">
      <c r="A140" s="192">
        <v>139</v>
      </c>
      <c r="B140" s="205" t="s">
        <v>3108</v>
      </c>
      <c r="C140" s="193" t="s">
        <v>3109</v>
      </c>
      <c r="D140" s="202" t="s">
        <v>3110</v>
      </c>
      <c r="E140" s="203">
        <v>45657</v>
      </c>
      <c r="F140" s="196">
        <v>42800</v>
      </c>
      <c r="G140" s="192"/>
      <c r="H140" s="192"/>
      <c r="I140" s="194" t="s">
        <v>881</v>
      </c>
      <c r="J140" s="193" t="s">
        <v>1115</v>
      </c>
      <c r="K140" s="194" t="s">
        <v>867</v>
      </c>
    </row>
    <row r="141" spans="1:11" ht="58.15" customHeight="1" x14ac:dyDescent="0.25">
      <c r="A141" s="192">
        <v>140</v>
      </c>
      <c r="B141" s="205" t="s">
        <v>3111</v>
      </c>
      <c r="C141" s="193" t="s">
        <v>3112</v>
      </c>
      <c r="D141" s="202" t="s">
        <v>3113</v>
      </c>
      <c r="E141" s="203">
        <v>45657</v>
      </c>
      <c r="F141" s="196">
        <v>42600</v>
      </c>
      <c r="G141" s="192"/>
      <c r="H141" s="192"/>
      <c r="I141" s="194" t="s">
        <v>2155</v>
      </c>
      <c r="J141" s="193" t="s">
        <v>1115</v>
      </c>
      <c r="K141" s="194" t="s">
        <v>867</v>
      </c>
    </row>
    <row r="142" spans="1:11" ht="58.15" customHeight="1" x14ac:dyDescent="0.25">
      <c r="A142" s="192">
        <v>141</v>
      </c>
      <c r="B142" s="205" t="s">
        <v>3114</v>
      </c>
      <c r="C142" s="193" t="s">
        <v>3115</v>
      </c>
      <c r="D142" s="202" t="s">
        <v>3116</v>
      </c>
      <c r="E142" s="203">
        <v>45657</v>
      </c>
      <c r="F142" s="196">
        <v>102300</v>
      </c>
      <c r="G142" s="192"/>
      <c r="H142" s="192"/>
      <c r="I142" s="194" t="s">
        <v>3117</v>
      </c>
      <c r="J142" s="193" t="s">
        <v>1115</v>
      </c>
      <c r="K142" s="194" t="s">
        <v>867</v>
      </c>
    </row>
    <row r="143" spans="1:11" ht="58.15" customHeight="1" x14ac:dyDescent="0.25">
      <c r="A143" s="192">
        <v>142</v>
      </c>
      <c r="B143" s="205" t="s">
        <v>3118</v>
      </c>
      <c r="C143" s="193" t="s">
        <v>3119</v>
      </c>
      <c r="D143" s="202" t="s">
        <v>3120</v>
      </c>
      <c r="E143" s="203">
        <v>45657</v>
      </c>
      <c r="F143" s="196">
        <v>62800</v>
      </c>
      <c r="G143" s="192"/>
      <c r="H143" s="192"/>
      <c r="I143" s="194" t="s">
        <v>3062</v>
      </c>
      <c r="J143" s="193" t="s">
        <v>1115</v>
      </c>
      <c r="K143" s="194" t="s">
        <v>3121</v>
      </c>
    </row>
    <row r="144" spans="1:11" ht="58.15" customHeight="1" x14ac:dyDescent="0.25">
      <c r="A144" s="192">
        <v>143</v>
      </c>
      <c r="B144" s="205" t="s">
        <v>3122</v>
      </c>
      <c r="C144" s="193" t="s">
        <v>3123</v>
      </c>
      <c r="D144" s="202" t="s">
        <v>3124</v>
      </c>
      <c r="E144" s="203">
        <v>45657</v>
      </c>
      <c r="F144" s="196">
        <v>167500</v>
      </c>
      <c r="G144" s="192"/>
      <c r="H144" s="192"/>
      <c r="I144" s="194" t="s">
        <v>1563</v>
      </c>
      <c r="J144" s="193" t="s">
        <v>1115</v>
      </c>
      <c r="K144" s="194" t="s">
        <v>3125</v>
      </c>
    </row>
    <row r="145" spans="1:12" ht="58.15" customHeight="1" x14ac:dyDescent="0.25">
      <c r="A145" s="192">
        <v>144</v>
      </c>
      <c r="B145" s="205" t="s">
        <v>3126</v>
      </c>
      <c r="C145" s="193" t="s">
        <v>3127</v>
      </c>
      <c r="D145" s="202" t="s">
        <v>3128</v>
      </c>
      <c r="E145" s="203">
        <v>45657</v>
      </c>
      <c r="F145" s="196">
        <v>20200</v>
      </c>
      <c r="G145" s="192"/>
      <c r="H145" s="192"/>
      <c r="I145" s="194" t="s">
        <v>1292</v>
      </c>
      <c r="J145" s="193" t="s">
        <v>1115</v>
      </c>
      <c r="K145" s="194" t="s">
        <v>3129</v>
      </c>
    </row>
    <row r="146" spans="1:12" ht="58.15" customHeight="1" x14ac:dyDescent="0.25">
      <c r="A146" s="192">
        <v>145</v>
      </c>
      <c r="B146" s="205" t="s">
        <v>3130</v>
      </c>
      <c r="C146" s="193" t="s">
        <v>3131</v>
      </c>
      <c r="D146" s="202" t="s">
        <v>3132</v>
      </c>
      <c r="E146" s="203">
        <v>45657</v>
      </c>
      <c r="F146" s="196">
        <v>288800</v>
      </c>
      <c r="G146" s="192"/>
      <c r="H146" s="192"/>
      <c r="I146" s="194" t="s">
        <v>1232</v>
      </c>
      <c r="J146" s="193" t="s">
        <v>1115</v>
      </c>
      <c r="K146" s="194" t="s">
        <v>824</v>
      </c>
    </row>
    <row r="147" spans="1:12" ht="58.15" customHeight="1" x14ac:dyDescent="0.25">
      <c r="A147" s="192">
        <v>146</v>
      </c>
      <c r="B147" s="205" t="s">
        <v>3133</v>
      </c>
      <c r="C147" s="193" t="s">
        <v>3134</v>
      </c>
      <c r="D147" s="202" t="s">
        <v>3135</v>
      </c>
      <c r="E147" s="203">
        <v>45657</v>
      </c>
      <c r="F147" s="196">
        <v>110200</v>
      </c>
      <c r="G147" s="192"/>
      <c r="H147" s="192"/>
      <c r="I147" s="194" t="s">
        <v>3136</v>
      </c>
      <c r="J147" s="193" t="s">
        <v>1115</v>
      </c>
      <c r="K147" s="194" t="s">
        <v>824</v>
      </c>
    </row>
    <row r="148" spans="1:12" ht="58.15" customHeight="1" x14ac:dyDescent="0.25">
      <c r="A148" s="192">
        <v>147</v>
      </c>
      <c r="B148" s="205" t="s">
        <v>3137</v>
      </c>
      <c r="C148" s="193" t="s">
        <v>3138</v>
      </c>
      <c r="D148" s="202" t="s">
        <v>3139</v>
      </c>
      <c r="E148" s="203">
        <v>45657</v>
      </c>
      <c r="F148" s="196">
        <v>68400</v>
      </c>
      <c r="G148" s="192"/>
      <c r="H148" s="192"/>
      <c r="I148" s="194" t="s">
        <v>3140</v>
      </c>
      <c r="J148" s="193" t="s">
        <v>1115</v>
      </c>
      <c r="K148" s="194" t="s">
        <v>824</v>
      </c>
      <c r="L148" s="191" t="s">
        <v>3141</v>
      </c>
    </row>
    <row r="149" spans="1:12" ht="58.15" customHeight="1" x14ac:dyDescent="0.25">
      <c r="A149" s="192">
        <v>148</v>
      </c>
      <c r="B149" s="205" t="s">
        <v>3142</v>
      </c>
      <c r="C149" s="193" t="s">
        <v>3143</v>
      </c>
      <c r="D149" s="202" t="s">
        <v>3144</v>
      </c>
      <c r="E149" s="203">
        <v>45657</v>
      </c>
      <c r="F149" s="196">
        <v>127700</v>
      </c>
      <c r="G149" s="192"/>
      <c r="H149" s="192"/>
      <c r="I149" s="194" t="s">
        <v>1700</v>
      </c>
      <c r="J149" s="193" t="s">
        <v>1115</v>
      </c>
      <c r="K149" s="194" t="s">
        <v>918</v>
      </c>
    </row>
    <row r="150" spans="1:12" ht="58.15" customHeight="1" x14ac:dyDescent="0.25">
      <c r="A150" s="192">
        <v>149</v>
      </c>
      <c r="B150" s="205" t="s">
        <v>3145</v>
      </c>
      <c r="C150" s="193" t="s">
        <v>3146</v>
      </c>
      <c r="D150" s="202" t="s">
        <v>3147</v>
      </c>
      <c r="E150" s="203">
        <v>45657</v>
      </c>
      <c r="F150" s="196">
        <v>104200</v>
      </c>
      <c r="G150" s="192"/>
      <c r="H150" s="192"/>
      <c r="I150" s="194" t="s">
        <v>1700</v>
      </c>
      <c r="J150" s="193" t="s">
        <v>1115</v>
      </c>
      <c r="K150" s="194" t="s">
        <v>918</v>
      </c>
    </row>
    <row r="151" spans="1:12" ht="58.15" customHeight="1" x14ac:dyDescent="0.25">
      <c r="A151" s="192">
        <v>150</v>
      </c>
      <c r="B151" s="205" t="s">
        <v>3148</v>
      </c>
      <c r="C151" s="193" t="s">
        <v>3149</v>
      </c>
      <c r="D151" s="202" t="s">
        <v>3150</v>
      </c>
      <c r="E151" s="203">
        <v>45657</v>
      </c>
      <c r="F151" s="196">
        <v>95300</v>
      </c>
      <c r="G151" s="192"/>
      <c r="H151" s="192"/>
      <c r="I151" s="194" t="s">
        <v>2993</v>
      </c>
      <c r="J151" s="193" t="s">
        <v>1115</v>
      </c>
      <c r="K151" s="194" t="s">
        <v>867</v>
      </c>
    </row>
    <row r="152" spans="1:12" ht="58.15" customHeight="1" x14ac:dyDescent="0.25">
      <c r="A152" s="192">
        <v>151</v>
      </c>
      <c r="B152" s="205" t="s">
        <v>3151</v>
      </c>
      <c r="C152" s="193" t="s">
        <v>3152</v>
      </c>
      <c r="D152" s="202" t="s">
        <v>3153</v>
      </c>
      <c r="E152" s="203">
        <v>45657</v>
      </c>
      <c r="F152" s="196">
        <v>16700</v>
      </c>
      <c r="G152" s="192"/>
      <c r="H152" s="192"/>
      <c r="I152" s="194" t="s">
        <v>3154</v>
      </c>
      <c r="J152" s="193" t="s">
        <v>1115</v>
      </c>
      <c r="K152" s="194" t="s">
        <v>824</v>
      </c>
    </row>
    <row r="153" spans="1:12" ht="58.15" customHeight="1" x14ac:dyDescent="0.25">
      <c r="A153" s="192">
        <v>152</v>
      </c>
      <c r="B153" s="205" t="s">
        <v>3155</v>
      </c>
      <c r="C153" s="193" t="s">
        <v>3156</v>
      </c>
      <c r="D153" s="202" t="s">
        <v>3157</v>
      </c>
      <c r="E153" s="203">
        <v>45657</v>
      </c>
      <c r="F153" s="196">
        <v>61400</v>
      </c>
      <c r="G153" s="192"/>
      <c r="H153" s="192"/>
      <c r="I153" s="194" t="s">
        <v>3158</v>
      </c>
      <c r="J153" s="193" t="s">
        <v>1115</v>
      </c>
      <c r="K153" s="194" t="s">
        <v>820</v>
      </c>
    </row>
    <row r="154" spans="1:12" ht="58.15" customHeight="1" x14ac:dyDescent="0.25">
      <c r="A154" s="192">
        <v>153</v>
      </c>
      <c r="B154" s="205" t="s">
        <v>3159</v>
      </c>
      <c r="C154" s="193" t="s">
        <v>3160</v>
      </c>
      <c r="D154" s="202" t="s">
        <v>3161</v>
      </c>
      <c r="E154" s="203">
        <v>45657</v>
      </c>
      <c r="F154" s="196">
        <v>85800</v>
      </c>
      <c r="G154" s="192"/>
      <c r="H154" s="192"/>
      <c r="I154" s="194" t="s">
        <v>2993</v>
      </c>
      <c r="J154" s="193" t="s">
        <v>1115</v>
      </c>
      <c r="K154" s="194" t="s">
        <v>824</v>
      </c>
    </row>
    <row r="155" spans="1:12" ht="58.15" customHeight="1" x14ac:dyDescent="0.25">
      <c r="A155" s="192">
        <v>154</v>
      </c>
      <c r="B155" s="205" t="s">
        <v>3162</v>
      </c>
      <c r="C155" s="193" t="s">
        <v>3163</v>
      </c>
      <c r="D155" s="202" t="s">
        <v>3164</v>
      </c>
      <c r="E155" s="203">
        <v>45657</v>
      </c>
      <c r="F155" s="196">
        <v>342600</v>
      </c>
      <c r="G155" s="192"/>
      <c r="H155" s="192"/>
      <c r="I155" s="194" t="s">
        <v>2993</v>
      </c>
      <c r="J155" s="193" t="s">
        <v>1115</v>
      </c>
      <c r="K155" s="194" t="s">
        <v>824</v>
      </c>
    </row>
    <row r="156" spans="1:12" ht="58.15" customHeight="1" x14ac:dyDescent="0.25">
      <c r="A156" s="192">
        <v>155</v>
      </c>
      <c r="B156" s="205" t="s">
        <v>3165</v>
      </c>
      <c r="C156" s="193" t="s">
        <v>3166</v>
      </c>
      <c r="D156" s="202" t="s">
        <v>3167</v>
      </c>
      <c r="E156" s="203">
        <v>45657</v>
      </c>
      <c r="F156" s="196">
        <v>18200</v>
      </c>
      <c r="G156" s="192"/>
      <c r="H156" s="192"/>
      <c r="I156" s="194" t="s">
        <v>3168</v>
      </c>
      <c r="J156" s="193" t="s">
        <v>1115</v>
      </c>
      <c r="K156" s="194" t="s">
        <v>1569</v>
      </c>
    </row>
    <row r="157" spans="1:12" ht="58.15" customHeight="1" x14ac:dyDescent="0.25">
      <c r="A157" s="192">
        <v>156</v>
      </c>
      <c r="B157" s="205" t="s">
        <v>3169</v>
      </c>
      <c r="C157" s="193" t="s">
        <v>3170</v>
      </c>
      <c r="D157" s="202" t="s">
        <v>3171</v>
      </c>
      <c r="E157" s="203">
        <v>45657</v>
      </c>
      <c r="F157" s="196">
        <v>39500</v>
      </c>
      <c r="G157" s="192"/>
      <c r="H157" s="192"/>
      <c r="I157" s="194" t="s">
        <v>3172</v>
      </c>
      <c r="J157" s="193" t="s">
        <v>1115</v>
      </c>
      <c r="K157" s="194" t="s">
        <v>867</v>
      </c>
    </row>
    <row r="158" spans="1:12" ht="58.15" customHeight="1" x14ac:dyDescent="0.25">
      <c r="A158" s="192">
        <v>157</v>
      </c>
      <c r="B158" s="205" t="s">
        <v>3173</v>
      </c>
      <c r="C158" s="193" t="s">
        <v>3174</v>
      </c>
      <c r="D158" s="202" t="s">
        <v>3175</v>
      </c>
      <c r="E158" s="203">
        <v>45657</v>
      </c>
      <c r="F158" s="196">
        <v>230200</v>
      </c>
      <c r="G158" s="192"/>
      <c r="H158" s="192"/>
      <c r="I158" s="194" t="s">
        <v>817</v>
      </c>
      <c r="J158" s="193" t="s">
        <v>1115</v>
      </c>
      <c r="K158" s="194" t="s">
        <v>820</v>
      </c>
    </row>
    <row r="159" spans="1:12" ht="58.15" customHeight="1" x14ac:dyDescent="0.25">
      <c r="A159" s="192">
        <v>158</v>
      </c>
      <c r="B159" s="205" t="s">
        <v>3176</v>
      </c>
      <c r="C159" s="193" t="s">
        <v>3177</v>
      </c>
      <c r="D159" s="202" t="s">
        <v>3178</v>
      </c>
      <c r="E159" s="203">
        <v>45657</v>
      </c>
      <c r="F159" s="196">
        <v>167700</v>
      </c>
      <c r="G159" s="192"/>
      <c r="H159" s="192"/>
      <c r="I159" s="194" t="s">
        <v>1158</v>
      </c>
      <c r="J159" s="193" t="s">
        <v>1115</v>
      </c>
      <c r="K159" s="194" t="s">
        <v>820</v>
      </c>
    </row>
    <row r="160" spans="1:12" ht="58.15" customHeight="1" x14ac:dyDescent="0.25">
      <c r="A160" s="192">
        <v>159</v>
      </c>
      <c r="B160" s="205" t="s">
        <v>3179</v>
      </c>
      <c r="C160" s="193" t="s">
        <v>3180</v>
      </c>
      <c r="D160" s="202" t="s">
        <v>3181</v>
      </c>
      <c r="E160" s="203">
        <v>45657</v>
      </c>
      <c r="F160" s="196">
        <v>78600</v>
      </c>
      <c r="G160" s="192"/>
      <c r="H160" s="192"/>
      <c r="I160" s="194" t="s">
        <v>2174</v>
      </c>
      <c r="J160" s="193" t="s">
        <v>1115</v>
      </c>
      <c r="K160" s="194" t="s">
        <v>1321</v>
      </c>
    </row>
    <row r="161" spans="1:11" ht="58.15" customHeight="1" x14ac:dyDescent="0.25">
      <c r="A161" s="192">
        <v>160</v>
      </c>
      <c r="B161" s="205" t="s">
        <v>3182</v>
      </c>
      <c r="C161" s="193" t="s">
        <v>3183</v>
      </c>
      <c r="D161" s="202" t="s">
        <v>3184</v>
      </c>
      <c r="E161" s="203">
        <v>45657</v>
      </c>
      <c r="F161" s="196">
        <v>8400</v>
      </c>
      <c r="G161" s="192"/>
      <c r="H161" s="192"/>
      <c r="I161" s="194" t="s">
        <v>3185</v>
      </c>
      <c r="J161" s="193" t="s">
        <v>1115</v>
      </c>
      <c r="K161" s="194" t="s">
        <v>867</v>
      </c>
    </row>
    <row r="162" spans="1:11" ht="58.15" customHeight="1" x14ac:dyDescent="0.25">
      <c r="A162" s="192">
        <v>161</v>
      </c>
      <c r="B162" s="205" t="s">
        <v>3186</v>
      </c>
      <c r="C162" s="193" t="s">
        <v>3187</v>
      </c>
      <c r="D162" s="202" t="s">
        <v>3188</v>
      </c>
      <c r="E162" s="203">
        <v>45657</v>
      </c>
      <c r="F162" s="196">
        <v>35400</v>
      </c>
      <c r="G162" s="192"/>
      <c r="H162" s="192"/>
      <c r="I162" s="194" t="s">
        <v>948</v>
      </c>
      <c r="J162" s="193" t="s">
        <v>1115</v>
      </c>
      <c r="K162" s="194" t="s">
        <v>867</v>
      </c>
    </row>
    <row r="163" spans="1:11" ht="58.15" customHeight="1" x14ac:dyDescent="0.25">
      <c r="A163" s="192">
        <v>162</v>
      </c>
      <c r="B163" s="205" t="s">
        <v>3189</v>
      </c>
      <c r="C163" s="193" t="s">
        <v>3190</v>
      </c>
      <c r="D163" s="202" t="s">
        <v>3191</v>
      </c>
      <c r="E163" s="203">
        <v>45657</v>
      </c>
      <c r="F163" s="196">
        <v>22500</v>
      </c>
      <c r="G163" s="192"/>
      <c r="H163" s="192"/>
      <c r="I163" s="194" t="s">
        <v>2155</v>
      </c>
      <c r="J163" s="193" t="s">
        <v>1115</v>
      </c>
      <c r="K163" s="194" t="s">
        <v>867</v>
      </c>
    </row>
    <row r="164" spans="1:11" ht="58.15" customHeight="1" x14ac:dyDescent="0.25">
      <c r="A164" s="192">
        <v>163</v>
      </c>
      <c r="B164" s="205" t="s">
        <v>3192</v>
      </c>
      <c r="C164" s="193" t="s">
        <v>3193</v>
      </c>
      <c r="D164" s="202" t="s">
        <v>3194</v>
      </c>
      <c r="E164" s="203">
        <v>45657</v>
      </c>
      <c r="F164" s="196">
        <v>18100</v>
      </c>
      <c r="G164" s="192"/>
      <c r="H164" s="192"/>
      <c r="I164" s="194" t="s">
        <v>1011</v>
      </c>
      <c r="J164" s="193" t="s">
        <v>1115</v>
      </c>
      <c r="K164" s="194" t="s">
        <v>867</v>
      </c>
    </row>
    <row r="165" spans="1:11" ht="58.15" customHeight="1" x14ac:dyDescent="0.25">
      <c r="A165" s="192">
        <v>164</v>
      </c>
      <c r="B165" s="205" t="s">
        <v>3195</v>
      </c>
      <c r="C165" s="193" t="s">
        <v>3196</v>
      </c>
      <c r="D165" s="202" t="s">
        <v>3197</v>
      </c>
      <c r="E165" s="203">
        <v>45657</v>
      </c>
      <c r="F165" s="196">
        <v>97700</v>
      </c>
      <c r="G165" s="192"/>
      <c r="H165" s="192"/>
      <c r="I165" s="194" t="s">
        <v>1011</v>
      </c>
      <c r="J165" s="193" t="s">
        <v>1115</v>
      </c>
      <c r="K165" s="194" t="s">
        <v>867</v>
      </c>
    </row>
    <row r="166" spans="1:11" ht="58.15" customHeight="1" x14ac:dyDescent="0.25">
      <c r="A166" s="192">
        <v>165</v>
      </c>
      <c r="B166" s="205" t="s">
        <v>3198</v>
      </c>
      <c r="C166" s="193" t="s">
        <v>3199</v>
      </c>
      <c r="D166" s="202" t="s">
        <v>3200</v>
      </c>
      <c r="E166" s="203">
        <v>45657</v>
      </c>
      <c r="F166" s="196">
        <v>167500</v>
      </c>
      <c r="G166" s="192"/>
      <c r="H166" s="192"/>
      <c r="I166" s="194" t="s">
        <v>2174</v>
      </c>
      <c r="J166" s="193" t="s">
        <v>1115</v>
      </c>
      <c r="K166" s="194" t="e">
        <v>#N/A</v>
      </c>
    </row>
    <row r="167" spans="1:11" ht="58.15" customHeight="1" x14ac:dyDescent="0.25">
      <c r="A167" s="192">
        <v>166</v>
      </c>
      <c r="B167" s="205" t="s">
        <v>3201</v>
      </c>
      <c r="C167" s="193" t="s">
        <v>3202</v>
      </c>
      <c r="D167" s="202" t="s">
        <v>3203</v>
      </c>
      <c r="E167" s="203">
        <v>45657</v>
      </c>
      <c r="F167" s="196">
        <v>14900</v>
      </c>
      <c r="G167" s="192"/>
      <c r="H167" s="192"/>
      <c r="I167" s="194" t="s">
        <v>2993</v>
      </c>
      <c r="J167" s="193" t="s">
        <v>1115</v>
      </c>
      <c r="K167" s="194" t="s">
        <v>832</v>
      </c>
    </row>
    <row r="168" spans="1:11" ht="58.15" customHeight="1" x14ac:dyDescent="0.25">
      <c r="A168" s="192">
        <v>167</v>
      </c>
      <c r="B168" s="205" t="s">
        <v>3204</v>
      </c>
      <c r="C168" s="193" t="s">
        <v>3205</v>
      </c>
      <c r="D168" s="202" t="s">
        <v>3206</v>
      </c>
      <c r="E168" s="203">
        <v>45657</v>
      </c>
      <c r="F168" s="196">
        <v>17200</v>
      </c>
      <c r="G168" s="192"/>
      <c r="H168" s="192"/>
      <c r="I168" s="194" t="s">
        <v>3207</v>
      </c>
      <c r="J168" s="193" t="s">
        <v>1115</v>
      </c>
      <c r="K168" s="194" t="s">
        <v>820</v>
      </c>
    </row>
    <row r="169" spans="1:11" ht="58.15" customHeight="1" x14ac:dyDescent="0.25">
      <c r="A169" s="192">
        <v>168</v>
      </c>
      <c r="B169" s="205" t="s">
        <v>3208</v>
      </c>
      <c r="C169" s="193" t="s">
        <v>3209</v>
      </c>
      <c r="D169" s="202" t="s">
        <v>3210</v>
      </c>
      <c r="E169" s="203">
        <v>45657</v>
      </c>
      <c r="F169" s="196">
        <v>134000</v>
      </c>
      <c r="G169" s="192"/>
      <c r="H169" s="192"/>
      <c r="I169" s="194" t="s">
        <v>1563</v>
      </c>
      <c r="J169" s="193" t="s">
        <v>1115</v>
      </c>
      <c r="K169" s="194" t="s">
        <v>3211</v>
      </c>
    </row>
    <row r="170" spans="1:11" ht="58.15" customHeight="1" x14ac:dyDescent="0.25">
      <c r="A170" s="192">
        <v>169</v>
      </c>
      <c r="B170" s="205" t="s">
        <v>3212</v>
      </c>
      <c r="C170" s="193" t="s">
        <v>3213</v>
      </c>
      <c r="D170" s="202" t="s">
        <v>3214</v>
      </c>
      <c r="E170" s="203">
        <v>45657</v>
      </c>
      <c r="F170" s="196">
        <v>16100</v>
      </c>
      <c r="G170" s="192"/>
      <c r="H170" s="192"/>
      <c r="I170" s="194" t="s">
        <v>3215</v>
      </c>
      <c r="J170" s="193" t="s">
        <v>1115</v>
      </c>
      <c r="K170" s="194" t="s">
        <v>3211</v>
      </c>
    </row>
    <row r="171" spans="1:11" ht="58.15" customHeight="1" x14ac:dyDescent="0.25">
      <c r="A171" s="192">
        <v>170</v>
      </c>
      <c r="B171" s="205" t="s">
        <v>3216</v>
      </c>
      <c r="C171" s="193" t="s">
        <v>3217</v>
      </c>
      <c r="D171" s="202" t="s">
        <v>3218</v>
      </c>
      <c r="E171" s="203">
        <v>45657</v>
      </c>
      <c r="F171" s="196">
        <v>41000</v>
      </c>
      <c r="G171" s="192"/>
      <c r="H171" s="192"/>
      <c r="I171" s="194" t="s">
        <v>1563</v>
      </c>
      <c r="J171" s="193" t="s">
        <v>1115</v>
      </c>
      <c r="K171" s="194" t="s">
        <v>3211</v>
      </c>
    </row>
    <row r="172" spans="1:11" ht="58.15" customHeight="1" x14ac:dyDescent="0.25">
      <c r="A172" s="192">
        <v>171</v>
      </c>
      <c r="B172" s="205" t="s">
        <v>3219</v>
      </c>
      <c r="C172" s="193" t="s">
        <v>3220</v>
      </c>
      <c r="D172" s="202" t="s">
        <v>3221</v>
      </c>
      <c r="E172" s="203">
        <v>45657</v>
      </c>
      <c r="F172" s="196">
        <v>16600</v>
      </c>
      <c r="G172" s="192"/>
      <c r="H172" s="192"/>
      <c r="I172" s="194" t="s">
        <v>1229</v>
      </c>
      <c r="J172" s="193" t="s">
        <v>1115</v>
      </c>
      <c r="K172" s="194" t="s">
        <v>867</v>
      </c>
    </row>
    <row r="173" spans="1:11" ht="58.15" customHeight="1" x14ac:dyDescent="0.25">
      <c r="A173" s="192">
        <v>172</v>
      </c>
      <c r="B173" s="205" t="s">
        <v>3222</v>
      </c>
      <c r="C173" s="193" t="s">
        <v>3223</v>
      </c>
      <c r="D173" s="202" t="s">
        <v>3224</v>
      </c>
      <c r="E173" s="203">
        <v>45657</v>
      </c>
      <c r="F173" s="196">
        <v>22600</v>
      </c>
      <c r="G173" s="192"/>
      <c r="H173" s="192"/>
      <c r="I173" s="194" t="s">
        <v>3225</v>
      </c>
      <c r="J173" s="193" t="s">
        <v>1115</v>
      </c>
      <c r="K173" s="194" t="s">
        <v>867</v>
      </c>
    </row>
    <row r="174" spans="1:11" ht="58.15" customHeight="1" x14ac:dyDescent="0.25">
      <c r="A174" s="192">
        <v>173</v>
      </c>
      <c r="B174" s="205" t="s">
        <v>3226</v>
      </c>
      <c r="C174" s="193" t="s">
        <v>3227</v>
      </c>
      <c r="D174" s="202" t="s">
        <v>3228</v>
      </c>
      <c r="E174" s="203">
        <v>45657</v>
      </c>
      <c r="F174" s="196">
        <v>20400</v>
      </c>
      <c r="G174" s="192"/>
      <c r="H174" s="192"/>
      <c r="I174" s="194" t="s">
        <v>3045</v>
      </c>
      <c r="J174" s="193" t="s">
        <v>1115</v>
      </c>
      <c r="K174" s="194" t="s">
        <v>3211</v>
      </c>
    </row>
    <row r="175" spans="1:11" ht="58.15" customHeight="1" x14ac:dyDescent="0.25">
      <c r="A175" s="192">
        <v>174</v>
      </c>
      <c r="B175" s="205" t="s">
        <v>3229</v>
      </c>
      <c r="C175" s="193" t="s">
        <v>3230</v>
      </c>
      <c r="D175" s="202" t="s">
        <v>3231</v>
      </c>
      <c r="E175" s="203">
        <v>45657</v>
      </c>
      <c r="F175" s="196">
        <v>22600</v>
      </c>
      <c r="G175" s="192"/>
      <c r="H175" s="192"/>
      <c r="I175" s="194" t="s">
        <v>1563</v>
      </c>
      <c r="J175" s="193" t="s">
        <v>1115</v>
      </c>
      <c r="K175" s="194" t="s">
        <v>3211</v>
      </c>
    </row>
    <row r="176" spans="1:11" ht="58.15" customHeight="1" x14ac:dyDescent="0.25">
      <c r="A176" s="192">
        <v>175</v>
      </c>
      <c r="B176" s="205" t="s">
        <v>3232</v>
      </c>
      <c r="C176" s="193" t="s">
        <v>3233</v>
      </c>
      <c r="D176" s="202" t="s">
        <v>3234</v>
      </c>
      <c r="E176" s="203">
        <v>45657</v>
      </c>
      <c r="F176" s="196">
        <v>25100</v>
      </c>
      <c r="G176" s="192"/>
      <c r="H176" s="192"/>
      <c r="I176" s="194" t="s">
        <v>929</v>
      </c>
      <c r="J176" s="193" t="s">
        <v>1115</v>
      </c>
      <c r="K176" s="194" t="s">
        <v>1496</v>
      </c>
    </row>
    <row r="177" spans="1:11" ht="58.15" customHeight="1" x14ac:dyDescent="0.25">
      <c r="A177" s="192">
        <v>176</v>
      </c>
      <c r="B177" s="205" t="s">
        <v>3235</v>
      </c>
      <c r="C177" s="193" t="s">
        <v>3236</v>
      </c>
      <c r="D177" s="202" t="s">
        <v>3237</v>
      </c>
      <c r="E177" s="203">
        <v>45657</v>
      </c>
      <c r="F177" s="196">
        <v>11200</v>
      </c>
      <c r="G177" s="192"/>
      <c r="H177" s="192"/>
      <c r="I177" s="194" t="s">
        <v>2287</v>
      </c>
      <c r="J177" s="193" t="s">
        <v>1115</v>
      </c>
      <c r="K177" s="194" t="s">
        <v>3238</v>
      </c>
    </row>
    <row r="178" spans="1:11" ht="58.15" customHeight="1" x14ac:dyDescent="0.25">
      <c r="A178" s="192">
        <v>177</v>
      </c>
      <c r="B178" s="205" t="s">
        <v>3239</v>
      </c>
      <c r="C178" s="193" t="s">
        <v>3240</v>
      </c>
      <c r="D178" s="202" t="s">
        <v>3241</v>
      </c>
      <c r="E178" s="203">
        <v>45657</v>
      </c>
      <c r="F178" s="196">
        <v>11200</v>
      </c>
      <c r="G178" s="192"/>
      <c r="H178" s="192"/>
      <c r="I178" s="194" t="s">
        <v>1563</v>
      </c>
      <c r="J178" s="193" t="s">
        <v>1115</v>
      </c>
      <c r="K178" s="194" t="s">
        <v>867</v>
      </c>
    </row>
    <row r="179" spans="1:11" ht="58.15" customHeight="1" x14ac:dyDescent="0.25">
      <c r="A179" s="192">
        <v>178</v>
      </c>
      <c r="B179" s="205" t="s">
        <v>3242</v>
      </c>
      <c r="C179" s="193" t="s">
        <v>3243</v>
      </c>
      <c r="D179" s="202" t="s">
        <v>3244</v>
      </c>
      <c r="E179" s="203">
        <v>45657</v>
      </c>
      <c r="F179" s="196">
        <v>22600</v>
      </c>
      <c r="G179" s="192"/>
      <c r="H179" s="192"/>
      <c r="I179" s="194" t="s">
        <v>1563</v>
      </c>
      <c r="J179" s="193" t="s">
        <v>1115</v>
      </c>
      <c r="K179" s="194" t="s">
        <v>867</v>
      </c>
    </row>
    <row r="180" spans="1:11" ht="58.15" customHeight="1" x14ac:dyDescent="0.25">
      <c r="A180" s="192">
        <v>179</v>
      </c>
      <c r="B180" s="205" t="s">
        <v>3245</v>
      </c>
      <c r="C180" s="193" t="s">
        <v>3246</v>
      </c>
      <c r="D180" s="202" t="s">
        <v>3247</v>
      </c>
      <c r="E180" s="203">
        <v>45657</v>
      </c>
      <c r="F180" s="196">
        <v>18200</v>
      </c>
      <c r="G180" s="192"/>
      <c r="H180" s="192"/>
      <c r="I180" s="194" t="s">
        <v>2933</v>
      </c>
      <c r="J180" s="193" t="s">
        <v>1115</v>
      </c>
      <c r="K180" s="194" t="s">
        <v>867</v>
      </c>
    </row>
    <row r="181" spans="1:11" ht="58.15" customHeight="1" x14ac:dyDescent="0.25">
      <c r="A181" s="192">
        <v>180</v>
      </c>
      <c r="B181" s="205" t="s">
        <v>3248</v>
      </c>
      <c r="C181" s="193" t="s">
        <v>3249</v>
      </c>
      <c r="D181" s="202" t="s">
        <v>3250</v>
      </c>
      <c r="E181" s="203">
        <v>45657</v>
      </c>
      <c r="F181" s="196">
        <v>22600</v>
      </c>
      <c r="G181" s="192"/>
      <c r="H181" s="192"/>
      <c r="I181" s="194" t="s">
        <v>1563</v>
      </c>
      <c r="J181" s="193" t="s">
        <v>1115</v>
      </c>
      <c r="K181" s="194" t="s">
        <v>867</v>
      </c>
    </row>
    <row r="182" spans="1:11" ht="58.15" customHeight="1" x14ac:dyDescent="0.25">
      <c r="A182" s="192">
        <v>181</v>
      </c>
      <c r="B182" s="205" t="s">
        <v>3251</v>
      </c>
      <c r="C182" s="193" t="s">
        <v>3252</v>
      </c>
      <c r="D182" s="202" t="s">
        <v>3253</v>
      </c>
      <c r="E182" s="203">
        <v>45657</v>
      </c>
      <c r="F182" s="196">
        <v>18200</v>
      </c>
      <c r="G182" s="192"/>
      <c r="H182" s="192"/>
      <c r="I182" s="194" t="s">
        <v>3207</v>
      </c>
      <c r="J182" s="193" t="s">
        <v>1115</v>
      </c>
      <c r="K182" s="194" t="s">
        <v>820</v>
      </c>
    </row>
    <row r="183" spans="1:11" ht="58.15" customHeight="1" x14ac:dyDescent="0.25">
      <c r="A183" s="192">
        <v>182</v>
      </c>
      <c r="B183" s="205" t="s">
        <v>3254</v>
      </c>
      <c r="C183" s="193" t="s">
        <v>3255</v>
      </c>
      <c r="D183" s="202" t="s">
        <v>3256</v>
      </c>
      <c r="E183" s="203">
        <v>45657</v>
      </c>
      <c r="F183" s="196">
        <v>16600</v>
      </c>
      <c r="G183" s="192"/>
      <c r="H183" s="192"/>
      <c r="I183" s="194" t="s">
        <v>3257</v>
      </c>
      <c r="J183" s="193" t="s">
        <v>1115</v>
      </c>
      <c r="K183" s="194" t="s">
        <v>867</v>
      </c>
    </row>
    <row r="184" spans="1:11" ht="58.15" customHeight="1" x14ac:dyDescent="0.25">
      <c r="A184" s="192">
        <v>183</v>
      </c>
      <c r="B184" s="205" t="s">
        <v>3258</v>
      </c>
      <c r="C184" s="193" t="s">
        <v>3259</v>
      </c>
      <c r="D184" s="202" t="s">
        <v>3260</v>
      </c>
      <c r="E184" s="203">
        <v>45657</v>
      </c>
      <c r="F184" s="196">
        <f>16600/2</f>
        <v>8300</v>
      </c>
      <c r="G184" s="192"/>
      <c r="H184" s="192"/>
      <c r="I184" s="194" t="s">
        <v>3261</v>
      </c>
      <c r="J184" s="193" t="s">
        <v>1115</v>
      </c>
      <c r="K184" s="194" t="s">
        <v>867</v>
      </c>
    </row>
    <row r="185" spans="1:11" ht="58.15" customHeight="1" x14ac:dyDescent="0.25">
      <c r="A185" s="192">
        <v>184</v>
      </c>
      <c r="B185" s="205" t="s">
        <v>3258</v>
      </c>
      <c r="C185" s="193" t="s">
        <v>3259</v>
      </c>
      <c r="D185" s="202" t="s">
        <v>3262</v>
      </c>
      <c r="E185" s="203">
        <v>45657</v>
      </c>
      <c r="F185" s="196">
        <f>16600/2</f>
        <v>8300</v>
      </c>
      <c r="G185" s="192"/>
      <c r="H185" s="192"/>
      <c r="I185" s="194" t="s">
        <v>3261</v>
      </c>
      <c r="J185" s="193" t="s">
        <v>1115</v>
      </c>
      <c r="K185" s="194" t="s">
        <v>867</v>
      </c>
    </row>
    <row r="186" spans="1:11" ht="58.15" customHeight="1" x14ac:dyDescent="0.25">
      <c r="A186" s="192">
        <v>185</v>
      </c>
      <c r="B186" s="205" t="s">
        <v>3263</v>
      </c>
      <c r="C186" s="193" t="s">
        <v>3264</v>
      </c>
      <c r="D186" s="202" t="s">
        <v>3265</v>
      </c>
      <c r="E186" s="203">
        <v>45657</v>
      </c>
      <c r="F186" s="196">
        <v>41900</v>
      </c>
      <c r="G186" s="192"/>
      <c r="H186" s="192"/>
      <c r="I186" s="194" t="s">
        <v>3018</v>
      </c>
      <c r="J186" s="193" t="s">
        <v>1115</v>
      </c>
      <c r="K186" s="194" t="s">
        <v>824</v>
      </c>
    </row>
    <row r="187" spans="1:11" ht="58.15" customHeight="1" x14ac:dyDescent="0.25">
      <c r="A187" s="192">
        <v>186</v>
      </c>
      <c r="B187" s="205" t="s">
        <v>3266</v>
      </c>
      <c r="C187" s="193" t="s">
        <v>3267</v>
      </c>
      <c r="D187" s="202" t="s">
        <v>3268</v>
      </c>
      <c r="E187" s="203">
        <v>45657</v>
      </c>
      <c r="F187" s="196">
        <v>10500</v>
      </c>
      <c r="G187" s="192"/>
      <c r="H187" s="192"/>
      <c r="I187" s="194" t="s">
        <v>3018</v>
      </c>
      <c r="J187" s="193" t="s">
        <v>1115</v>
      </c>
      <c r="K187" s="194" t="s">
        <v>824</v>
      </c>
    </row>
    <row r="188" spans="1:11" ht="58.15" customHeight="1" x14ac:dyDescent="0.25">
      <c r="A188" s="192">
        <v>187</v>
      </c>
      <c r="B188" s="205" t="s">
        <v>3269</v>
      </c>
      <c r="C188" s="193" t="s">
        <v>3270</v>
      </c>
      <c r="D188" s="202" t="s">
        <v>3271</v>
      </c>
      <c r="E188" s="203">
        <v>45657</v>
      </c>
      <c r="F188" s="196">
        <f>40200/2</f>
        <v>20100</v>
      </c>
      <c r="G188" s="192"/>
      <c r="H188" s="192"/>
      <c r="I188" s="194" t="s">
        <v>3272</v>
      </c>
      <c r="J188" s="193" t="s">
        <v>1115</v>
      </c>
      <c r="K188" s="194" t="s">
        <v>1301</v>
      </c>
    </row>
    <row r="189" spans="1:11" ht="58.15" customHeight="1" x14ac:dyDescent="0.25">
      <c r="A189" s="192">
        <v>188</v>
      </c>
      <c r="B189" s="205" t="s">
        <v>3269</v>
      </c>
      <c r="C189" s="193" t="s">
        <v>3270</v>
      </c>
      <c r="D189" s="202" t="s">
        <v>3273</v>
      </c>
      <c r="E189" s="203">
        <v>45657</v>
      </c>
      <c r="F189" s="196">
        <f>40200/2</f>
        <v>20100</v>
      </c>
      <c r="G189" s="192"/>
      <c r="H189" s="192"/>
      <c r="I189" s="194" t="s">
        <v>3272</v>
      </c>
      <c r="J189" s="193" t="s">
        <v>1115</v>
      </c>
      <c r="K189" s="194" t="s">
        <v>1301</v>
      </c>
    </row>
    <row r="190" spans="1:11" ht="58.15" customHeight="1" x14ac:dyDescent="0.25">
      <c r="A190" s="192">
        <v>189</v>
      </c>
      <c r="B190" s="205" t="s">
        <v>3274</v>
      </c>
      <c r="C190" s="193" t="s">
        <v>3275</v>
      </c>
      <c r="D190" s="202" t="s">
        <v>3276</v>
      </c>
      <c r="E190" s="203">
        <v>45657</v>
      </c>
      <c r="F190" s="196">
        <f>95000/2</f>
        <v>47500</v>
      </c>
      <c r="G190" s="192"/>
      <c r="H190" s="192"/>
      <c r="I190" s="194" t="s">
        <v>1563</v>
      </c>
      <c r="J190" s="193" t="s">
        <v>1115</v>
      </c>
      <c r="K190" s="194" t="s">
        <v>824</v>
      </c>
    </row>
    <row r="191" spans="1:11" ht="58.15" customHeight="1" x14ac:dyDescent="0.25">
      <c r="A191" s="192">
        <v>190</v>
      </c>
      <c r="B191" s="205" t="s">
        <v>3274</v>
      </c>
      <c r="C191" s="193" t="s">
        <v>3275</v>
      </c>
      <c r="D191" s="202" t="s">
        <v>3277</v>
      </c>
      <c r="E191" s="203">
        <v>45657</v>
      </c>
      <c r="F191" s="196">
        <f>95000/2</f>
        <v>47500</v>
      </c>
      <c r="G191" s="192"/>
      <c r="H191" s="192"/>
      <c r="I191" s="194" t="s">
        <v>1563</v>
      </c>
      <c r="J191" s="193" t="s">
        <v>1115</v>
      </c>
      <c r="K191" s="194" t="s">
        <v>824</v>
      </c>
    </row>
    <row r="192" spans="1:11" ht="58.15" customHeight="1" x14ac:dyDescent="0.25">
      <c r="A192" s="192">
        <v>191</v>
      </c>
      <c r="B192" s="205" t="s">
        <v>3278</v>
      </c>
      <c r="C192" s="193" t="s">
        <v>3279</v>
      </c>
      <c r="D192" s="202" t="s">
        <v>3280</v>
      </c>
      <c r="E192" s="203">
        <v>45657</v>
      </c>
      <c r="F192" s="196">
        <v>305600</v>
      </c>
      <c r="G192" s="192"/>
      <c r="H192" s="192"/>
      <c r="I192" s="194" t="s">
        <v>3281</v>
      </c>
      <c r="J192" s="193" t="s">
        <v>1115</v>
      </c>
      <c r="K192" s="194" t="s">
        <v>824</v>
      </c>
    </row>
    <row r="193" spans="1:11" ht="58.15" customHeight="1" x14ac:dyDescent="0.25">
      <c r="A193" s="192">
        <v>192</v>
      </c>
      <c r="B193" s="205" t="s">
        <v>3282</v>
      </c>
      <c r="C193" s="193" t="s">
        <v>3283</v>
      </c>
      <c r="D193" s="202" t="s">
        <v>3284</v>
      </c>
      <c r="E193" s="203">
        <v>45657</v>
      </c>
      <c r="F193" s="196">
        <v>27800</v>
      </c>
      <c r="G193" s="192"/>
      <c r="H193" s="192"/>
      <c r="I193" s="194" t="s">
        <v>3285</v>
      </c>
      <c r="J193" s="193" t="s">
        <v>1115</v>
      </c>
      <c r="K193" s="194" t="s">
        <v>824</v>
      </c>
    </row>
    <row r="194" spans="1:11" ht="58.15" customHeight="1" x14ac:dyDescent="0.25">
      <c r="A194" s="192">
        <v>193</v>
      </c>
      <c r="B194" s="205" t="s">
        <v>3286</v>
      </c>
      <c r="C194" s="193" t="s">
        <v>3287</v>
      </c>
      <c r="D194" s="202" t="s">
        <v>3288</v>
      </c>
      <c r="E194" s="203">
        <v>45657</v>
      </c>
      <c r="F194" s="196">
        <f>64200/2</f>
        <v>32100</v>
      </c>
      <c r="G194" s="192"/>
      <c r="H194" s="192"/>
      <c r="I194" s="194" t="s">
        <v>3285</v>
      </c>
      <c r="J194" s="193" t="s">
        <v>1115</v>
      </c>
      <c r="K194" s="194" t="s">
        <v>824</v>
      </c>
    </row>
    <row r="195" spans="1:11" ht="58.15" customHeight="1" x14ac:dyDescent="0.25">
      <c r="A195" s="192">
        <v>194</v>
      </c>
      <c r="B195" s="205" t="s">
        <v>3286</v>
      </c>
      <c r="C195" s="193" t="s">
        <v>3287</v>
      </c>
      <c r="D195" s="202" t="s">
        <v>3289</v>
      </c>
      <c r="E195" s="203">
        <v>45657</v>
      </c>
      <c r="F195" s="196">
        <f>64200/2</f>
        <v>32100</v>
      </c>
      <c r="G195" s="192"/>
      <c r="H195" s="192"/>
      <c r="I195" s="194" t="s">
        <v>3285</v>
      </c>
      <c r="J195" s="193" t="s">
        <v>1115</v>
      </c>
      <c r="K195" s="194" t="s">
        <v>824</v>
      </c>
    </row>
    <row r="196" spans="1:11" ht="58.15" customHeight="1" x14ac:dyDescent="0.25">
      <c r="A196" s="192">
        <v>195</v>
      </c>
      <c r="B196" s="205" t="s">
        <v>3290</v>
      </c>
      <c r="C196" s="193" t="s">
        <v>3291</v>
      </c>
      <c r="D196" s="202" t="s">
        <v>3292</v>
      </c>
      <c r="E196" s="203">
        <v>45657</v>
      </c>
      <c r="F196" s="196">
        <f>248800/5</f>
        <v>49760</v>
      </c>
      <c r="G196" s="192"/>
      <c r="H196" s="192"/>
      <c r="I196" s="194" t="s">
        <v>881</v>
      </c>
      <c r="J196" s="193" t="s">
        <v>1115</v>
      </c>
      <c r="K196" s="194" t="s">
        <v>867</v>
      </c>
    </row>
    <row r="197" spans="1:11" ht="58.15" customHeight="1" x14ac:dyDescent="0.25">
      <c r="A197" s="192">
        <v>196</v>
      </c>
      <c r="B197" s="205" t="s">
        <v>3290</v>
      </c>
      <c r="C197" s="193" t="s">
        <v>3291</v>
      </c>
      <c r="D197" s="202" t="s">
        <v>3293</v>
      </c>
      <c r="E197" s="203">
        <v>45657</v>
      </c>
      <c r="F197" s="196">
        <f t="shared" ref="F197:F200" si="4">248800/5</f>
        <v>49760</v>
      </c>
      <c r="G197" s="192"/>
      <c r="H197" s="192"/>
      <c r="I197" s="194" t="s">
        <v>881</v>
      </c>
      <c r="J197" s="193" t="s">
        <v>1115</v>
      </c>
      <c r="K197" s="194" t="s">
        <v>867</v>
      </c>
    </row>
    <row r="198" spans="1:11" ht="58.15" customHeight="1" x14ac:dyDescent="0.25">
      <c r="A198" s="192">
        <v>197</v>
      </c>
      <c r="B198" s="205" t="s">
        <v>3290</v>
      </c>
      <c r="C198" s="193" t="s">
        <v>3291</v>
      </c>
      <c r="D198" s="202" t="s">
        <v>3294</v>
      </c>
      <c r="E198" s="203">
        <v>45657</v>
      </c>
      <c r="F198" s="196">
        <f t="shared" si="4"/>
        <v>49760</v>
      </c>
      <c r="G198" s="192"/>
      <c r="H198" s="192"/>
      <c r="I198" s="194" t="s">
        <v>881</v>
      </c>
      <c r="J198" s="193" t="s">
        <v>1115</v>
      </c>
      <c r="K198" s="194" t="s">
        <v>867</v>
      </c>
    </row>
    <row r="199" spans="1:11" ht="58.15" customHeight="1" x14ac:dyDescent="0.25">
      <c r="A199" s="192">
        <v>198</v>
      </c>
      <c r="B199" s="205" t="s">
        <v>3290</v>
      </c>
      <c r="C199" s="193" t="s">
        <v>3291</v>
      </c>
      <c r="D199" s="202" t="s">
        <v>3295</v>
      </c>
      <c r="E199" s="203">
        <v>45657</v>
      </c>
      <c r="F199" s="196">
        <f t="shared" si="4"/>
        <v>49760</v>
      </c>
      <c r="G199" s="192"/>
      <c r="H199" s="192"/>
      <c r="I199" s="194" t="s">
        <v>881</v>
      </c>
      <c r="J199" s="193" t="s">
        <v>1115</v>
      </c>
      <c r="K199" s="194" t="s">
        <v>867</v>
      </c>
    </row>
    <row r="200" spans="1:11" ht="58.15" customHeight="1" x14ac:dyDescent="0.25">
      <c r="A200" s="192">
        <v>199</v>
      </c>
      <c r="B200" s="205" t="s">
        <v>3290</v>
      </c>
      <c r="C200" s="193" t="s">
        <v>3291</v>
      </c>
      <c r="D200" s="202" t="s">
        <v>3296</v>
      </c>
      <c r="E200" s="203">
        <v>45657</v>
      </c>
      <c r="F200" s="196">
        <f t="shared" si="4"/>
        <v>49760</v>
      </c>
      <c r="G200" s="192"/>
      <c r="H200" s="192"/>
      <c r="I200" s="194" t="s">
        <v>881</v>
      </c>
      <c r="J200" s="193" t="s">
        <v>1115</v>
      </c>
      <c r="K200" s="194" t="s">
        <v>867</v>
      </c>
    </row>
    <row r="201" spans="1:11" ht="58.15" customHeight="1" x14ac:dyDescent="0.25">
      <c r="A201" s="192">
        <v>200</v>
      </c>
      <c r="B201" s="205" t="s">
        <v>3297</v>
      </c>
      <c r="C201" s="193" t="s">
        <v>3298</v>
      </c>
      <c r="D201" s="202" t="s">
        <v>3299</v>
      </c>
      <c r="E201" s="203">
        <v>45657</v>
      </c>
      <c r="F201" s="196">
        <v>88900</v>
      </c>
      <c r="G201" s="192"/>
      <c r="H201" s="192"/>
      <c r="I201" s="194" t="s">
        <v>1158</v>
      </c>
      <c r="J201" s="193" t="s">
        <v>1115</v>
      </c>
      <c r="K201" s="194" t="s">
        <v>867</v>
      </c>
    </row>
    <row r="202" spans="1:11" ht="58.15" customHeight="1" x14ac:dyDescent="0.25">
      <c r="A202" s="192">
        <v>201</v>
      </c>
      <c r="B202" s="205" t="s">
        <v>3300</v>
      </c>
      <c r="C202" s="193" t="s">
        <v>3301</v>
      </c>
      <c r="D202" s="202" t="s">
        <v>3302</v>
      </c>
      <c r="E202" s="203">
        <v>45657</v>
      </c>
      <c r="F202" s="196">
        <v>90800</v>
      </c>
      <c r="G202" s="192"/>
      <c r="H202" s="192"/>
      <c r="I202" s="194" t="s">
        <v>929</v>
      </c>
      <c r="J202" s="193" t="s">
        <v>1115</v>
      </c>
      <c r="K202" s="194" t="s">
        <v>3168</v>
      </c>
    </row>
    <row r="203" spans="1:11" ht="58.15" customHeight="1" x14ac:dyDescent="0.25">
      <c r="A203" s="192">
        <v>202</v>
      </c>
      <c r="B203" s="205" t="s">
        <v>3303</v>
      </c>
      <c r="C203" s="193" t="s">
        <v>3304</v>
      </c>
      <c r="D203" s="202" t="s">
        <v>3305</v>
      </c>
      <c r="E203" s="203">
        <v>45657</v>
      </c>
      <c r="F203" s="196">
        <v>126500</v>
      </c>
      <c r="G203" s="192"/>
      <c r="H203" s="192"/>
      <c r="I203" s="194" t="s">
        <v>2199</v>
      </c>
      <c r="J203" s="193" t="s">
        <v>1115</v>
      </c>
      <c r="K203" s="194" t="s">
        <v>824</v>
      </c>
    </row>
    <row r="204" spans="1:11" ht="58.15" customHeight="1" x14ac:dyDescent="0.25">
      <c r="A204" s="192">
        <v>203</v>
      </c>
      <c r="B204" s="205" t="s">
        <v>3306</v>
      </c>
      <c r="C204" s="193" t="s">
        <v>3307</v>
      </c>
      <c r="D204" s="202" t="s">
        <v>3308</v>
      </c>
      <c r="E204" s="203">
        <v>45657</v>
      </c>
      <c r="F204" s="196">
        <v>533200</v>
      </c>
      <c r="G204" s="192"/>
      <c r="H204" s="192"/>
      <c r="I204" s="194" t="s">
        <v>3309</v>
      </c>
      <c r="J204" s="193" t="s">
        <v>1115</v>
      </c>
      <c r="K204" s="194" t="s">
        <v>824</v>
      </c>
    </row>
    <row r="205" spans="1:11" ht="58.15" customHeight="1" x14ac:dyDescent="0.25">
      <c r="A205" s="192">
        <v>204</v>
      </c>
      <c r="B205" s="205" t="s">
        <v>3310</v>
      </c>
      <c r="C205" s="193" t="s">
        <v>3311</v>
      </c>
      <c r="D205" s="202" t="s">
        <v>3312</v>
      </c>
      <c r="E205" s="203">
        <v>45657</v>
      </c>
      <c r="F205" s="196">
        <v>214000</v>
      </c>
      <c r="G205" s="192"/>
      <c r="H205" s="192"/>
      <c r="I205" s="194" t="s">
        <v>2993</v>
      </c>
      <c r="J205" s="193" t="s">
        <v>1115</v>
      </c>
      <c r="K205" s="194" t="s">
        <v>867</v>
      </c>
    </row>
    <row r="206" spans="1:11" ht="58.15" customHeight="1" x14ac:dyDescent="0.25">
      <c r="A206" s="192">
        <v>205</v>
      </c>
      <c r="B206" s="205" t="s">
        <v>3313</v>
      </c>
      <c r="C206" s="193" t="s">
        <v>3314</v>
      </c>
      <c r="D206" s="202" t="s">
        <v>3315</v>
      </c>
      <c r="E206" s="203">
        <v>45657</v>
      </c>
      <c r="F206" s="196">
        <f>135100/2</f>
        <v>67550</v>
      </c>
      <c r="G206" s="192"/>
      <c r="H206" s="192"/>
      <c r="I206" s="194" t="s">
        <v>2949</v>
      </c>
      <c r="J206" s="193" t="s">
        <v>1115</v>
      </c>
      <c r="K206" s="194" t="s">
        <v>867</v>
      </c>
    </row>
    <row r="207" spans="1:11" ht="58.15" customHeight="1" x14ac:dyDescent="0.25">
      <c r="A207" s="192">
        <v>206</v>
      </c>
      <c r="B207" s="205" t="s">
        <v>3313</v>
      </c>
      <c r="C207" s="193" t="s">
        <v>3314</v>
      </c>
      <c r="D207" s="202" t="s">
        <v>3316</v>
      </c>
      <c r="E207" s="203">
        <v>45657</v>
      </c>
      <c r="F207" s="196">
        <f>135100/2</f>
        <v>67550</v>
      </c>
      <c r="G207" s="192"/>
      <c r="H207" s="192"/>
      <c r="I207" s="194" t="s">
        <v>2949</v>
      </c>
      <c r="J207" s="193" t="s">
        <v>1115</v>
      </c>
      <c r="K207" s="194" t="s">
        <v>867</v>
      </c>
    </row>
    <row r="208" spans="1:11" ht="58.15" customHeight="1" x14ac:dyDescent="0.25">
      <c r="A208" s="192">
        <v>207</v>
      </c>
      <c r="B208" s="205" t="s">
        <v>3317</v>
      </c>
      <c r="C208" s="193" t="s">
        <v>3318</v>
      </c>
      <c r="D208" s="202" t="s">
        <v>3319</v>
      </c>
      <c r="E208" s="203">
        <v>45657</v>
      </c>
      <c r="F208" s="196">
        <v>69800</v>
      </c>
      <c r="G208" s="192"/>
      <c r="H208" s="192"/>
      <c r="I208" s="194" t="s">
        <v>884</v>
      </c>
      <c r="J208" s="193" t="s">
        <v>1115</v>
      </c>
      <c r="K208" s="194" t="s">
        <v>867</v>
      </c>
    </row>
    <row r="209" spans="1:11" ht="58.15" customHeight="1" x14ac:dyDescent="0.25">
      <c r="A209" s="192">
        <v>208</v>
      </c>
      <c r="B209" s="205" t="s">
        <v>3320</v>
      </c>
      <c r="C209" s="193" t="s">
        <v>3321</v>
      </c>
      <c r="D209" s="202" t="s">
        <v>3322</v>
      </c>
      <c r="E209" s="203">
        <v>45657</v>
      </c>
      <c r="F209" s="196">
        <v>106900</v>
      </c>
      <c r="G209" s="192"/>
      <c r="H209" s="192"/>
      <c r="I209" s="194" t="s">
        <v>3323</v>
      </c>
      <c r="J209" s="193" t="s">
        <v>1115</v>
      </c>
      <c r="K209" s="194" t="s">
        <v>3324</v>
      </c>
    </row>
    <row r="210" spans="1:11" ht="58.15" customHeight="1" x14ac:dyDescent="0.25">
      <c r="A210" s="192">
        <v>209</v>
      </c>
      <c r="B210" s="205" t="s">
        <v>3325</v>
      </c>
      <c r="C210" s="193" t="s">
        <v>3326</v>
      </c>
      <c r="D210" s="202" t="s">
        <v>3327</v>
      </c>
      <c r="E210" s="203">
        <v>45657</v>
      </c>
      <c r="F210" s="196">
        <f>98300/2</f>
        <v>49150</v>
      </c>
      <c r="G210" s="192"/>
      <c r="H210" s="192"/>
      <c r="I210" s="194" t="s">
        <v>1563</v>
      </c>
      <c r="J210" s="193" t="s">
        <v>1115</v>
      </c>
      <c r="K210" s="194" t="s">
        <v>867</v>
      </c>
    </row>
    <row r="211" spans="1:11" ht="58.15" customHeight="1" x14ac:dyDescent="0.25">
      <c r="A211" s="192">
        <v>210</v>
      </c>
      <c r="B211" s="205" t="s">
        <v>3325</v>
      </c>
      <c r="C211" s="193" t="s">
        <v>3326</v>
      </c>
      <c r="D211" s="202" t="s">
        <v>3328</v>
      </c>
      <c r="E211" s="203">
        <v>45657</v>
      </c>
      <c r="F211" s="196">
        <f>98300/2</f>
        <v>49150</v>
      </c>
      <c r="G211" s="192"/>
      <c r="H211" s="192"/>
      <c r="I211" s="194" t="s">
        <v>1563</v>
      </c>
      <c r="J211" s="193" t="s">
        <v>1115</v>
      </c>
      <c r="K211" s="194" t="s">
        <v>867</v>
      </c>
    </row>
    <row r="212" spans="1:11" ht="58.15" customHeight="1" x14ac:dyDescent="0.25">
      <c r="A212" s="192">
        <v>211</v>
      </c>
      <c r="B212" s="205" t="s">
        <v>3329</v>
      </c>
      <c r="C212" s="193" t="s">
        <v>3330</v>
      </c>
      <c r="D212" s="202" t="s">
        <v>3331</v>
      </c>
      <c r="E212" s="203">
        <v>45657</v>
      </c>
      <c r="F212" s="196">
        <f>144100/2</f>
        <v>72050</v>
      </c>
      <c r="G212" s="192"/>
      <c r="H212" s="192"/>
      <c r="I212" s="194" t="s">
        <v>843</v>
      </c>
      <c r="J212" s="193" t="s">
        <v>1115</v>
      </c>
      <c r="K212" s="194" t="s">
        <v>824</v>
      </c>
    </row>
    <row r="213" spans="1:11" ht="58.15" customHeight="1" x14ac:dyDescent="0.25">
      <c r="A213" s="192">
        <v>212</v>
      </c>
      <c r="B213" s="205" t="s">
        <v>3329</v>
      </c>
      <c r="C213" s="193" t="s">
        <v>3330</v>
      </c>
      <c r="D213" s="202" t="s">
        <v>3332</v>
      </c>
      <c r="E213" s="203">
        <v>45657</v>
      </c>
      <c r="F213" s="196">
        <f>144100/2</f>
        <v>72050</v>
      </c>
      <c r="G213" s="192"/>
      <c r="H213" s="192"/>
      <c r="I213" s="194" t="s">
        <v>843</v>
      </c>
      <c r="J213" s="193" t="s">
        <v>1115</v>
      </c>
      <c r="K213" s="194" t="s">
        <v>824</v>
      </c>
    </row>
    <row r="214" spans="1:11" ht="58.15" customHeight="1" x14ac:dyDescent="0.25">
      <c r="A214" s="192">
        <v>213</v>
      </c>
      <c r="B214" s="205" t="s">
        <v>3333</v>
      </c>
      <c r="C214" s="193" t="s">
        <v>3334</v>
      </c>
      <c r="D214" s="202" t="s">
        <v>3335</v>
      </c>
      <c r="E214" s="203">
        <v>45657</v>
      </c>
      <c r="F214" s="196">
        <v>107400</v>
      </c>
      <c r="G214" s="192"/>
      <c r="H214" s="192"/>
      <c r="I214" s="194" t="s">
        <v>3336</v>
      </c>
      <c r="J214" s="193" t="s">
        <v>1115</v>
      </c>
      <c r="K214" s="194" t="s">
        <v>867</v>
      </c>
    </row>
    <row r="215" spans="1:11" ht="58.15" customHeight="1" x14ac:dyDescent="0.25">
      <c r="A215" s="192">
        <v>214</v>
      </c>
      <c r="B215" s="205" t="s">
        <v>3337</v>
      </c>
      <c r="C215" s="193" t="s">
        <v>3338</v>
      </c>
      <c r="D215" s="202" t="s">
        <v>3339</v>
      </c>
      <c r="E215" s="203">
        <v>45657</v>
      </c>
      <c r="F215" s="196">
        <v>198100</v>
      </c>
      <c r="G215" s="192"/>
      <c r="H215" s="192"/>
      <c r="I215" s="194" t="s">
        <v>3336</v>
      </c>
      <c r="J215" s="193" t="s">
        <v>1115</v>
      </c>
      <c r="K215" s="194" t="s">
        <v>867</v>
      </c>
    </row>
    <row r="216" spans="1:11" ht="58.15" customHeight="1" x14ac:dyDescent="0.25">
      <c r="A216" s="192">
        <v>215</v>
      </c>
      <c r="B216" s="205" t="s">
        <v>3340</v>
      </c>
      <c r="C216" s="193" t="s">
        <v>3341</v>
      </c>
      <c r="D216" s="202" t="s">
        <v>3342</v>
      </c>
      <c r="E216" s="203">
        <v>45657</v>
      </c>
      <c r="F216" s="196">
        <v>100500</v>
      </c>
      <c r="G216" s="192"/>
      <c r="H216" s="192"/>
      <c r="I216" s="194" t="s">
        <v>3343</v>
      </c>
      <c r="J216" s="193" t="s">
        <v>1115</v>
      </c>
      <c r="K216" s="194" t="s">
        <v>867</v>
      </c>
    </row>
    <row r="217" spans="1:11" ht="58.15" customHeight="1" x14ac:dyDescent="0.25">
      <c r="A217" s="192">
        <v>216</v>
      </c>
      <c r="B217" s="205" t="s">
        <v>3344</v>
      </c>
      <c r="C217" s="193" t="s">
        <v>3345</v>
      </c>
      <c r="D217" s="202" t="s">
        <v>3346</v>
      </c>
      <c r="E217" s="203">
        <v>45657</v>
      </c>
      <c r="F217" s="196">
        <f>204400/3</f>
        <v>68133.333333333328</v>
      </c>
      <c r="G217" s="192"/>
      <c r="H217" s="192"/>
      <c r="I217" s="194" t="s">
        <v>3347</v>
      </c>
      <c r="J217" s="193" t="s">
        <v>1115</v>
      </c>
      <c r="K217" s="194" t="s">
        <v>3211</v>
      </c>
    </row>
    <row r="218" spans="1:11" ht="58.15" customHeight="1" x14ac:dyDescent="0.25">
      <c r="A218" s="192">
        <v>217</v>
      </c>
      <c r="B218" s="205" t="s">
        <v>3344</v>
      </c>
      <c r="C218" s="193" t="s">
        <v>3345</v>
      </c>
      <c r="D218" s="202" t="s">
        <v>3348</v>
      </c>
      <c r="E218" s="203">
        <v>45657</v>
      </c>
      <c r="F218" s="196">
        <f t="shared" ref="F218:F219" si="5">204400/3</f>
        <v>68133.333333333328</v>
      </c>
      <c r="G218" s="192"/>
      <c r="H218" s="192"/>
      <c r="I218" s="194" t="s">
        <v>3347</v>
      </c>
      <c r="J218" s="193" t="s">
        <v>1115</v>
      </c>
      <c r="K218" s="194" t="s">
        <v>3211</v>
      </c>
    </row>
    <row r="219" spans="1:11" ht="58.15" customHeight="1" x14ac:dyDescent="0.25">
      <c r="A219" s="192">
        <v>218</v>
      </c>
      <c r="B219" s="205" t="s">
        <v>3344</v>
      </c>
      <c r="C219" s="193" t="s">
        <v>3345</v>
      </c>
      <c r="D219" s="202" t="s">
        <v>3349</v>
      </c>
      <c r="E219" s="203">
        <v>45657</v>
      </c>
      <c r="F219" s="196">
        <f t="shared" si="5"/>
        <v>68133.333333333328</v>
      </c>
      <c r="G219" s="192"/>
      <c r="H219" s="192"/>
      <c r="I219" s="194" t="s">
        <v>3347</v>
      </c>
      <c r="J219" s="193" t="s">
        <v>1115</v>
      </c>
      <c r="K219" s="194" t="s">
        <v>3211</v>
      </c>
    </row>
    <row r="220" spans="1:11" ht="58.15" customHeight="1" x14ac:dyDescent="0.25">
      <c r="A220" s="192">
        <v>219</v>
      </c>
      <c r="B220" s="205" t="s">
        <v>3350</v>
      </c>
      <c r="C220" s="193" t="s">
        <v>3351</v>
      </c>
      <c r="D220" s="202" t="s">
        <v>3352</v>
      </c>
      <c r="E220" s="203">
        <v>45657</v>
      </c>
      <c r="F220" s="196">
        <v>84600</v>
      </c>
      <c r="G220" s="192"/>
      <c r="H220" s="192"/>
      <c r="I220" s="194" t="s">
        <v>1158</v>
      </c>
      <c r="J220" s="193" t="s">
        <v>1115</v>
      </c>
      <c r="K220" s="194" t="s">
        <v>867</v>
      </c>
    </row>
    <row r="221" spans="1:11" ht="58.15" customHeight="1" x14ac:dyDescent="0.25">
      <c r="A221" s="192">
        <v>220</v>
      </c>
      <c r="B221" s="205" t="s">
        <v>3353</v>
      </c>
      <c r="C221" s="193" t="s">
        <v>3354</v>
      </c>
      <c r="D221" s="202" t="s">
        <v>3355</v>
      </c>
      <c r="E221" s="203">
        <v>45657</v>
      </c>
      <c r="F221" s="196">
        <v>51500</v>
      </c>
      <c r="G221" s="192"/>
      <c r="H221" s="192"/>
      <c r="I221" s="194" t="s">
        <v>1563</v>
      </c>
      <c r="J221" s="193" t="s">
        <v>1115</v>
      </c>
      <c r="K221" s="194" t="s">
        <v>867</v>
      </c>
    </row>
    <row r="222" spans="1:11" ht="58.15" customHeight="1" x14ac:dyDescent="0.25">
      <c r="A222" s="192">
        <v>221</v>
      </c>
      <c r="B222" s="205" t="s">
        <v>3356</v>
      </c>
      <c r="C222" s="193" t="s">
        <v>3357</v>
      </c>
      <c r="D222" s="202" t="s">
        <v>3358</v>
      </c>
      <c r="E222" s="203">
        <v>45657</v>
      </c>
      <c r="F222" s="196">
        <v>90000</v>
      </c>
      <c r="G222" s="192"/>
      <c r="H222" s="192"/>
      <c r="I222" s="194" t="s">
        <v>3359</v>
      </c>
      <c r="J222" s="193" t="s">
        <v>1115</v>
      </c>
      <c r="K222" s="194" t="s">
        <v>3360</v>
      </c>
    </row>
    <row r="223" spans="1:11" ht="58.15" customHeight="1" x14ac:dyDescent="0.25">
      <c r="A223" s="192">
        <v>222</v>
      </c>
      <c r="B223" s="205" t="s">
        <v>3361</v>
      </c>
      <c r="C223" s="193" t="s">
        <v>3362</v>
      </c>
      <c r="D223" s="202" t="s">
        <v>3363</v>
      </c>
      <c r="E223" s="203">
        <v>45657</v>
      </c>
      <c r="F223" s="196">
        <v>41500</v>
      </c>
      <c r="G223" s="192"/>
      <c r="H223" s="192"/>
      <c r="I223" s="194" t="s">
        <v>3336</v>
      </c>
      <c r="J223" s="193" t="s">
        <v>1115</v>
      </c>
      <c r="K223" s="194" t="s">
        <v>867</v>
      </c>
    </row>
    <row r="224" spans="1:11" ht="58.15" customHeight="1" x14ac:dyDescent="0.25">
      <c r="A224" s="192">
        <v>223</v>
      </c>
      <c r="B224" s="205" t="s">
        <v>3353</v>
      </c>
      <c r="C224" s="193" t="s">
        <v>3364</v>
      </c>
      <c r="D224" s="202" t="s">
        <v>3365</v>
      </c>
      <c r="E224" s="203">
        <v>45657</v>
      </c>
      <c r="F224" s="196">
        <v>34400</v>
      </c>
      <c r="G224" s="192"/>
      <c r="H224" s="192"/>
      <c r="I224" s="194" t="s">
        <v>2199</v>
      </c>
      <c r="J224" s="193" t="s">
        <v>1115</v>
      </c>
      <c r="K224" s="194" t="s">
        <v>867</v>
      </c>
    </row>
    <row r="225" spans="1:11" ht="58.15" customHeight="1" x14ac:dyDescent="0.25">
      <c r="A225" s="192">
        <v>224</v>
      </c>
      <c r="B225" s="205" t="s">
        <v>3366</v>
      </c>
      <c r="C225" s="193" t="s">
        <v>3367</v>
      </c>
      <c r="D225" s="202" t="s">
        <v>3368</v>
      </c>
      <c r="E225" s="203">
        <v>45657</v>
      </c>
      <c r="F225" s="196">
        <v>198700</v>
      </c>
      <c r="G225" s="192"/>
      <c r="H225" s="192"/>
      <c r="I225" s="194" t="s">
        <v>977</v>
      </c>
      <c r="J225" s="193" t="s">
        <v>1115</v>
      </c>
      <c r="K225" s="194" t="s">
        <v>867</v>
      </c>
    </row>
    <row r="226" spans="1:11" ht="58.15" customHeight="1" x14ac:dyDescent="0.25">
      <c r="A226" s="192">
        <v>225</v>
      </c>
      <c r="B226" s="205" t="s">
        <v>3369</v>
      </c>
      <c r="C226" s="193" t="s">
        <v>3370</v>
      </c>
      <c r="D226" s="202" t="s">
        <v>3371</v>
      </c>
      <c r="E226" s="203">
        <v>45657</v>
      </c>
      <c r="F226" s="196">
        <f>248800/7</f>
        <v>35542.857142857145</v>
      </c>
      <c r="G226" s="192"/>
      <c r="H226" s="192"/>
      <c r="I226" s="194" t="s">
        <v>1563</v>
      </c>
      <c r="J226" s="193" t="s">
        <v>1115</v>
      </c>
      <c r="K226" s="194" t="s">
        <v>3372</v>
      </c>
    </row>
    <row r="227" spans="1:11" ht="58.15" customHeight="1" x14ac:dyDescent="0.25">
      <c r="A227" s="192">
        <v>226</v>
      </c>
      <c r="B227" s="205" t="s">
        <v>3369</v>
      </c>
      <c r="C227" s="193" t="s">
        <v>3370</v>
      </c>
      <c r="D227" s="202" t="s">
        <v>3373</v>
      </c>
      <c r="E227" s="203">
        <v>45657</v>
      </c>
      <c r="F227" s="196">
        <f t="shared" ref="F227:F232" si="6">248800/7</f>
        <v>35542.857142857145</v>
      </c>
      <c r="G227" s="192"/>
      <c r="H227" s="192"/>
      <c r="I227" s="194" t="s">
        <v>1563</v>
      </c>
      <c r="J227" s="193" t="s">
        <v>1115</v>
      </c>
      <c r="K227" s="194" t="s">
        <v>3372</v>
      </c>
    </row>
    <row r="228" spans="1:11" ht="58.15" customHeight="1" x14ac:dyDescent="0.25">
      <c r="A228" s="192">
        <v>227</v>
      </c>
      <c r="B228" s="205" t="s">
        <v>3369</v>
      </c>
      <c r="C228" s="193" t="s">
        <v>3370</v>
      </c>
      <c r="D228" s="202" t="s">
        <v>3374</v>
      </c>
      <c r="E228" s="203">
        <v>45657</v>
      </c>
      <c r="F228" s="196">
        <f t="shared" si="6"/>
        <v>35542.857142857145</v>
      </c>
      <c r="G228" s="192"/>
      <c r="H228" s="192"/>
      <c r="I228" s="194" t="s">
        <v>1563</v>
      </c>
      <c r="J228" s="193" t="s">
        <v>1115</v>
      </c>
      <c r="K228" s="194" t="s">
        <v>3372</v>
      </c>
    </row>
    <row r="229" spans="1:11" ht="58.15" customHeight="1" x14ac:dyDescent="0.25">
      <c r="A229" s="192">
        <v>228</v>
      </c>
      <c r="B229" s="205" t="s">
        <v>3369</v>
      </c>
      <c r="C229" s="193" t="s">
        <v>3370</v>
      </c>
      <c r="D229" s="202" t="s">
        <v>3375</v>
      </c>
      <c r="E229" s="203">
        <v>45657</v>
      </c>
      <c r="F229" s="196">
        <f t="shared" si="6"/>
        <v>35542.857142857145</v>
      </c>
      <c r="G229" s="192"/>
      <c r="H229" s="192"/>
      <c r="I229" s="194" t="s">
        <v>1563</v>
      </c>
      <c r="J229" s="193" t="s">
        <v>1115</v>
      </c>
      <c r="K229" s="194" t="s">
        <v>3372</v>
      </c>
    </row>
    <row r="230" spans="1:11" ht="58.15" customHeight="1" x14ac:dyDescent="0.25">
      <c r="A230" s="192">
        <v>229</v>
      </c>
      <c r="B230" s="205" t="s">
        <v>3369</v>
      </c>
      <c r="C230" s="193" t="s">
        <v>3370</v>
      </c>
      <c r="D230" s="202" t="s">
        <v>3376</v>
      </c>
      <c r="E230" s="203">
        <v>45657</v>
      </c>
      <c r="F230" s="196">
        <f t="shared" si="6"/>
        <v>35542.857142857145</v>
      </c>
      <c r="G230" s="192"/>
      <c r="H230" s="192"/>
      <c r="I230" s="194" t="s">
        <v>1563</v>
      </c>
      <c r="J230" s="193" t="s">
        <v>1115</v>
      </c>
      <c r="K230" s="194" t="s">
        <v>3372</v>
      </c>
    </row>
    <row r="231" spans="1:11" ht="58.15" customHeight="1" x14ac:dyDescent="0.25">
      <c r="A231" s="192">
        <v>230</v>
      </c>
      <c r="B231" s="205" t="s">
        <v>3369</v>
      </c>
      <c r="C231" s="193" t="s">
        <v>3370</v>
      </c>
      <c r="D231" s="202" t="s">
        <v>3377</v>
      </c>
      <c r="E231" s="203">
        <v>45657</v>
      </c>
      <c r="F231" s="196">
        <f t="shared" si="6"/>
        <v>35542.857142857145</v>
      </c>
      <c r="G231" s="192"/>
      <c r="H231" s="192"/>
      <c r="I231" s="194" t="s">
        <v>1563</v>
      </c>
      <c r="J231" s="193" t="s">
        <v>1115</v>
      </c>
      <c r="K231" s="194" t="s">
        <v>3372</v>
      </c>
    </row>
    <row r="232" spans="1:11" ht="58.15" customHeight="1" x14ac:dyDescent="0.25">
      <c r="A232" s="192">
        <v>231</v>
      </c>
      <c r="B232" s="205" t="s">
        <v>3369</v>
      </c>
      <c r="C232" s="193" t="s">
        <v>3370</v>
      </c>
      <c r="D232" s="202" t="s">
        <v>3378</v>
      </c>
      <c r="E232" s="203">
        <v>45657</v>
      </c>
      <c r="F232" s="196">
        <f t="shared" si="6"/>
        <v>35542.857142857145</v>
      </c>
      <c r="G232" s="192"/>
      <c r="H232" s="192"/>
      <c r="I232" s="194" t="s">
        <v>1563</v>
      </c>
      <c r="J232" s="193" t="s">
        <v>1115</v>
      </c>
      <c r="K232" s="194" t="s">
        <v>3372</v>
      </c>
    </row>
    <row r="233" spans="1:11" ht="58.15" customHeight="1" x14ac:dyDescent="0.25">
      <c r="A233" s="192">
        <v>232</v>
      </c>
      <c r="B233" s="205" t="s">
        <v>3379</v>
      </c>
      <c r="C233" s="193" t="s">
        <v>3380</v>
      </c>
      <c r="D233" s="202" t="s">
        <v>3381</v>
      </c>
      <c r="E233" s="203">
        <v>45657</v>
      </c>
      <c r="F233" s="196">
        <v>214400</v>
      </c>
      <c r="G233" s="192"/>
      <c r="H233" s="192"/>
      <c r="I233" s="194" t="s">
        <v>929</v>
      </c>
      <c r="J233" s="193" t="s">
        <v>1115</v>
      </c>
      <c r="K233" s="194" t="s">
        <v>824</v>
      </c>
    </row>
    <row r="234" spans="1:11" ht="58.15" customHeight="1" x14ac:dyDescent="0.25">
      <c r="A234" s="192">
        <v>233</v>
      </c>
      <c r="B234" s="205" t="s">
        <v>3382</v>
      </c>
      <c r="C234" s="193" t="s">
        <v>3383</v>
      </c>
      <c r="D234" s="202" t="s">
        <v>3384</v>
      </c>
      <c r="E234" s="203">
        <v>45657</v>
      </c>
      <c r="F234" s="196">
        <f>187200/2</f>
        <v>93600</v>
      </c>
      <c r="G234" s="192"/>
      <c r="H234" s="192"/>
      <c r="I234" s="194" t="s">
        <v>1173</v>
      </c>
      <c r="J234" s="193" t="s">
        <v>1115</v>
      </c>
      <c r="K234" s="194" t="s">
        <v>824</v>
      </c>
    </row>
    <row r="235" spans="1:11" ht="58.15" customHeight="1" x14ac:dyDescent="0.25">
      <c r="A235" s="192">
        <v>234</v>
      </c>
      <c r="B235" s="205" t="s">
        <v>3382</v>
      </c>
      <c r="C235" s="193" t="s">
        <v>3383</v>
      </c>
      <c r="D235" s="202" t="s">
        <v>3385</v>
      </c>
      <c r="E235" s="203">
        <v>45657</v>
      </c>
      <c r="F235" s="196">
        <f>187200/2</f>
        <v>93600</v>
      </c>
      <c r="G235" s="192"/>
      <c r="H235" s="192"/>
      <c r="I235" s="194" t="s">
        <v>1173</v>
      </c>
      <c r="J235" s="193" t="s">
        <v>1115</v>
      </c>
      <c r="K235" s="194" t="s">
        <v>824</v>
      </c>
    </row>
    <row r="236" spans="1:11" ht="58.15" customHeight="1" x14ac:dyDescent="0.25">
      <c r="A236" s="192">
        <v>235</v>
      </c>
      <c r="B236" s="205" t="s">
        <v>3386</v>
      </c>
      <c r="C236" s="193" t="s">
        <v>3387</v>
      </c>
      <c r="D236" s="202" t="s">
        <v>3388</v>
      </c>
      <c r="E236" s="203">
        <v>45657</v>
      </c>
      <c r="F236" s="196">
        <v>68300</v>
      </c>
      <c r="G236" s="192"/>
      <c r="H236" s="192"/>
      <c r="I236" s="194" t="s">
        <v>3336</v>
      </c>
      <c r="J236" s="193" t="s">
        <v>1115</v>
      </c>
      <c r="K236" s="194" t="s">
        <v>867</v>
      </c>
    </row>
    <row r="237" spans="1:11" ht="58.15" customHeight="1" x14ac:dyDescent="0.25">
      <c r="A237" s="192">
        <v>236</v>
      </c>
      <c r="B237" s="205" t="s">
        <v>3389</v>
      </c>
      <c r="C237" s="193" t="s">
        <v>3390</v>
      </c>
      <c r="D237" s="202" t="s">
        <v>3391</v>
      </c>
      <c r="E237" s="203">
        <v>45657</v>
      </c>
      <c r="F237" s="196">
        <v>80400</v>
      </c>
      <c r="G237" s="192"/>
      <c r="H237" s="192"/>
      <c r="I237" s="194" t="s">
        <v>1158</v>
      </c>
      <c r="J237" s="193" t="s">
        <v>1115</v>
      </c>
      <c r="K237" s="194" t="s">
        <v>824</v>
      </c>
    </row>
    <row r="238" spans="1:11" ht="58.15" customHeight="1" x14ac:dyDescent="0.25">
      <c r="A238" s="192">
        <v>237</v>
      </c>
      <c r="B238" s="205" t="s">
        <v>3392</v>
      </c>
      <c r="C238" s="193" t="s">
        <v>3393</v>
      </c>
      <c r="D238" s="202" t="s">
        <v>3394</v>
      </c>
      <c r="E238" s="203">
        <v>45657</v>
      </c>
      <c r="F238" s="196">
        <f>160800/2</f>
        <v>80400</v>
      </c>
      <c r="G238" s="192"/>
      <c r="H238" s="192"/>
      <c r="I238" s="194" t="s">
        <v>1158</v>
      </c>
      <c r="J238" s="193" t="s">
        <v>1115</v>
      </c>
      <c r="K238" s="194" t="s">
        <v>824</v>
      </c>
    </row>
    <row r="239" spans="1:11" ht="58.15" customHeight="1" x14ac:dyDescent="0.25">
      <c r="A239" s="192">
        <v>238</v>
      </c>
      <c r="B239" s="205" t="s">
        <v>3392</v>
      </c>
      <c r="C239" s="193" t="s">
        <v>3393</v>
      </c>
      <c r="D239" s="202" t="s">
        <v>3395</v>
      </c>
      <c r="E239" s="203">
        <v>45657</v>
      </c>
      <c r="F239" s="196">
        <f>160800/2</f>
        <v>80400</v>
      </c>
      <c r="G239" s="192"/>
      <c r="H239" s="192"/>
      <c r="I239" s="194" t="s">
        <v>1158</v>
      </c>
      <c r="J239" s="193" t="s">
        <v>1115</v>
      </c>
      <c r="K239" s="194" t="s">
        <v>824</v>
      </c>
    </row>
    <row r="240" spans="1:11" ht="58.15" customHeight="1" x14ac:dyDescent="0.25">
      <c r="A240" s="192">
        <v>239</v>
      </c>
      <c r="B240" s="205" t="s">
        <v>3396</v>
      </c>
      <c r="C240" s="193" t="s">
        <v>3397</v>
      </c>
      <c r="D240" s="202" t="s">
        <v>3398</v>
      </c>
      <c r="E240" s="203">
        <v>45657</v>
      </c>
      <c r="F240" s="196">
        <v>519900</v>
      </c>
      <c r="G240" s="192"/>
      <c r="H240" s="192"/>
      <c r="I240" s="194" t="s">
        <v>1158</v>
      </c>
      <c r="J240" s="193" t="s">
        <v>1115</v>
      </c>
      <c r="K240" s="194" t="s">
        <v>867</v>
      </c>
    </row>
    <row r="241" spans="1:11" ht="58.15" customHeight="1" x14ac:dyDescent="0.25">
      <c r="A241" s="192">
        <v>240</v>
      </c>
      <c r="B241" s="205" t="s">
        <v>3399</v>
      </c>
      <c r="C241" s="193" t="s">
        <v>3400</v>
      </c>
      <c r="D241" s="202" t="s">
        <v>3401</v>
      </c>
      <c r="E241" s="203">
        <v>45657</v>
      </c>
      <c r="F241" s="196">
        <v>531700</v>
      </c>
      <c r="G241" s="192"/>
      <c r="H241" s="192"/>
      <c r="I241" s="194" t="s">
        <v>1158</v>
      </c>
      <c r="J241" s="193" t="s">
        <v>1115</v>
      </c>
      <c r="K241" s="194" t="s">
        <v>867</v>
      </c>
    </row>
    <row r="242" spans="1:11" ht="58.15" customHeight="1" x14ac:dyDescent="0.25">
      <c r="A242" s="192">
        <v>241</v>
      </c>
      <c r="B242" s="205" t="s">
        <v>3402</v>
      </c>
      <c r="C242" s="193" t="s">
        <v>3403</v>
      </c>
      <c r="D242" s="202" t="s">
        <v>3404</v>
      </c>
      <c r="E242" s="203">
        <v>45657</v>
      </c>
      <c r="F242" s="196">
        <v>56200</v>
      </c>
      <c r="G242" s="192"/>
      <c r="H242" s="192"/>
      <c r="I242" s="194" t="s">
        <v>3405</v>
      </c>
      <c r="J242" s="193" t="s">
        <v>1115</v>
      </c>
      <c r="K242" s="194" t="s">
        <v>820</v>
      </c>
    </row>
    <row r="243" spans="1:11" ht="58.15" customHeight="1" x14ac:dyDescent="0.25">
      <c r="A243" s="192">
        <v>242</v>
      </c>
      <c r="B243" s="205" t="s">
        <v>3406</v>
      </c>
      <c r="C243" s="193" t="s">
        <v>3407</v>
      </c>
      <c r="D243" s="202" t="s">
        <v>3408</v>
      </c>
      <c r="E243" s="203">
        <v>45657</v>
      </c>
      <c r="F243" s="196">
        <v>42000</v>
      </c>
      <c r="G243" s="192"/>
      <c r="H243" s="192"/>
      <c r="I243" s="194" t="s">
        <v>929</v>
      </c>
      <c r="J243" s="193" t="s">
        <v>1115</v>
      </c>
      <c r="K243" s="194" t="s">
        <v>1496</v>
      </c>
    </row>
    <row r="244" spans="1:11" ht="58.15" customHeight="1" x14ac:dyDescent="0.25">
      <c r="A244" s="192">
        <v>243</v>
      </c>
      <c r="B244" s="205" t="s">
        <v>3409</v>
      </c>
      <c r="C244" s="193" t="s">
        <v>3410</v>
      </c>
      <c r="D244" s="202" t="s">
        <v>3411</v>
      </c>
      <c r="E244" s="203">
        <v>45657</v>
      </c>
      <c r="F244" s="196">
        <v>153600</v>
      </c>
      <c r="G244" s="192"/>
      <c r="H244" s="192"/>
      <c r="I244" s="194" t="s">
        <v>1158</v>
      </c>
      <c r="J244" s="193" t="s">
        <v>1115</v>
      </c>
      <c r="K244" s="194" t="s">
        <v>867</v>
      </c>
    </row>
    <row r="245" spans="1:11" ht="58.15" customHeight="1" x14ac:dyDescent="0.25">
      <c r="A245" s="192">
        <v>244</v>
      </c>
      <c r="B245" s="205" t="s">
        <v>3303</v>
      </c>
      <c r="C245" s="193" t="s">
        <v>3412</v>
      </c>
      <c r="D245" s="202" t="s">
        <v>3413</v>
      </c>
      <c r="E245" s="203">
        <v>45657</v>
      </c>
      <c r="F245" s="196">
        <v>126900</v>
      </c>
      <c r="G245" s="192"/>
      <c r="H245" s="192"/>
      <c r="I245" s="194" t="s">
        <v>3414</v>
      </c>
      <c r="J245" s="193" t="s">
        <v>1115</v>
      </c>
      <c r="K245" s="194" t="s">
        <v>3415</v>
      </c>
    </row>
    <row r="246" spans="1:11" ht="58.15" customHeight="1" x14ac:dyDescent="0.25">
      <c r="A246" s="192">
        <v>245</v>
      </c>
      <c r="B246" s="205" t="s">
        <v>3416</v>
      </c>
      <c r="C246" s="193" t="s">
        <v>3417</v>
      </c>
      <c r="D246" s="202" t="s">
        <v>3418</v>
      </c>
      <c r="E246" s="203">
        <v>45657</v>
      </c>
      <c r="F246" s="196">
        <v>98100</v>
      </c>
      <c r="G246" s="192"/>
      <c r="H246" s="192"/>
      <c r="I246" s="194" t="s">
        <v>929</v>
      </c>
      <c r="J246" s="193" t="s">
        <v>1115</v>
      </c>
      <c r="K246" s="194" t="s">
        <v>3168</v>
      </c>
    </row>
    <row r="247" spans="1:11" ht="58.15" customHeight="1" x14ac:dyDescent="0.25">
      <c r="A247" s="192">
        <v>246</v>
      </c>
      <c r="B247" s="205" t="s">
        <v>3419</v>
      </c>
      <c r="C247" s="193" t="s">
        <v>3420</v>
      </c>
      <c r="D247" s="202" t="s">
        <v>3421</v>
      </c>
      <c r="E247" s="203">
        <v>45657</v>
      </c>
      <c r="F247" s="196">
        <v>313100</v>
      </c>
      <c r="G247" s="192"/>
      <c r="H247" s="192"/>
      <c r="I247" s="194" t="s">
        <v>1158</v>
      </c>
      <c r="J247" s="193" t="s">
        <v>1115</v>
      </c>
      <c r="K247" s="194" t="s">
        <v>824</v>
      </c>
    </row>
    <row r="248" spans="1:11" ht="58.15" customHeight="1" x14ac:dyDescent="0.25">
      <c r="A248" s="192">
        <v>247</v>
      </c>
      <c r="B248" s="205" t="s">
        <v>3422</v>
      </c>
      <c r="C248" s="193" t="s">
        <v>3423</v>
      </c>
      <c r="D248" s="202" t="s">
        <v>3424</v>
      </c>
      <c r="E248" s="203">
        <v>45657</v>
      </c>
      <c r="F248" s="196">
        <f>236300/4</f>
        <v>59075</v>
      </c>
      <c r="G248" s="192"/>
      <c r="H248" s="192"/>
      <c r="I248" s="194" t="s">
        <v>881</v>
      </c>
      <c r="J248" s="193" t="s">
        <v>1115</v>
      </c>
      <c r="K248" s="194" t="s">
        <v>867</v>
      </c>
    </row>
    <row r="249" spans="1:11" ht="58.15" customHeight="1" x14ac:dyDescent="0.25">
      <c r="A249" s="192">
        <v>248</v>
      </c>
      <c r="B249" s="205" t="s">
        <v>3422</v>
      </c>
      <c r="C249" s="193" t="s">
        <v>3423</v>
      </c>
      <c r="D249" s="202" t="s">
        <v>3425</v>
      </c>
      <c r="E249" s="203">
        <v>45657</v>
      </c>
      <c r="F249" s="196">
        <f t="shared" ref="F249:F251" si="7">236300/4</f>
        <v>59075</v>
      </c>
      <c r="G249" s="192"/>
      <c r="H249" s="192"/>
      <c r="I249" s="194" t="s">
        <v>881</v>
      </c>
      <c r="J249" s="193" t="s">
        <v>1115</v>
      </c>
      <c r="K249" s="194" t="s">
        <v>867</v>
      </c>
    </row>
    <row r="250" spans="1:11" ht="58.15" customHeight="1" x14ac:dyDescent="0.25">
      <c r="A250" s="192">
        <v>249</v>
      </c>
      <c r="B250" s="205" t="s">
        <v>3422</v>
      </c>
      <c r="C250" s="193" t="s">
        <v>3423</v>
      </c>
      <c r="D250" s="202" t="s">
        <v>3426</v>
      </c>
      <c r="E250" s="203">
        <v>45657</v>
      </c>
      <c r="F250" s="196">
        <f t="shared" si="7"/>
        <v>59075</v>
      </c>
      <c r="G250" s="192"/>
      <c r="H250" s="192"/>
      <c r="I250" s="194" t="s">
        <v>881</v>
      </c>
      <c r="J250" s="193" t="s">
        <v>1115</v>
      </c>
      <c r="K250" s="194" t="s">
        <v>867</v>
      </c>
    </row>
    <row r="251" spans="1:11" ht="58.15" customHeight="1" x14ac:dyDescent="0.25">
      <c r="A251" s="192">
        <v>250</v>
      </c>
      <c r="B251" s="205" t="s">
        <v>3422</v>
      </c>
      <c r="C251" s="193" t="s">
        <v>3423</v>
      </c>
      <c r="D251" s="202" t="s">
        <v>3427</v>
      </c>
      <c r="E251" s="203">
        <v>45657</v>
      </c>
      <c r="F251" s="196">
        <f t="shared" si="7"/>
        <v>59075</v>
      </c>
      <c r="G251" s="192"/>
      <c r="H251" s="192"/>
      <c r="I251" s="194" t="s">
        <v>881</v>
      </c>
      <c r="J251" s="193" t="s">
        <v>1115</v>
      </c>
      <c r="K251" s="194" t="s">
        <v>867</v>
      </c>
    </row>
    <row r="252" spans="1:11" ht="58.15" customHeight="1" x14ac:dyDescent="0.25">
      <c r="A252" s="192">
        <v>251</v>
      </c>
      <c r="B252" s="205" t="s">
        <v>3428</v>
      </c>
      <c r="C252" s="193" t="s">
        <v>3429</v>
      </c>
      <c r="D252" s="202" t="s">
        <v>3430</v>
      </c>
      <c r="E252" s="203">
        <v>45657</v>
      </c>
      <c r="F252" s="196">
        <f>127100/2</f>
        <v>63550</v>
      </c>
      <c r="G252" s="192"/>
      <c r="H252" s="192"/>
      <c r="I252" s="194" t="s">
        <v>3431</v>
      </c>
      <c r="J252" s="193" t="s">
        <v>1115</v>
      </c>
      <c r="K252" s="194" t="s">
        <v>824</v>
      </c>
    </row>
    <row r="253" spans="1:11" ht="58.15" customHeight="1" x14ac:dyDescent="0.25">
      <c r="A253" s="192">
        <v>252</v>
      </c>
      <c r="B253" s="205" t="s">
        <v>3428</v>
      </c>
      <c r="C253" s="193" t="s">
        <v>3429</v>
      </c>
      <c r="D253" s="202" t="s">
        <v>3432</v>
      </c>
      <c r="E253" s="203">
        <v>45657</v>
      </c>
      <c r="F253" s="196">
        <f>127100/2</f>
        <v>63550</v>
      </c>
      <c r="G253" s="192"/>
      <c r="H253" s="192"/>
      <c r="I253" s="194" t="s">
        <v>3431</v>
      </c>
      <c r="J253" s="193" t="s">
        <v>1115</v>
      </c>
      <c r="K253" s="194" t="s">
        <v>824</v>
      </c>
    </row>
    <row r="254" spans="1:11" ht="58.15" customHeight="1" x14ac:dyDescent="0.25">
      <c r="A254" s="192">
        <v>253</v>
      </c>
      <c r="B254" s="205" t="s">
        <v>3433</v>
      </c>
      <c r="C254" s="193" t="s">
        <v>3434</v>
      </c>
      <c r="D254" s="202" t="s">
        <v>3435</v>
      </c>
      <c r="E254" s="203">
        <v>45657</v>
      </c>
      <c r="F254" s="196">
        <f>47300/4</f>
        <v>11825</v>
      </c>
      <c r="G254" s="192"/>
      <c r="H254" s="192"/>
      <c r="I254" s="194" t="s">
        <v>3436</v>
      </c>
      <c r="J254" s="193" t="s">
        <v>1115</v>
      </c>
      <c r="K254" s="194" t="s">
        <v>3437</v>
      </c>
    </row>
    <row r="255" spans="1:11" ht="58.15" customHeight="1" x14ac:dyDescent="0.25">
      <c r="A255" s="192">
        <v>254</v>
      </c>
      <c r="B255" s="205" t="s">
        <v>3433</v>
      </c>
      <c r="C255" s="193" t="s">
        <v>3434</v>
      </c>
      <c r="D255" s="202" t="s">
        <v>3438</v>
      </c>
      <c r="E255" s="203">
        <v>45657</v>
      </c>
      <c r="F255" s="196">
        <f t="shared" ref="F255:F257" si="8">47300/4</f>
        <v>11825</v>
      </c>
      <c r="G255" s="192"/>
      <c r="H255" s="192"/>
      <c r="I255" s="194" t="s">
        <v>3436</v>
      </c>
      <c r="J255" s="193" t="s">
        <v>1115</v>
      </c>
      <c r="K255" s="194" t="s">
        <v>3437</v>
      </c>
    </row>
    <row r="256" spans="1:11" ht="58.15" customHeight="1" x14ac:dyDescent="0.25">
      <c r="A256" s="192">
        <v>255</v>
      </c>
      <c r="B256" s="205" t="s">
        <v>3433</v>
      </c>
      <c r="C256" s="193" t="s">
        <v>3434</v>
      </c>
      <c r="D256" s="202" t="s">
        <v>3439</v>
      </c>
      <c r="E256" s="203">
        <v>45657</v>
      </c>
      <c r="F256" s="196">
        <f t="shared" si="8"/>
        <v>11825</v>
      </c>
      <c r="G256" s="192"/>
      <c r="H256" s="192"/>
      <c r="I256" s="194" t="s">
        <v>3436</v>
      </c>
      <c r="J256" s="193" t="s">
        <v>1115</v>
      </c>
      <c r="K256" s="194" t="s">
        <v>3437</v>
      </c>
    </row>
    <row r="257" spans="1:11" ht="58.15" customHeight="1" x14ac:dyDescent="0.25">
      <c r="A257" s="192">
        <v>256</v>
      </c>
      <c r="B257" s="205" t="s">
        <v>3433</v>
      </c>
      <c r="C257" s="193" t="s">
        <v>3434</v>
      </c>
      <c r="D257" s="202" t="s">
        <v>3440</v>
      </c>
      <c r="E257" s="203">
        <v>45657</v>
      </c>
      <c r="F257" s="196">
        <f t="shared" si="8"/>
        <v>11825</v>
      </c>
      <c r="G257" s="192"/>
      <c r="H257" s="192"/>
      <c r="I257" s="194" t="s">
        <v>3436</v>
      </c>
      <c r="J257" s="193" t="s">
        <v>1115</v>
      </c>
      <c r="K257" s="194" t="s">
        <v>3437</v>
      </c>
    </row>
    <row r="258" spans="1:11" ht="58.15" customHeight="1" x14ac:dyDescent="0.25">
      <c r="A258" s="192">
        <v>257</v>
      </c>
      <c r="B258" s="205" t="s">
        <v>3441</v>
      </c>
      <c r="C258" s="193" t="s">
        <v>3442</v>
      </c>
      <c r="D258" s="202" t="s">
        <v>3443</v>
      </c>
      <c r="E258" s="203">
        <v>45657</v>
      </c>
      <c r="F258" s="196">
        <f>151700/2</f>
        <v>75850</v>
      </c>
      <c r="G258" s="192"/>
      <c r="H258" s="192"/>
      <c r="I258" s="194" t="s">
        <v>3444</v>
      </c>
      <c r="J258" s="193" t="s">
        <v>1115</v>
      </c>
      <c r="K258" s="194" t="s">
        <v>1569</v>
      </c>
    </row>
    <row r="259" spans="1:11" ht="58.15" customHeight="1" x14ac:dyDescent="0.25">
      <c r="A259" s="192">
        <v>258</v>
      </c>
      <c r="B259" s="205" t="s">
        <v>3441</v>
      </c>
      <c r="C259" s="193" t="s">
        <v>3442</v>
      </c>
      <c r="D259" s="202" t="s">
        <v>3445</v>
      </c>
      <c r="E259" s="203">
        <v>45657</v>
      </c>
      <c r="F259" s="196">
        <f>151700/2</f>
        <v>75850</v>
      </c>
      <c r="G259" s="192"/>
      <c r="H259" s="192"/>
      <c r="I259" s="194" t="s">
        <v>3444</v>
      </c>
      <c r="J259" s="193" t="s">
        <v>1115</v>
      </c>
      <c r="K259" s="194" t="s">
        <v>1569</v>
      </c>
    </row>
    <row r="260" spans="1:11" ht="58.15" customHeight="1" x14ac:dyDescent="0.25">
      <c r="A260" s="192">
        <v>259</v>
      </c>
      <c r="B260" s="205" t="s">
        <v>3446</v>
      </c>
      <c r="C260" s="193" t="s">
        <v>3447</v>
      </c>
      <c r="D260" s="202" t="s">
        <v>3448</v>
      </c>
      <c r="E260" s="203">
        <v>45657</v>
      </c>
      <c r="F260" s="196">
        <v>196900</v>
      </c>
      <c r="G260" s="192"/>
      <c r="H260" s="192"/>
      <c r="I260" s="194" t="s">
        <v>3449</v>
      </c>
      <c r="J260" s="193" t="s">
        <v>1115</v>
      </c>
      <c r="K260" s="194" t="s">
        <v>824</v>
      </c>
    </row>
    <row r="261" spans="1:11" ht="58.15" customHeight="1" x14ac:dyDescent="0.25">
      <c r="A261" s="192">
        <v>260</v>
      </c>
      <c r="B261" s="205" t="s">
        <v>3450</v>
      </c>
      <c r="C261" s="193" t="s">
        <v>3451</v>
      </c>
      <c r="D261" s="202" t="s">
        <v>3452</v>
      </c>
      <c r="E261" s="203">
        <v>45657</v>
      </c>
      <c r="F261" s="196">
        <v>101700</v>
      </c>
      <c r="G261" s="192"/>
      <c r="H261" s="192"/>
      <c r="I261" s="194" t="s">
        <v>3453</v>
      </c>
      <c r="J261" s="193" t="s">
        <v>1115</v>
      </c>
      <c r="K261" s="194" t="s">
        <v>867</v>
      </c>
    </row>
    <row r="262" spans="1:11" ht="58.15" customHeight="1" x14ac:dyDescent="0.25">
      <c r="A262" s="192">
        <v>261</v>
      </c>
      <c r="B262" s="205" t="s">
        <v>3454</v>
      </c>
      <c r="C262" s="193" t="s">
        <v>3455</v>
      </c>
      <c r="D262" s="202" t="s">
        <v>3456</v>
      </c>
      <c r="E262" s="203">
        <v>45657</v>
      </c>
      <c r="F262" s="196">
        <v>93700</v>
      </c>
      <c r="G262" s="192"/>
      <c r="H262" s="192"/>
      <c r="I262" s="194" t="s">
        <v>929</v>
      </c>
      <c r="J262" s="193" t="s">
        <v>1115</v>
      </c>
      <c r="K262" s="194" t="s">
        <v>3168</v>
      </c>
    </row>
    <row r="263" spans="1:11" ht="58.15" customHeight="1" x14ac:dyDescent="0.25">
      <c r="A263" s="192">
        <v>262</v>
      </c>
      <c r="B263" s="205" t="s">
        <v>3457</v>
      </c>
      <c r="C263" s="193" t="s">
        <v>3458</v>
      </c>
      <c r="D263" s="202" t="s">
        <v>3459</v>
      </c>
      <c r="E263" s="203">
        <v>45657</v>
      </c>
      <c r="F263" s="196">
        <v>361000</v>
      </c>
      <c r="G263" s="192"/>
      <c r="H263" s="192"/>
      <c r="I263" s="194" t="s">
        <v>3460</v>
      </c>
      <c r="J263" s="193" t="s">
        <v>1115</v>
      </c>
      <c r="K263" s="194" t="s">
        <v>824</v>
      </c>
    </row>
    <row r="264" spans="1:11" ht="58.15" customHeight="1" x14ac:dyDescent="0.25">
      <c r="A264" s="192">
        <v>263</v>
      </c>
      <c r="B264" s="205" t="s">
        <v>3461</v>
      </c>
      <c r="C264" s="193" t="s">
        <v>3462</v>
      </c>
      <c r="D264" s="202" t="s">
        <v>3463</v>
      </c>
      <c r="E264" s="203">
        <v>45657</v>
      </c>
      <c r="F264" s="196">
        <v>132400</v>
      </c>
      <c r="G264" s="192"/>
      <c r="H264" s="192"/>
      <c r="I264" s="194"/>
      <c r="J264" s="193" t="s">
        <v>1115</v>
      </c>
      <c r="K264" s="194"/>
    </row>
    <row r="265" spans="1:11" ht="58.15" customHeight="1" x14ac:dyDescent="0.25">
      <c r="A265" s="192">
        <v>264</v>
      </c>
      <c r="B265" s="205" t="s">
        <v>3464</v>
      </c>
      <c r="C265" s="193" t="s">
        <v>3465</v>
      </c>
      <c r="D265" s="202" t="s">
        <v>3466</v>
      </c>
      <c r="E265" s="203">
        <v>45657</v>
      </c>
      <c r="F265" s="196">
        <v>332100</v>
      </c>
      <c r="G265" s="192"/>
      <c r="H265" s="192"/>
      <c r="I265" s="194" t="s">
        <v>1158</v>
      </c>
      <c r="J265" s="193" t="s">
        <v>1115</v>
      </c>
      <c r="K265" s="194" t="s">
        <v>867</v>
      </c>
    </row>
    <row r="266" spans="1:11" ht="58.15" customHeight="1" x14ac:dyDescent="0.25">
      <c r="A266" s="192">
        <v>265</v>
      </c>
      <c r="B266" s="205" t="s">
        <v>3467</v>
      </c>
      <c r="C266" s="193" t="s">
        <v>3468</v>
      </c>
      <c r="D266" s="202" t="s">
        <v>3469</v>
      </c>
      <c r="E266" s="203">
        <v>45657</v>
      </c>
      <c r="F266" s="196">
        <v>222600</v>
      </c>
      <c r="G266" s="192"/>
      <c r="H266" s="192"/>
      <c r="I266" s="194" t="s">
        <v>2155</v>
      </c>
      <c r="J266" s="193" t="s">
        <v>1115</v>
      </c>
      <c r="K266" s="194" t="s">
        <v>867</v>
      </c>
    </row>
    <row r="267" spans="1:11" ht="58.15" customHeight="1" x14ac:dyDescent="0.25">
      <c r="A267" s="192">
        <v>266</v>
      </c>
      <c r="B267" s="205" t="s">
        <v>3470</v>
      </c>
      <c r="C267" s="193" t="s">
        <v>3471</v>
      </c>
      <c r="D267" s="202" t="s">
        <v>3472</v>
      </c>
      <c r="E267" s="203">
        <v>45657</v>
      </c>
      <c r="F267" s="196">
        <v>487400</v>
      </c>
      <c r="G267" s="192"/>
      <c r="H267" s="192"/>
      <c r="I267" s="194" t="s">
        <v>977</v>
      </c>
      <c r="J267" s="193" t="s">
        <v>1115</v>
      </c>
      <c r="K267" s="194" t="s">
        <v>867</v>
      </c>
    </row>
    <row r="268" spans="1:11" ht="58.15" customHeight="1" x14ac:dyDescent="0.25">
      <c r="A268" s="192">
        <v>267</v>
      </c>
      <c r="B268" s="205" t="s">
        <v>3473</v>
      </c>
      <c r="C268" s="193" t="s">
        <v>3474</v>
      </c>
      <c r="D268" s="202" t="s">
        <v>3475</v>
      </c>
      <c r="E268" s="203">
        <v>45657</v>
      </c>
      <c r="F268" s="196">
        <f>1037500/2</f>
        <v>518750</v>
      </c>
      <c r="G268" s="192"/>
      <c r="H268" s="192"/>
      <c r="I268" s="194" t="s">
        <v>3476</v>
      </c>
      <c r="J268" s="193" t="s">
        <v>1115</v>
      </c>
      <c r="K268" s="194" t="s">
        <v>824</v>
      </c>
    </row>
    <row r="269" spans="1:11" ht="58.15" customHeight="1" x14ac:dyDescent="0.25">
      <c r="A269" s="192">
        <v>268</v>
      </c>
      <c r="B269" s="205" t="s">
        <v>3473</v>
      </c>
      <c r="C269" s="193" t="s">
        <v>3474</v>
      </c>
      <c r="D269" s="202" t="s">
        <v>3477</v>
      </c>
      <c r="E269" s="203">
        <v>45657</v>
      </c>
      <c r="F269" s="196">
        <f>1037500/2</f>
        <v>518750</v>
      </c>
      <c r="G269" s="192"/>
      <c r="H269" s="192"/>
      <c r="I269" s="194" t="s">
        <v>3476</v>
      </c>
      <c r="J269" s="193" t="s">
        <v>1115</v>
      </c>
      <c r="K269" s="194" t="s">
        <v>824</v>
      </c>
    </row>
    <row r="270" spans="1:11" ht="58.15" customHeight="1" x14ac:dyDescent="0.25">
      <c r="A270" s="192">
        <v>269</v>
      </c>
      <c r="B270" s="205" t="s">
        <v>3478</v>
      </c>
      <c r="C270" s="193" t="s">
        <v>3479</v>
      </c>
      <c r="D270" s="202" t="s">
        <v>3480</v>
      </c>
      <c r="E270" s="203">
        <v>45657</v>
      </c>
      <c r="F270" s="196">
        <v>126400</v>
      </c>
      <c r="G270" s="192"/>
      <c r="H270" s="192"/>
      <c r="I270" s="194" t="s">
        <v>3481</v>
      </c>
      <c r="J270" s="193" t="s">
        <v>1115</v>
      </c>
      <c r="K270" s="194" t="s">
        <v>824</v>
      </c>
    </row>
    <row r="271" spans="1:11" ht="58.15" customHeight="1" x14ac:dyDescent="0.25">
      <c r="A271" s="192">
        <v>270</v>
      </c>
      <c r="B271" s="205" t="s">
        <v>3482</v>
      </c>
      <c r="C271" s="193" t="s">
        <v>3483</v>
      </c>
      <c r="D271" s="202" t="s">
        <v>3484</v>
      </c>
      <c r="E271" s="203">
        <v>45657</v>
      </c>
      <c r="F271" s="196">
        <f>127500/20</f>
        <v>6375</v>
      </c>
      <c r="G271" s="192"/>
      <c r="H271" s="192"/>
      <c r="I271" s="194" t="s">
        <v>817</v>
      </c>
      <c r="J271" s="193" t="s">
        <v>1115</v>
      </c>
      <c r="K271" s="194" t="s">
        <v>824</v>
      </c>
    </row>
    <row r="272" spans="1:11" ht="58.15" customHeight="1" x14ac:dyDescent="0.25">
      <c r="A272" s="192">
        <v>271</v>
      </c>
      <c r="B272" s="205" t="s">
        <v>3482</v>
      </c>
      <c r="C272" s="193" t="s">
        <v>3483</v>
      </c>
      <c r="D272" s="202" t="s">
        <v>3485</v>
      </c>
      <c r="E272" s="203">
        <v>45657</v>
      </c>
      <c r="F272" s="196">
        <f t="shared" ref="F272:F290" si="9">127500/20</f>
        <v>6375</v>
      </c>
      <c r="G272" s="192"/>
      <c r="H272" s="192"/>
      <c r="I272" s="194" t="s">
        <v>817</v>
      </c>
      <c r="J272" s="193" t="s">
        <v>1115</v>
      </c>
      <c r="K272" s="194" t="s">
        <v>824</v>
      </c>
    </row>
    <row r="273" spans="1:11" ht="58.15" customHeight="1" x14ac:dyDescent="0.25">
      <c r="A273" s="192">
        <v>272</v>
      </c>
      <c r="B273" s="205" t="s">
        <v>3482</v>
      </c>
      <c r="C273" s="193" t="s">
        <v>3483</v>
      </c>
      <c r="D273" s="202" t="s">
        <v>3486</v>
      </c>
      <c r="E273" s="203">
        <v>45657</v>
      </c>
      <c r="F273" s="196">
        <f t="shared" si="9"/>
        <v>6375</v>
      </c>
      <c r="G273" s="192"/>
      <c r="H273" s="192"/>
      <c r="I273" s="194" t="s">
        <v>817</v>
      </c>
      <c r="J273" s="193" t="s">
        <v>1115</v>
      </c>
      <c r="K273" s="194" t="s">
        <v>824</v>
      </c>
    </row>
    <row r="274" spans="1:11" ht="58.15" customHeight="1" x14ac:dyDescent="0.25">
      <c r="A274" s="192">
        <v>273</v>
      </c>
      <c r="B274" s="205" t="s">
        <v>3482</v>
      </c>
      <c r="C274" s="193" t="s">
        <v>3483</v>
      </c>
      <c r="D274" s="202" t="s">
        <v>3487</v>
      </c>
      <c r="E274" s="203">
        <v>45657</v>
      </c>
      <c r="F274" s="196">
        <f t="shared" si="9"/>
        <v>6375</v>
      </c>
      <c r="G274" s="192"/>
      <c r="H274" s="192"/>
      <c r="I274" s="194" t="s">
        <v>817</v>
      </c>
      <c r="J274" s="193" t="s">
        <v>1115</v>
      </c>
      <c r="K274" s="194" t="s">
        <v>824</v>
      </c>
    </row>
    <row r="275" spans="1:11" ht="58.15" customHeight="1" x14ac:dyDescent="0.25">
      <c r="A275" s="192">
        <v>274</v>
      </c>
      <c r="B275" s="205" t="s">
        <v>3482</v>
      </c>
      <c r="C275" s="193" t="s">
        <v>3483</v>
      </c>
      <c r="D275" s="202" t="s">
        <v>3488</v>
      </c>
      <c r="E275" s="203">
        <v>45657</v>
      </c>
      <c r="F275" s="196">
        <f t="shared" si="9"/>
        <v>6375</v>
      </c>
      <c r="G275" s="192"/>
      <c r="H275" s="192"/>
      <c r="I275" s="194" t="s">
        <v>817</v>
      </c>
      <c r="J275" s="193" t="s">
        <v>1115</v>
      </c>
      <c r="K275" s="194" t="s">
        <v>824</v>
      </c>
    </row>
    <row r="276" spans="1:11" ht="58.15" customHeight="1" x14ac:dyDescent="0.25">
      <c r="A276" s="192">
        <v>275</v>
      </c>
      <c r="B276" s="205" t="s">
        <v>3482</v>
      </c>
      <c r="C276" s="193" t="s">
        <v>3483</v>
      </c>
      <c r="D276" s="202" t="s">
        <v>3489</v>
      </c>
      <c r="E276" s="203">
        <v>45657</v>
      </c>
      <c r="F276" s="196">
        <f t="shared" si="9"/>
        <v>6375</v>
      </c>
      <c r="G276" s="192"/>
      <c r="H276" s="192"/>
      <c r="I276" s="194" t="s">
        <v>817</v>
      </c>
      <c r="J276" s="193" t="s">
        <v>1115</v>
      </c>
      <c r="K276" s="194" t="s">
        <v>824</v>
      </c>
    </row>
    <row r="277" spans="1:11" ht="58.15" customHeight="1" x14ac:dyDescent="0.25">
      <c r="A277" s="192">
        <v>276</v>
      </c>
      <c r="B277" s="205" t="s">
        <v>3482</v>
      </c>
      <c r="C277" s="193" t="s">
        <v>3483</v>
      </c>
      <c r="D277" s="202" t="s">
        <v>3490</v>
      </c>
      <c r="E277" s="203">
        <v>45657</v>
      </c>
      <c r="F277" s="196">
        <f t="shared" si="9"/>
        <v>6375</v>
      </c>
      <c r="G277" s="192"/>
      <c r="H277" s="192"/>
      <c r="I277" s="194" t="s">
        <v>817</v>
      </c>
      <c r="J277" s="193" t="s">
        <v>1115</v>
      </c>
      <c r="K277" s="194" t="s">
        <v>824</v>
      </c>
    </row>
    <row r="278" spans="1:11" ht="58.15" customHeight="1" x14ac:dyDescent="0.25">
      <c r="A278" s="192">
        <v>277</v>
      </c>
      <c r="B278" s="205" t="s">
        <v>3482</v>
      </c>
      <c r="C278" s="193" t="s">
        <v>3483</v>
      </c>
      <c r="D278" s="202" t="s">
        <v>3491</v>
      </c>
      <c r="E278" s="203">
        <v>45657</v>
      </c>
      <c r="F278" s="196">
        <f t="shared" si="9"/>
        <v>6375</v>
      </c>
      <c r="G278" s="192"/>
      <c r="H278" s="192"/>
      <c r="I278" s="194" t="s">
        <v>817</v>
      </c>
      <c r="J278" s="193" t="s">
        <v>1115</v>
      </c>
      <c r="K278" s="194" t="s">
        <v>824</v>
      </c>
    </row>
    <row r="279" spans="1:11" ht="58.15" customHeight="1" x14ac:dyDescent="0.25">
      <c r="A279" s="192">
        <v>278</v>
      </c>
      <c r="B279" s="205" t="s">
        <v>3482</v>
      </c>
      <c r="C279" s="193" t="s">
        <v>3483</v>
      </c>
      <c r="D279" s="202" t="s">
        <v>3492</v>
      </c>
      <c r="E279" s="203">
        <v>45657</v>
      </c>
      <c r="F279" s="196">
        <f t="shared" si="9"/>
        <v>6375</v>
      </c>
      <c r="G279" s="192"/>
      <c r="H279" s="192"/>
      <c r="I279" s="194" t="s">
        <v>817</v>
      </c>
      <c r="J279" s="193" t="s">
        <v>1115</v>
      </c>
      <c r="K279" s="194" t="s">
        <v>824</v>
      </c>
    </row>
    <row r="280" spans="1:11" ht="58.15" customHeight="1" x14ac:dyDescent="0.25">
      <c r="A280" s="192">
        <v>279</v>
      </c>
      <c r="B280" s="205" t="s">
        <v>3482</v>
      </c>
      <c r="C280" s="193" t="s">
        <v>3483</v>
      </c>
      <c r="D280" s="202" t="s">
        <v>3493</v>
      </c>
      <c r="E280" s="203">
        <v>45657</v>
      </c>
      <c r="F280" s="196">
        <f t="shared" si="9"/>
        <v>6375</v>
      </c>
      <c r="G280" s="192"/>
      <c r="H280" s="192"/>
      <c r="I280" s="194" t="s">
        <v>817</v>
      </c>
      <c r="J280" s="193" t="s">
        <v>1115</v>
      </c>
      <c r="K280" s="194" t="s">
        <v>824</v>
      </c>
    </row>
    <row r="281" spans="1:11" ht="58.15" customHeight="1" x14ac:dyDescent="0.25">
      <c r="A281" s="192">
        <v>280</v>
      </c>
      <c r="B281" s="205" t="s">
        <v>3482</v>
      </c>
      <c r="C281" s="193" t="s">
        <v>3483</v>
      </c>
      <c r="D281" s="202" t="s">
        <v>3494</v>
      </c>
      <c r="E281" s="203">
        <v>45657</v>
      </c>
      <c r="F281" s="196">
        <f t="shared" si="9"/>
        <v>6375</v>
      </c>
      <c r="G281" s="192"/>
      <c r="H281" s="192"/>
      <c r="I281" s="194" t="s">
        <v>817</v>
      </c>
      <c r="J281" s="193" t="s">
        <v>1115</v>
      </c>
      <c r="K281" s="194" t="s">
        <v>824</v>
      </c>
    </row>
    <row r="282" spans="1:11" ht="58.15" customHeight="1" x14ac:dyDescent="0.25">
      <c r="A282" s="192">
        <v>281</v>
      </c>
      <c r="B282" s="205" t="s">
        <v>3482</v>
      </c>
      <c r="C282" s="193" t="s">
        <v>3483</v>
      </c>
      <c r="D282" s="202" t="s">
        <v>3495</v>
      </c>
      <c r="E282" s="203">
        <v>45657</v>
      </c>
      <c r="F282" s="196">
        <f t="shared" si="9"/>
        <v>6375</v>
      </c>
      <c r="G282" s="192"/>
      <c r="H282" s="192"/>
      <c r="I282" s="194" t="s">
        <v>817</v>
      </c>
      <c r="J282" s="193" t="s">
        <v>1115</v>
      </c>
      <c r="K282" s="194" t="s">
        <v>824</v>
      </c>
    </row>
    <row r="283" spans="1:11" ht="58.15" customHeight="1" x14ac:dyDescent="0.25">
      <c r="A283" s="192">
        <v>282</v>
      </c>
      <c r="B283" s="205" t="s">
        <v>3482</v>
      </c>
      <c r="C283" s="193" t="s">
        <v>3483</v>
      </c>
      <c r="D283" s="202" t="s">
        <v>3496</v>
      </c>
      <c r="E283" s="203">
        <v>45657</v>
      </c>
      <c r="F283" s="196">
        <f t="shared" si="9"/>
        <v>6375</v>
      </c>
      <c r="G283" s="192"/>
      <c r="H283" s="192"/>
      <c r="I283" s="194" t="s">
        <v>817</v>
      </c>
      <c r="J283" s="193" t="s">
        <v>1115</v>
      </c>
      <c r="K283" s="194" t="s">
        <v>824</v>
      </c>
    </row>
    <row r="284" spans="1:11" ht="58.15" customHeight="1" x14ac:dyDescent="0.25">
      <c r="A284" s="192">
        <v>283</v>
      </c>
      <c r="B284" s="205" t="s">
        <v>3482</v>
      </c>
      <c r="C284" s="193" t="s">
        <v>3483</v>
      </c>
      <c r="D284" s="202" t="s">
        <v>3497</v>
      </c>
      <c r="E284" s="203">
        <v>45657</v>
      </c>
      <c r="F284" s="196">
        <f t="shared" si="9"/>
        <v>6375</v>
      </c>
      <c r="G284" s="192"/>
      <c r="H284" s="192"/>
      <c r="I284" s="194" t="s">
        <v>817</v>
      </c>
      <c r="J284" s="193" t="s">
        <v>1115</v>
      </c>
      <c r="K284" s="194" t="s">
        <v>824</v>
      </c>
    </row>
    <row r="285" spans="1:11" ht="58.15" customHeight="1" x14ac:dyDescent="0.25">
      <c r="A285" s="192">
        <v>284</v>
      </c>
      <c r="B285" s="205" t="s">
        <v>3482</v>
      </c>
      <c r="C285" s="193" t="s">
        <v>3483</v>
      </c>
      <c r="D285" s="202" t="s">
        <v>3498</v>
      </c>
      <c r="E285" s="203">
        <v>45657</v>
      </c>
      <c r="F285" s="196">
        <f t="shared" si="9"/>
        <v>6375</v>
      </c>
      <c r="G285" s="192"/>
      <c r="H285" s="192"/>
      <c r="I285" s="194" t="s">
        <v>817</v>
      </c>
      <c r="J285" s="193" t="s">
        <v>1115</v>
      </c>
      <c r="K285" s="194" t="s">
        <v>824</v>
      </c>
    </row>
    <row r="286" spans="1:11" ht="58.15" customHeight="1" x14ac:dyDescent="0.25">
      <c r="A286" s="192">
        <v>285</v>
      </c>
      <c r="B286" s="205" t="s">
        <v>3482</v>
      </c>
      <c r="C286" s="193" t="s">
        <v>3483</v>
      </c>
      <c r="D286" s="202" t="s">
        <v>3499</v>
      </c>
      <c r="E286" s="203">
        <v>45657</v>
      </c>
      <c r="F286" s="196">
        <f t="shared" si="9"/>
        <v>6375</v>
      </c>
      <c r="G286" s="192"/>
      <c r="H286" s="192"/>
      <c r="I286" s="194" t="s">
        <v>817</v>
      </c>
      <c r="J286" s="193" t="s">
        <v>1115</v>
      </c>
      <c r="K286" s="194" t="s">
        <v>824</v>
      </c>
    </row>
    <row r="287" spans="1:11" ht="58.15" customHeight="1" x14ac:dyDescent="0.25">
      <c r="A287" s="192">
        <v>286</v>
      </c>
      <c r="B287" s="205" t="s">
        <v>3482</v>
      </c>
      <c r="C287" s="193" t="s">
        <v>3483</v>
      </c>
      <c r="D287" s="202" t="s">
        <v>3500</v>
      </c>
      <c r="E287" s="203">
        <v>45657</v>
      </c>
      <c r="F287" s="196">
        <f t="shared" si="9"/>
        <v>6375</v>
      </c>
      <c r="G287" s="192"/>
      <c r="H287" s="192"/>
      <c r="I287" s="194" t="s">
        <v>817</v>
      </c>
      <c r="J287" s="193" t="s">
        <v>1115</v>
      </c>
      <c r="K287" s="194" t="s">
        <v>824</v>
      </c>
    </row>
    <row r="288" spans="1:11" ht="58.15" customHeight="1" x14ac:dyDescent="0.25">
      <c r="A288" s="192">
        <v>287</v>
      </c>
      <c r="B288" s="205" t="s">
        <v>3482</v>
      </c>
      <c r="C288" s="193" t="s">
        <v>3483</v>
      </c>
      <c r="D288" s="202" t="s">
        <v>3501</v>
      </c>
      <c r="E288" s="203">
        <v>45657</v>
      </c>
      <c r="F288" s="196">
        <f t="shared" si="9"/>
        <v>6375</v>
      </c>
      <c r="G288" s="192"/>
      <c r="H288" s="192"/>
      <c r="I288" s="194" t="s">
        <v>817</v>
      </c>
      <c r="J288" s="193" t="s">
        <v>1115</v>
      </c>
      <c r="K288" s="194" t="s">
        <v>824</v>
      </c>
    </row>
    <row r="289" spans="1:11" ht="58.15" customHeight="1" x14ac:dyDescent="0.25">
      <c r="A289" s="192">
        <v>288</v>
      </c>
      <c r="B289" s="205" t="s">
        <v>3482</v>
      </c>
      <c r="C289" s="193" t="s">
        <v>3483</v>
      </c>
      <c r="D289" s="202" t="s">
        <v>3502</v>
      </c>
      <c r="E289" s="203">
        <v>45657</v>
      </c>
      <c r="F289" s="196">
        <f t="shared" si="9"/>
        <v>6375</v>
      </c>
      <c r="G289" s="192"/>
      <c r="H289" s="192"/>
      <c r="I289" s="194" t="s">
        <v>817</v>
      </c>
      <c r="J289" s="193" t="s">
        <v>1115</v>
      </c>
      <c r="K289" s="194" t="s">
        <v>824</v>
      </c>
    </row>
    <row r="290" spans="1:11" ht="58.15" customHeight="1" x14ac:dyDescent="0.25">
      <c r="A290" s="192">
        <v>289</v>
      </c>
      <c r="B290" s="205" t="s">
        <v>3482</v>
      </c>
      <c r="C290" s="193" t="s">
        <v>3483</v>
      </c>
      <c r="D290" s="202" t="s">
        <v>3503</v>
      </c>
      <c r="E290" s="203">
        <v>45657</v>
      </c>
      <c r="F290" s="196">
        <f t="shared" si="9"/>
        <v>6375</v>
      </c>
      <c r="G290" s="192"/>
      <c r="H290" s="192"/>
      <c r="I290" s="194" t="s">
        <v>817</v>
      </c>
      <c r="J290" s="193" t="s">
        <v>1115</v>
      </c>
      <c r="K290" s="194" t="s">
        <v>824</v>
      </c>
    </row>
    <row r="291" spans="1:11" ht="57.95" customHeight="1" x14ac:dyDescent="0.25">
      <c r="A291" s="192">
        <v>290</v>
      </c>
      <c r="B291" s="205" t="s">
        <v>3504</v>
      </c>
      <c r="C291" s="193" t="s">
        <v>3505</v>
      </c>
      <c r="D291" s="202" t="s">
        <v>3506</v>
      </c>
      <c r="E291" s="203">
        <v>45657</v>
      </c>
      <c r="F291" s="196">
        <v>93900</v>
      </c>
      <c r="G291" s="192"/>
      <c r="H291" s="192"/>
      <c r="I291" s="194" t="s">
        <v>817</v>
      </c>
      <c r="J291" s="193" t="s">
        <v>1115</v>
      </c>
      <c r="K291" s="194" t="s">
        <v>824</v>
      </c>
    </row>
    <row r="292" spans="1:11" ht="58.15" customHeight="1" x14ac:dyDescent="0.25">
      <c r="A292" s="192">
        <v>291</v>
      </c>
      <c r="B292" s="205" t="s">
        <v>3507</v>
      </c>
      <c r="C292" s="193" t="s">
        <v>3508</v>
      </c>
      <c r="D292" s="202" t="s">
        <v>3509</v>
      </c>
      <c r="E292" s="203">
        <v>45657</v>
      </c>
      <c r="F292" s="196">
        <v>183400</v>
      </c>
      <c r="G292" s="192"/>
      <c r="H292" s="192"/>
      <c r="I292" s="194" t="s">
        <v>1158</v>
      </c>
      <c r="J292" s="193" t="s">
        <v>1115</v>
      </c>
      <c r="K292" s="194" t="s">
        <v>824</v>
      </c>
    </row>
    <row r="293" spans="1:11" ht="58.15" customHeight="1" x14ac:dyDescent="0.25">
      <c r="A293" s="192">
        <v>292</v>
      </c>
      <c r="B293" s="205" t="s">
        <v>3510</v>
      </c>
      <c r="C293" s="193" t="s">
        <v>3511</v>
      </c>
      <c r="D293" s="202" t="s">
        <v>3512</v>
      </c>
      <c r="E293" s="203">
        <v>45657</v>
      </c>
      <c r="F293" s="196">
        <v>166100</v>
      </c>
      <c r="G293" s="192"/>
      <c r="H293" s="192"/>
      <c r="I293" s="194" t="s">
        <v>1563</v>
      </c>
      <c r="J293" s="193" t="s">
        <v>1115</v>
      </c>
      <c r="K293" s="194" t="s">
        <v>867</v>
      </c>
    </row>
    <row r="294" spans="1:11" ht="58.15" customHeight="1" x14ac:dyDescent="0.25">
      <c r="A294" s="192">
        <v>293</v>
      </c>
      <c r="B294" s="205" t="s">
        <v>3513</v>
      </c>
      <c r="C294" s="193" t="s">
        <v>3514</v>
      </c>
      <c r="D294" s="202" t="s">
        <v>3515</v>
      </c>
      <c r="E294" s="203">
        <v>45657</v>
      </c>
      <c r="F294" s="196">
        <v>190200</v>
      </c>
      <c r="G294" s="192"/>
      <c r="H294" s="192"/>
      <c r="I294" s="194" t="s">
        <v>3516</v>
      </c>
      <c r="J294" s="193" t="s">
        <v>1115</v>
      </c>
      <c r="K294" s="194" t="s">
        <v>3094</v>
      </c>
    </row>
    <row r="295" spans="1:11" ht="58.15" customHeight="1" x14ac:dyDescent="0.25">
      <c r="A295" s="192">
        <v>294</v>
      </c>
      <c r="B295" s="205" t="s">
        <v>3517</v>
      </c>
      <c r="C295" s="193" t="s">
        <v>3518</v>
      </c>
      <c r="D295" s="202" t="s">
        <v>3519</v>
      </c>
      <c r="E295" s="203">
        <v>45657</v>
      </c>
      <c r="F295" s="196">
        <v>307800</v>
      </c>
      <c r="G295" s="192"/>
      <c r="H295" s="192"/>
      <c r="I295" s="194" t="s">
        <v>3520</v>
      </c>
      <c r="J295" s="193" t="s">
        <v>1115</v>
      </c>
      <c r="K295" s="194"/>
    </row>
    <row r="296" spans="1:11" ht="58.15" customHeight="1" x14ac:dyDescent="0.25">
      <c r="A296" s="192">
        <v>295</v>
      </c>
      <c r="B296" s="205" t="s">
        <v>3521</v>
      </c>
      <c r="C296" s="193" t="s">
        <v>3522</v>
      </c>
      <c r="D296" s="202" t="s">
        <v>3523</v>
      </c>
      <c r="E296" s="203">
        <v>45657</v>
      </c>
      <c r="F296" s="196">
        <v>46900</v>
      </c>
      <c r="G296" s="192"/>
      <c r="H296" s="192"/>
      <c r="I296" s="194" t="s">
        <v>3524</v>
      </c>
      <c r="J296" s="193" t="s">
        <v>1115</v>
      </c>
      <c r="K296" s="194" t="s">
        <v>824</v>
      </c>
    </row>
    <row r="297" spans="1:11" ht="58.15" customHeight="1" x14ac:dyDescent="0.25">
      <c r="A297" s="192">
        <v>296</v>
      </c>
      <c r="B297" s="205" t="s">
        <v>3525</v>
      </c>
      <c r="C297" s="193" t="s">
        <v>3526</v>
      </c>
      <c r="D297" s="202" t="s">
        <v>3527</v>
      </c>
      <c r="E297" s="203">
        <v>45657</v>
      </c>
      <c r="F297" s="196">
        <v>237800</v>
      </c>
      <c r="G297" s="192"/>
      <c r="H297" s="192"/>
      <c r="I297" s="194" t="s">
        <v>3528</v>
      </c>
      <c r="J297" s="193" t="s">
        <v>1115</v>
      </c>
      <c r="K297" s="194" t="s">
        <v>824</v>
      </c>
    </row>
    <row r="298" spans="1:11" ht="58.15" customHeight="1" x14ac:dyDescent="0.25">
      <c r="A298" s="192">
        <v>297</v>
      </c>
      <c r="B298" s="205" t="s">
        <v>3529</v>
      </c>
      <c r="C298" s="193" t="s">
        <v>3530</v>
      </c>
      <c r="D298" s="202" t="s">
        <v>3531</v>
      </c>
      <c r="E298" s="203">
        <v>45657</v>
      </c>
      <c r="F298" s="196">
        <v>171300</v>
      </c>
      <c r="G298" s="192"/>
      <c r="H298" s="192"/>
      <c r="I298" s="194" t="s">
        <v>3528</v>
      </c>
      <c r="J298" s="193" t="s">
        <v>1115</v>
      </c>
      <c r="K298" s="194" t="s">
        <v>824</v>
      </c>
    </row>
    <row r="299" spans="1:11" ht="58.15" customHeight="1" x14ac:dyDescent="0.25">
      <c r="A299" s="192">
        <v>298</v>
      </c>
      <c r="B299" s="205" t="s">
        <v>3532</v>
      </c>
      <c r="C299" s="193" t="s">
        <v>3533</v>
      </c>
      <c r="D299" s="202" t="s">
        <v>3534</v>
      </c>
      <c r="E299" s="203">
        <v>45657</v>
      </c>
      <c r="F299" s="196">
        <v>131700</v>
      </c>
      <c r="G299" s="192"/>
      <c r="H299" s="192"/>
      <c r="I299" s="194" t="s">
        <v>3528</v>
      </c>
      <c r="J299" s="193" t="s">
        <v>1115</v>
      </c>
      <c r="K299" s="194" t="s">
        <v>824</v>
      </c>
    </row>
    <row r="300" spans="1:11" ht="58.15" customHeight="1" x14ac:dyDescent="0.25">
      <c r="A300" s="192">
        <v>299</v>
      </c>
      <c r="B300" s="205" t="s">
        <v>3535</v>
      </c>
      <c r="C300" s="193" t="s">
        <v>3536</v>
      </c>
      <c r="D300" s="202" t="s">
        <v>3537</v>
      </c>
      <c r="E300" s="203">
        <v>45657</v>
      </c>
      <c r="F300" s="196">
        <v>87700</v>
      </c>
      <c r="G300" s="192"/>
      <c r="H300" s="192"/>
      <c r="I300" s="194" t="s">
        <v>929</v>
      </c>
      <c r="J300" s="193" t="s">
        <v>1115</v>
      </c>
      <c r="K300" s="194" t="s">
        <v>824</v>
      </c>
    </row>
    <row r="301" spans="1:11" ht="58.15" customHeight="1" x14ac:dyDescent="0.25">
      <c r="A301" s="192">
        <v>300</v>
      </c>
      <c r="B301" s="205" t="s">
        <v>3538</v>
      </c>
      <c r="C301" s="193" t="s">
        <v>3539</v>
      </c>
      <c r="D301" s="202" t="s">
        <v>3540</v>
      </c>
      <c r="E301" s="203">
        <v>45657</v>
      </c>
      <c r="F301" s="196">
        <v>487000</v>
      </c>
      <c r="G301" s="192"/>
      <c r="H301" s="192"/>
      <c r="I301" s="194" t="s">
        <v>929</v>
      </c>
      <c r="J301" s="193" t="s">
        <v>1115</v>
      </c>
      <c r="K301" s="194" t="s">
        <v>824</v>
      </c>
    </row>
    <row r="302" spans="1:11" ht="58.15" customHeight="1" x14ac:dyDescent="0.25">
      <c r="A302" s="192">
        <v>301</v>
      </c>
      <c r="B302" s="205" t="s">
        <v>3541</v>
      </c>
      <c r="C302" s="193" t="s">
        <v>3542</v>
      </c>
      <c r="D302" s="202" t="s">
        <v>3543</v>
      </c>
      <c r="E302" s="203">
        <v>45657</v>
      </c>
      <c r="F302" s="196">
        <v>252800</v>
      </c>
      <c r="G302" s="192"/>
      <c r="H302" s="192"/>
      <c r="I302" s="194" t="s">
        <v>929</v>
      </c>
      <c r="J302" s="193" t="s">
        <v>1115</v>
      </c>
      <c r="K302" s="194" t="s">
        <v>824</v>
      </c>
    </row>
    <row r="303" spans="1:11" ht="58.15" customHeight="1" x14ac:dyDescent="0.25">
      <c r="A303" s="192">
        <v>302</v>
      </c>
      <c r="B303" s="205" t="s">
        <v>3544</v>
      </c>
      <c r="C303" s="193" t="s">
        <v>3545</v>
      </c>
      <c r="D303" s="202" t="s">
        <v>3546</v>
      </c>
      <c r="E303" s="203">
        <v>45657</v>
      </c>
      <c r="F303" s="196">
        <v>85700</v>
      </c>
      <c r="G303" s="192"/>
      <c r="H303" s="192"/>
      <c r="I303" s="194" t="s">
        <v>929</v>
      </c>
      <c r="J303" s="193" t="s">
        <v>1115</v>
      </c>
      <c r="K303" s="194" t="s">
        <v>824</v>
      </c>
    </row>
    <row r="304" spans="1:11" ht="58.15" customHeight="1" x14ac:dyDescent="0.25">
      <c r="A304" s="192">
        <v>303</v>
      </c>
      <c r="B304" s="205" t="s">
        <v>3547</v>
      </c>
      <c r="C304" s="193" t="s">
        <v>3548</v>
      </c>
      <c r="D304" s="202" t="s">
        <v>3549</v>
      </c>
      <c r="E304" s="203">
        <v>45657</v>
      </c>
      <c r="F304" s="196">
        <v>553000</v>
      </c>
      <c r="G304" s="192"/>
      <c r="H304" s="192"/>
      <c r="I304" s="194" t="s">
        <v>929</v>
      </c>
      <c r="J304" s="193" t="s">
        <v>1115</v>
      </c>
      <c r="K304" s="194" t="s">
        <v>824</v>
      </c>
    </row>
    <row r="305" spans="1:11" ht="58.15" customHeight="1" x14ac:dyDescent="0.25">
      <c r="A305" s="192">
        <v>304</v>
      </c>
      <c r="B305" s="205" t="s">
        <v>3550</v>
      </c>
      <c r="C305" s="193" t="s">
        <v>3551</v>
      </c>
      <c r="D305" s="202" t="s">
        <v>3552</v>
      </c>
      <c r="E305" s="203">
        <v>45657</v>
      </c>
      <c r="F305" s="196">
        <v>109900</v>
      </c>
      <c r="G305" s="192"/>
      <c r="H305" s="192"/>
      <c r="I305" s="194" t="s">
        <v>929</v>
      </c>
      <c r="J305" s="193" t="s">
        <v>1115</v>
      </c>
      <c r="K305" s="194" t="s">
        <v>824</v>
      </c>
    </row>
    <row r="306" spans="1:11" ht="58.15" customHeight="1" x14ac:dyDescent="0.25">
      <c r="A306" s="192">
        <v>305</v>
      </c>
      <c r="B306" s="205" t="s">
        <v>3553</v>
      </c>
      <c r="C306" s="193" t="s">
        <v>3554</v>
      </c>
      <c r="D306" s="202" t="s">
        <v>3555</v>
      </c>
      <c r="E306" s="203">
        <v>45657</v>
      </c>
      <c r="F306" s="196">
        <v>228400</v>
      </c>
      <c r="G306" s="192"/>
      <c r="H306" s="192"/>
      <c r="I306" s="194" t="s">
        <v>843</v>
      </c>
      <c r="J306" s="193" t="s">
        <v>1115</v>
      </c>
      <c r="K306" s="194" t="s">
        <v>824</v>
      </c>
    </row>
    <row r="307" spans="1:11" ht="58.15" customHeight="1" x14ac:dyDescent="0.25">
      <c r="A307" s="192">
        <v>306</v>
      </c>
      <c r="B307" s="205" t="s">
        <v>3556</v>
      </c>
      <c r="C307" s="193" t="s">
        <v>3557</v>
      </c>
      <c r="D307" s="202" t="s">
        <v>3558</v>
      </c>
      <c r="E307" s="203">
        <v>45657</v>
      </c>
      <c r="F307" s="196">
        <v>383700</v>
      </c>
      <c r="G307" s="192"/>
      <c r="H307" s="192"/>
      <c r="I307" s="194" t="s">
        <v>843</v>
      </c>
      <c r="J307" s="193" t="s">
        <v>1115</v>
      </c>
      <c r="K307" s="194" t="s">
        <v>3168</v>
      </c>
    </row>
    <row r="308" spans="1:11" ht="58.15" customHeight="1" x14ac:dyDescent="0.25">
      <c r="A308" s="192">
        <v>307</v>
      </c>
      <c r="B308" s="205" t="s">
        <v>3559</v>
      </c>
      <c r="C308" s="193" t="s">
        <v>3560</v>
      </c>
      <c r="D308" s="202" t="s">
        <v>3561</v>
      </c>
      <c r="E308" s="203">
        <v>45657</v>
      </c>
      <c r="F308" s="196">
        <v>128700</v>
      </c>
      <c r="G308" s="192"/>
      <c r="H308" s="192"/>
      <c r="I308" s="194" t="s">
        <v>3562</v>
      </c>
      <c r="J308" s="193" t="s">
        <v>1115</v>
      </c>
      <c r="K308" s="194" t="s">
        <v>3168</v>
      </c>
    </row>
    <row r="309" spans="1:11" ht="58.15" customHeight="1" x14ac:dyDescent="0.25">
      <c r="A309" s="192">
        <v>308</v>
      </c>
      <c r="B309" s="205" t="s">
        <v>3563</v>
      </c>
      <c r="C309" s="193" t="s">
        <v>3564</v>
      </c>
      <c r="D309" s="202" t="s">
        <v>3565</v>
      </c>
      <c r="E309" s="203">
        <v>45657</v>
      </c>
      <c r="F309" s="196">
        <v>225400</v>
      </c>
      <c r="G309" s="192"/>
      <c r="H309" s="192"/>
      <c r="I309" s="194" t="s">
        <v>3562</v>
      </c>
      <c r="J309" s="193" t="s">
        <v>1115</v>
      </c>
      <c r="K309" s="194" t="s">
        <v>3168</v>
      </c>
    </row>
    <row r="310" spans="1:11" ht="58.15" customHeight="1" x14ac:dyDescent="0.25">
      <c r="A310" s="192">
        <v>309</v>
      </c>
      <c r="B310" s="205" t="s">
        <v>3566</v>
      </c>
      <c r="C310" s="193" t="s">
        <v>3567</v>
      </c>
      <c r="D310" s="202" t="s">
        <v>3568</v>
      </c>
      <c r="E310" s="203">
        <v>45657</v>
      </c>
      <c r="F310" s="196">
        <v>235200</v>
      </c>
      <c r="G310" s="192"/>
      <c r="H310" s="192"/>
      <c r="I310" s="194" t="s">
        <v>3569</v>
      </c>
      <c r="J310" s="193" t="s">
        <v>1115</v>
      </c>
      <c r="K310" s="194" t="s">
        <v>824</v>
      </c>
    </row>
    <row r="311" spans="1:11" ht="58.15" customHeight="1" x14ac:dyDescent="0.25">
      <c r="A311" s="192">
        <v>310</v>
      </c>
      <c r="B311" s="205" t="s">
        <v>3570</v>
      </c>
      <c r="C311" s="193" t="s">
        <v>3571</v>
      </c>
      <c r="D311" s="202" t="s">
        <v>3572</v>
      </c>
      <c r="E311" s="203">
        <v>45657</v>
      </c>
      <c r="F311" s="196">
        <v>252000</v>
      </c>
      <c r="G311" s="192"/>
      <c r="H311" s="192"/>
      <c r="I311" s="194" t="s">
        <v>3573</v>
      </c>
      <c r="J311" s="193" t="s">
        <v>1115</v>
      </c>
      <c r="K311" s="194" t="s">
        <v>867</v>
      </c>
    </row>
    <row r="312" spans="1:11" ht="58.15" customHeight="1" x14ac:dyDescent="0.25">
      <c r="A312" s="192">
        <v>311</v>
      </c>
      <c r="B312" s="205" t="s">
        <v>3574</v>
      </c>
      <c r="C312" s="193" t="s">
        <v>3575</v>
      </c>
      <c r="D312" s="202" t="s">
        <v>3576</v>
      </c>
      <c r="E312" s="203">
        <v>45657</v>
      </c>
      <c r="F312" s="196">
        <v>75400</v>
      </c>
      <c r="G312" s="192"/>
      <c r="H312" s="192"/>
      <c r="I312" s="194" t="s">
        <v>3577</v>
      </c>
      <c r="J312" s="193" t="s">
        <v>1115</v>
      </c>
      <c r="K312" s="194" t="s">
        <v>867</v>
      </c>
    </row>
    <row r="313" spans="1:11" ht="58.15" customHeight="1" x14ac:dyDescent="0.25">
      <c r="A313" s="192">
        <v>312</v>
      </c>
      <c r="B313" s="205" t="s">
        <v>3578</v>
      </c>
      <c r="C313" s="193" t="s">
        <v>3579</v>
      </c>
      <c r="D313" s="202" t="s">
        <v>3580</v>
      </c>
      <c r="E313" s="203">
        <v>45657</v>
      </c>
      <c r="F313" s="196">
        <v>73400</v>
      </c>
      <c r="G313" s="192"/>
      <c r="H313" s="192"/>
      <c r="I313" s="194" t="s">
        <v>3581</v>
      </c>
      <c r="J313" s="193" t="s">
        <v>1115</v>
      </c>
      <c r="K313" s="194" t="s">
        <v>1564</v>
      </c>
    </row>
    <row r="314" spans="1:11" ht="58.15" customHeight="1" x14ac:dyDescent="0.25">
      <c r="A314" s="192">
        <v>313</v>
      </c>
      <c r="B314" s="205" t="s">
        <v>3582</v>
      </c>
      <c r="C314" s="193" t="s">
        <v>3583</v>
      </c>
      <c r="D314" s="202" t="s">
        <v>3584</v>
      </c>
      <c r="E314" s="203">
        <v>45657</v>
      </c>
      <c r="F314" s="196">
        <v>197900</v>
      </c>
      <c r="G314" s="192"/>
      <c r="H314" s="192"/>
      <c r="I314" s="194" t="s">
        <v>3581</v>
      </c>
      <c r="J314" s="193" t="s">
        <v>1115</v>
      </c>
      <c r="K314" s="194" t="s">
        <v>1564</v>
      </c>
    </row>
    <row r="315" spans="1:11" ht="58.15" customHeight="1" x14ac:dyDescent="0.25">
      <c r="A315" s="192">
        <v>314</v>
      </c>
      <c r="B315" s="205" t="s">
        <v>3585</v>
      </c>
      <c r="C315" s="193" t="s">
        <v>3586</v>
      </c>
      <c r="D315" s="202" t="s">
        <v>3587</v>
      </c>
      <c r="E315" s="203">
        <v>45657</v>
      </c>
      <c r="F315" s="196">
        <v>115400</v>
      </c>
      <c r="G315" s="192"/>
      <c r="H315" s="192"/>
      <c r="I315" s="194" t="s">
        <v>3581</v>
      </c>
      <c r="J315" s="193" t="s">
        <v>1115</v>
      </c>
      <c r="K315" s="194" t="s">
        <v>1564</v>
      </c>
    </row>
    <row r="316" spans="1:11" ht="58.15" customHeight="1" x14ac:dyDescent="0.25">
      <c r="A316" s="192">
        <v>315</v>
      </c>
      <c r="B316" s="205" t="s">
        <v>3588</v>
      </c>
      <c r="C316" s="193" t="s">
        <v>3589</v>
      </c>
      <c r="D316" s="202" t="s">
        <v>3590</v>
      </c>
      <c r="E316" s="203">
        <v>45657</v>
      </c>
      <c r="F316" s="196">
        <v>604600</v>
      </c>
      <c r="G316" s="192"/>
      <c r="H316" s="192"/>
      <c r="I316" s="194" t="s">
        <v>3581</v>
      </c>
      <c r="J316" s="193" t="s">
        <v>1115</v>
      </c>
      <c r="K316" s="194" t="s">
        <v>1564</v>
      </c>
    </row>
    <row r="317" spans="1:11" ht="58.15" customHeight="1" x14ac:dyDescent="0.25">
      <c r="A317" s="192">
        <v>316</v>
      </c>
      <c r="B317" s="205" t="s">
        <v>3591</v>
      </c>
      <c r="C317" s="193" t="s">
        <v>3592</v>
      </c>
      <c r="D317" s="202" t="s">
        <v>3593</v>
      </c>
      <c r="E317" s="203">
        <v>45657</v>
      </c>
      <c r="F317" s="196">
        <v>329800</v>
      </c>
      <c r="G317" s="192"/>
      <c r="H317" s="192"/>
      <c r="I317" s="194" t="s">
        <v>3581</v>
      </c>
      <c r="J317" s="193" t="s">
        <v>1115</v>
      </c>
      <c r="K317" s="194" t="s">
        <v>1564</v>
      </c>
    </row>
    <row r="318" spans="1:11" ht="58.15" customHeight="1" x14ac:dyDescent="0.25">
      <c r="A318" s="192">
        <v>317</v>
      </c>
      <c r="B318" s="205" t="s">
        <v>3594</v>
      </c>
      <c r="C318" s="193" t="s">
        <v>3595</v>
      </c>
      <c r="D318" s="202" t="s">
        <v>3596</v>
      </c>
      <c r="E318" s="203">
        <v>45657</v>
      </c>
      <c r="F318" s="196">
        <v>549700</v>
      </c>
      <c r="G318" s="192"/>
      <c r="H318" s="192"/>
      <c r="I318" s="194" t="s">
        <v>1292</v>
      </c>
      <c r="J318" s="193" t="s">
        <v>1115</v>
      </c>
      <c r="K318" s="194" t="s">
        <v>824</v>
      </c>
    </row>
    <row r="319" spans="1:11" ht="58.15" customHeight="1" x14ac:dyDescent="0.25">
      <c r="A319" s="192">
        <v>318</v>
      </c>
      <c r="B319" s="205" t="s">
        <v>3597</v>
      </c>
      <c r="C319" s="193" t="s">
        <v>3598</v>
      </c>
      <c r="D319" s="202" t="s">
        <v>3599</v>
      </c>
      <c r="E319" s="203">
        <v>45657</v>
      </c>
      <c r="F319" s="196">
        <v>549700</v>
      </c>
      <c r="G319" s="192"/>
      <c r="H319" s="192"/>
      <c r="I319" s="194" t="s">
        <v>843</v>
      </c>
      <c r="J319" s="193" t="s">
        <v>1115</v>
      </c>
      <c r="K319" s="194" t="s">
        <v>824</v>
      </c>
    </row>
    <row r="320" spans="1:11" ht="58.15" customHeight="1" x14ac:dyDescent="0.25">
      <c r="A320" s="192">
        <v>319</v>
      </c>
      <c r="B320" s="205" t="s">
        <v>3600</v>
      </c>
      <c r="C320" s="193" t="s">
        <v>3601</v>
      </c>
      <c r="D320" s="202" t="s">
        <v>3602</v>
      </c>
      <c r="E320" s="203">
        <v>45657</v>
      </c>
      <c r="F320" s="196">
        <v>307800</v>
      </c>
      <c r="G320" s="192"/>
      <c r="H320" s="192"/>
      <c r="I320" s="194" t="s">
        <v>3603</v>
      </c>
      <c r="J320" s="193" t="s">
        <v>1115</v>
      </c>
      <c r="K320" s="194" t="s">
        <v>824</v>
      </c>
    </row>
    <row r="321" spans="1:11" ht="58.15" customHeight="1" x14ac:dyDescent="0.25">
      <c r="A321" s="192">
        <v>320</v>
      </c>
      <c r="B321" s="205" t="s">
        <v>3604</v>
      </c>
      <c r="C321" s="193" t="s">
        <v>3605</v>
      </c>
      <c r="D321" s="202" t="s">
        <v>3606</v>
      </c>
      <c r="E321" s="203">
        <v>45657</v>
      </c>
      <c r="F321" s="196">
        <v>508900</v>
      </c>
      <c r="G321" s="192"/>
      <c r="H321" s="192"/>
      <c r="I321" s="194" t="s">
        <v>2155</v>
      </c>
      <c r="J321" s="193" t="s">
        <v>1115</v>
      </c>
      <c r="K321" s="194" t="s">
        <v>867</v>
      </c>
    </row>
    <row r="322" spans="1:11" ht="58.15" customHeight="1" x14ac:dyDescent="0.25">
      <c r="A322" s="192">
        <v>321</v>
      </c>
      <c r="B322" s="205" t="s">
        <v>3607</v>
      </c>
      <c r="C322" s="193" t="s">
        <v>3608</v>
      </c>
      <c r="D322" s="202" t="s">
        <v>3609</v>
      </c>
      <c r="E322" s="203">
        <v>45657</v>
      </c>
      <c r="F322" s="196">
        <v>170400</v>
      </c>
      <c r="G322" s="192"/>
      <c r="H322" s="192"/>
      <c r="I322" s="194" t="s">
        <v>881</v>
      </c>
      <c r="J322" s="193" t="s">
        <v>1115</v>
      </c>
      <c r="K322" s="194" t="s">
        <v>820</v>
      </c>
    </row>
    <row r="323" spans="1:11" ht="58.15" customHeight="1" x14ac:dyDescent="0.25">
      <c r="A323" s="192">
        <v>322</v>
      </c>
      <c r="B323" s="205" t="s">
        <v>3610</v>
      </c>
      <c r="C323" s="193" t="s">
        <v>3611</v>
      </c>
      <c r="D323" s="202" t="s">
        <v>3612</v>
      </c>
      <c r="E323" s="203">
        <v>45657</v>
      </c>
      <c r="F323" s="196">
        <v>434200</v>
      </c>
      <c r="G323" s="192"/>
      <c r="H323" s="192"/>
      <c r="I323" s="194" t="s">
        <v>1055</v>
      </c>
      <c r="J323" s="193" t="s">
        <v>1115</v>
      </c>
      <c r="K323" s="194" t="s">
        <v>867</v>
      </c>
    </row>
    <row r="324" spans="1:11" ht="58.15" customHeight="1" x14ac:dyDescent="0.25">
      <c r="A324" s="192">
        <v>323</v>
      </c>
      <c r="B324" s="205" t="s">
        <v>3613</v>
      </c>
      <c r="C324" s="193" t="s">
        <v>3614</v>
      </c>
      <c r="D324" s="202" t="s">
        <v>3615</v>
      </c>
      <c r="E324" s="203">
        <v>45657</v>
      </c>
      <c r="F324" s="196">
        <v>148400</v>
      </c>
      <c r="G324" s="192"/>
      <c r="H324" s="192"/>
      <c r="I324" s="194" t="s">
        <v>2945</v>
      </c>
      <c r="J324" s="193" t="s">
        <v>1115</v>
      </c>
      <c r="K324" s="194" t="s">
        <v>867</v>
      </c>
    </row>
    <row r="325" spans="1:11" ht="58.15" customHeight="1" x14ac:dyDescent="0.25">
      <c r="A325" s="192">
        <v>324</v>
      </c>
      <c r="B325" s="205" t="s">
        <v>3616</v>
      </c>
      <c r="C325" s="193" t="s">
        <v>3617</v>
      </c>
      <c r="D325" s="202" t="s">
        <v>3618</v>
      </c>
      <c r="E325" s="203">
        <v>45657</v>
      </c>
      <c r="F325" s="196">
        <v>467200</v>
      </c>
      <c r="G325" s="192"/>
      <c r="H325" s="192"/>
      <c r="I325" s="194" t="s">
        <v>3619</v>
      </c>
      <c r="J325" s="193" t="s">
        <v>1115</v>
      </c>
      <c r="K325" s="194" t="s">
        <v>867</v>
      </c>
    </row>
    <row r="326" spans="1:11" ht="58.15" customHeight="1" x14ac:dyDescent="0.25">
      <c r="A326" s="192">
        <v>325</v>
      </c>
      <c r="B326" s="205" t="s">
        <v>3620</v>
      </c>
      <c r="C326" s="193" t="s">
        <v>3621</v>
      </c>
      <c r="D326" s="202" t="s">
        <v>3622</v>
      </c>
      <c r="E326" s="203">
        <v>45657</v>
      </c>
      <c r="F326" s="196">
        <v>170400</v>
      </c>
      <c r="G326" s="192"/>
      <c r="H326" s="192"/>
      <c r="I326" s="194" t="s">
        <v>1563</v>
      </c>
      <c r="J326" s="193" t="s">
        <v>1115</v>
      </c>
      <c r="K326" s="194" t="s">
        <v>867</v>
      </c>
    </row>
    <row r="327" spans="1:11" ht="58.15" customHeight="1" x14ac:dyDescent="0.25">
      <c r="A327" s="192">
        <v>326</v>
      </c>
      <c r="B327" s="205" t="s">
        <v>3623</v>
      </c>
      <c r="C327" s="193" t="s">
        <v>3624</v>
      </c>
      <c r="D327" s="202" t="s">
        <v>3625</v>
      </c>
      <c r="E327" s="203">
        <v>45657</v>
      </c>
      <c r="F327" s="196">
        <v>57900</v>
      </c>
      <c r="G327" s="192"/>
      <c r="H327" s="192"/>
      <c r="I327" s="194" t="s">
        <v>3225</v>
      </c>
      <c r="J327" s="193" t="s">
        <v>1115</v>
      </c>
      <c r="K327" s="194" t="s">
        <v>867</v>
      </c>
    </row>
    <row r="328" spans="1:11" ht="58.15" customHeight="1" x14ac:dyDescent="0.25">
      <c r="A328" s="192">
        <v>327</v>
      </c>
      <c r="B328" s="205" t="s">
        <v>3626</v>
      </c>
      <c r="C328" s="193" t="s">
        <v>3627</v>
      </c>
      <c r="D328" s="202" t="s">
        <v>3628</v>
      </c>
      <c r="E328" s="203">
        <v>45657</v>
      </c>
      <c r="F328" s="196">
        <v>137400</v>
      </c>
      <c r="G328" s="192"/>
      <c r="H328" s="192"/>
      <c r="I328" s="194" t="s">
        <v>3225</v>
      </c>
      <c r="J328" s="193" t="s">
        <v>1115</v>
      </c>
      <c r="K328" s="194" t="s">
        <v>867</v>
      </c>
    </row>
    <row r="329" spans="1:11" ht="58.15" customHeight="1" x14ac:dyDescent="0.25">
      <c r="A329" s="192">
        <v>328</v>
      </c>
      <c r="B329" s="205" t="s">
        <v>3629</v>
      </c>
      <c r="C329" s="193" t="s">
        <v>3630</v>
      </c>
      <c r="D329" s="202" t="s">
        <v>3631</v>
      </c>
      <c r="E329" s="203">
        <v>45657</v>
      </c>
      <c r="F329" s="196">
        <v>91700</v>
      </c>
      <c r="G329" s="192"/>
      <c r="H329" s="192"/>
      <c r="I329" s="194" t="s">
        <v>881</v>
      </c>
      <c r="J329" s="193" t="s">
        <v>1115</v>
      </c>
      <c r="K329" s="194" t="s">
        <v>3632</v>
      </c>
    </row>
    <row r="330" spans="1:11" ht="58.15" customHeight="1" x14ac:dyDescent="0.25">
      <c r="A330" s="192">
        <v>329</v>
      </c>
      <c r="B330" s="205" t="s">
        <v>3633</v>
      </c>
      <c r="C330" s="193" t="s">
        <v>3634</v>
      </c>
      <c r="D330" s="202" t="s">
        <v>3635</v>
      </c>
      <c r="E330" s="203">
        <v>45657</v>
      </c>
      <c r="F330" s="196">
        <v>415500</v>
      </c>
      <c r="G330" s="192"/>
      <c r="H330" s="192"/>
      <c r="I330" s="194" t="s">
        <v>843</v>
      </c>
      <c r="J330" s="193" t="s">
        <v>1115</v>
      </c>
      <c r="K330" s="194" t="s">
        <v>820</v>
      </c>
    </row>
    <row r="331" spans="1:11" ht="58.15" customHeight="1" x14ac:dyDescent="0.25">
      <c r="A331" s="192">
        <v>330</v>
      </c>
      <c r="B331" s="205" t="s">
        <v>3636</v>
      </c>
      <c r="C331" s="193" t="s">
        <v>3637</v>
      </c>
      <c r="D331" s="202" t="s">
        <v>3638</v>
      </c>
      <c r="E331" s="203">
        <v>45657</v>
      </c>
      <c r="F331" s="196">
        <v>473800</v>
      </c>
      <c r="G331" s="192"/>
      <c r="H331" s="192"/>
      <c r="I331" s="194" t="s">
        <v>3639</v>
      </c>
      <c r="J331" s="193" t="s">
        <v>1115</v>
      </c>
      <c r="K331" s="194"/>
    </row>
    <row r="332" spans="1:11" ht="58.15" customHeight="1" x14ac:dyDescent="0.25">
      <c r="A332" s="192">
        <v>331</v>
      </c>
      <c r="B332" s="205" t="s">
        <v>3640</v>
      </c>
      <c r="C332" s="193" t="s">
        <v>3641</v>
      </c>
      <c r="D332" s="202" t="s">
        <v>3642</v>
      </c>
      <c r="E332" s="203">
        <v>45657</v>
      </c>
      <c r="F332" s="196">
        <v>282100</v>
      </c>
      <c r="G332" s="192"/>
      <c r="H332" s="192"/>
      <c r="I332" s="194" t="s">
        <v>3643</v>
      </c>
      <c r="J332" s="193" t="s">
        <v>1115</v>
      </c>
      <c r="K332" s="194" t="s">
        <v>824</v>
      </c>
    </row>
    <row r="333" spans="1:11" ht="58.15" customHeight="1" x14ac:dyDescent="0.25">
      <c r="A333" s="192">
        <v>332</v>
      </c>
      <c r="B333" s="205" t="s">
        <v>3644</v>
      </c>
      <c r="C333" s="193" t="s">
        <v>3645</v>
      </c>
      <c r="D333" s="202" t="s">
        <v>3646</v>
      </c>
      <c r="E333" s="203">
        <v>45657</v>
      </c>
      <c r="F333" s="196">
        <v>611300</v>
      </c>
      <c r="G333" s="192"/>
      <c r="H333" s="192"/>
      <c r="I333" s="194" t="s">
        <v>843</v>
      </c>
      <c r="J333" s="193" t="s">
        <v>1115</v>
      </c>
      <c r="K333" s="194" t="s">
        <v>824</v>
      </c>
    </row>
    <row r="334" spans="1:11" ht="58.15" customHeight="1" x14ac:dyDescent="0.25">
      <c r="A334" s="192">
        <v>333</v>
      </c>
      <c r="B334" s="205" t="s">
        <v>3644</v>
      </c>
      <c r="C334" s="193" t="s">
        <v>3647</v>
      </c>
      <c r="D334" s="202" t="s">
        <v>3648</v>
      </c>
      <c r="E334" s="203">
        <v>45657</v>
      </c>
      <c r="F334" s="196">
        <v>191000</v>
      </c>
      <c r="G334" s="192"/>
      <c r="H334" s="192"/>
      <c r="I334" s="194" t="s">
        <v>843</v>
      </c>
      <c r="J334" s="193" t="s">
        <v>1115</v>
      </c>
      <c r="K334" s="194" t="s">
        <v>824</v>
      </c>
    </row>
    <row r="335" spans="1:11" ht="58.15" customHeight="1" x14ac:dyDescent="0.25">
      <c r="A335" s="192">
        <v>334</v>
      </c>
      <c r="B335" s="205" t="s">
        <v>3649</v>
      </c>
      <c r="C335" s="193" t="s">
        <v>3650</v>
      </c>
      <c r="D335" s="202" t="s">
        <v>3651</v>
      </c>
      <c r="E335" s="203">
        <v>45657</v>
      </c>
      <c r="F335" s="196">
        <v>391200</v>
      </c>
      <c r="G335" s="192"/>
      <c r="H335" s="192"/>
      <c r="I335" s="194" t="s">
        <v>1684</v>
      </c>
      <c r="J335" s="193" t="s">
        <v>1115</v>
      </c>
      <c r="K335" s="194" t="s">
        <v>824</v>
      </c>
    </row>
    <row r="336" spans="1:11" ht="58.15" customHeight="1" x14ac:dyDescent="0.25">
      <c r="A336" s="192">
        <v>335</v>
      </c>
      <c r="B336" s="205" t="s">
        <v>3652</v>
      </c>
      <c r="C336" s="193" t="s">
        <v>3653</v>
      </c>
      <c r="D336" s="202" t="s">
        <v>3654</v>
      </c>
      <c r="E336" s="203">
        <v>45657</v>
      </c>
      <c r="F336" s="196">
        <v>369600</v>
      </c>
      <c r="G336" s="192"/>
      <c r="H336" s="192"/>
      <c r="I336" s="194" t="s">
        <v>3655</v>
      </c>
      <c r="J336" s="193" t="s">
        <v>1115</v>
      </c>
      <c r="K336" s="194" t="s">
        <v>867</v>
      </c>
    </row>
    <row r="337" spans="1:11" ht="58.15" customHeight="1" x14ac:dyDescent="0.25">
      <c r="A337" s="192">
        <v>336</v>
      </c>
      <c r="B337" s="205" t="s">
        <v>3656</v>
      </c>
      <c r="C337" s="193" t="s">
        <v>3657</v>
      </c>
      <c r="D337" s="202" t="s">
        <v>3658</v>
      </c>
      <c r="E337" s="203">
        <v>45657</v>
      </c>
      <c r="F337" s="196">
        <v>374400</v>
      </c>
      <c r="G337" s="192"/>
      <c r="H337" s="192"/>
      <c r="I337" s="194" t="s">
        <v>1684</v>
      </c>
      <c r="J337" s="193" t="s">
        <v>1115</v>
      </c>
      <c r="K337" s="194" t="s">
        <v>824</v>
      </c>
    </row>
    <row r="338" spans="1:11" ht="58.15" customHeight="1" x14ac:dyDescent="0.25">
      <c r="A338" s="192">
        <v>337</v>
      </c>
      <c r="B338" s="205" t="s">
        <v>3659</v>
      </c>
      <c r="C338" s="193" t="s">
        <v>3660</v>
      </c>
      <c r="D338" s="202" t="s">
        <v>3661</v>
      </c>
      <c r="E338" s="203">
        <v>45657</v>
      </c>
      <c r="F338" s="196">
        <v>357600</v>
      </c>
      <c r="G338" s="192"/>
      <c r="H338" s="192"/>
      <c r="I338" s="194" t="s">
        <v>3662</v>
      </c>
      <c r="J338" s="193" t="s">
        <v>1115</v>
      </c>
      <c r="K338" s="194" t="s">
        <v>3663</v>
      </c>
    </row>
    <row r="339" spans="1:11" ht="58.15" customHeight="1" x14ac:dyDescent="0.25">
      <c r="A339" s="192">
        <v>338</v>
      </c>
      <c r="B339" s="205" t="s">
        <v>3664</v>
      </c>
      <c r="C339" s="193" t="s">
        <v>3665</v>
      </c>
      <c r="D339" s="202" t="s">
        <v>3666</v>
      </c>
      <c r="E339" s="203">
        <v>45657</v>
      </c>
      <c r="F339" s="196">
        <f>1213500/8</f>
        <v>151687.5</v>
      </c>
      <c r="G339" s="192"/>
      <c r="H339" s="192"/>
      <c r="I339" s="194" t="s">
        <v>3667</v>
      </c>
      <c r="J339" s="193" t="s">
        <v>1115</v>
      </c>
      <c r="K339" s="194" t="s">
        <v>824</v>
      </c>
    </row>
    <row r="340" spans="1:11" ht="58.15" customHeight="1" x14ac:dyDescent="0.25">
      <c r="A340" s="192">
        <v>339</v>
      </c>
      <c r="B340" s="205" t="s">
        <v>3664</v>
      </c>
      <c r="C340" s="193" t="s">
        <v>3665</v>
      </c>
      <c r="D340" s="202" t="s">
        <v>3668</v>
      </c>
      <c r="E340" s="203">
        <v>45657</v>
      </c>
      <c r="F340" s="196">
        <f t="shared" ref="F340:F346" si="10">1213500/8</f>
        <v>151687.5</v>
      </c>
      <c r="G340" s="192"/>
      <c r="H340" s="192"/>
      <c r="I340" s="194" t="s">
        <v>3667</v>
      </c>
      <c r="J340" s="193" t="s">
        <v>1115</v>
      </c>
      <c r="K340" s="194" t="s">
        <v>824</v>
      </c>
    </row>
    <row r="341" spans="1:11" ht="58.15" customHeight="1" x14ac:dyDescent="0.25">
      <c r="A341" s="192">
        <v>340</v>
      </c>
      <c r="B341" s="205" t="s">
        <v>3664</v>
      </c>
      <c r="C341" s="193" t="s">
        <v>3665</v>
      </c>
      <c r="D341" s="202" t="s">
        <v>3669</v>
      </c>
      <c r="E341" s="203">
        <v>45657</v>
      </c>
      <c r="F341" s="196">
        <f t="shared" si="10"/>
        <v>151687.5</v>
      </c>
      <c r="G341" s="192"/>
      <c r="H341" s="192"/>
      <c r="I341" s="194" t="s">
        <v>3667</v>
      </c>
      <c r="J341" s="193" t="s">
        <v>1115</v>
      </c>
      <c r="K341" s="194" t="s">
        <v>824</v>
      </c>
    </row>
    <row r="342" spans="1:11" ht="58.15" customHeight="1" x14ac:dyDescent="0.25">
      <c r="A342" s="192">
        <v>341</v>
      </c>
      <c r="B342" s="205" t="s">
        <v>3664</v>
      </c>
      <c r="C342" s="193" t="s">
        <v>3665</v>
      </c>
      <c r="D342" s="202" t="s">
        <v>3670</v>
      </c>
      <c r="E342" s="203">
        <v>45657</v>
      </c>
      <c r="F342" s="196">
        <f t="shared" si="10"/>
        <v>151687.5</v>
      </c>
      <c r="G342" s="192"/>
      <c r="H342" s="192"/>
      <c r="I342" s="194" t="s">
        <v>3667</v>
      </c>
      <c r="J342" s="193" t="s">
        <v>1115</v>
      </c>
      <c r="K342" s="194" t="s">
        <v>824</v>
      </c>
    </row>
    <row r="343" spans="1:11" ht="58.15" customHeight="1" x14ac:dyDescent="0.25">
      <c r="A343" s="192">
        <v>342</v>
      </c>
      <c r="B343" s="205" t="s">
        <v>3664</v>
      </c>
      <c r="C343" s="193" t="s">
        <v>3665</v>
      </c>
      <c r="D343" s="202" t="s">
        <v>3671</v>
      </c>
      <c r="E343" s="203">
        <v>45657</v>
      </c>
      <c r="F343" s="196">
        <f t="shared" si="10"/>
        <v>151687.5</v>
      </c>
      <c r="G343" s="192"/>
      <c r="H343" s="192"/>
      <c r="I343" s="194" t="s">
        <v>3667</v>
      </c>
      <c r="J343" s="193" t="s">
        <v>1115</v>
      </c>
      <c r="K343" s="194" t="s">
        <v>824</v>
      </c>
    </row>
    <row r="344" spans="1:11" ht="58.15" customHeight="1" x14ac:dyDescent="0.25">
      <c r="A344" s="192">
        <v>343</v>
      </c>
      <c r="B344" s="205" t="s">
        <v>3664</v>
      </c>
      <c r="C344" s="193" t="s">
        <v>3665</v>
      </c>
      <c r="D344" s="202" t="s">
        <v>3672</v>
      </c>
      <c r="E344" s="203">
        <v>45657</v>
      </c>
      <c r="F344" s="196">
        <f t="shared" si="10"/>
        <v>151687.5</v>
      </c>
      <c r="G344" s="192"/>
      <c r="H344" s="192"/>
      <c r="I344" s="194" t="s">
        <v>3667</v>
      </c>
      <c r="J344" s="193" t="s">
        <v>1115</v>
      </c>
      <c r="K344" s="194" t="s">
        <v>824</v>
      </c>
    </row>
    <row r="345" spans="1:11" ht="58.15" customHeight="1" x14ac:dyDescent="0.25">
      <c r="A345" s="192">
        <v>344</v>
      </c>
      <c r="B345" s="205" t="s">
        <v>3664</v>
      </c>
      <c r="C345" s="193" t="s">
        <v>3665</v>
      </c>
      <c r="D345" s="202" t="s">
        <v>3673</v>
      </c>
      <c r="E345" s="203">
        <v>45657</v>
      </c>
      <c r="F345" s="196">
        <f t="shared" si="10"/>
        <v>151687.5</v>
      </c>
      <c r="G345" s="192"/>
      <c r="H345" s="192"/>
      <c r="I345" s="194" t="s">
        <v>3667</v>
      </c>
      <c r="J345" s="193" t="s">
        <v>1115</v>
      </c>
      <c r="K345" s="194" t="s">
        <v>824</v>
      </c>
    </row>
    <row r="346" spans="1:11" ht="58.15" customHeight="1" x14ac:dyDescent="0.25">
      <c r="A346" s="192">
        <v>345</v>
      </c>
      <c r="B346" s="205" t="s">
        <v>3664</v>
      </c>
      <c r="C346" s="193" t="s">
        <v>3665</v>
      </c>
      <c r="D346" s="202" t="s">
        <v>3674</v>
      </c>
      <c r="E346" s="203">
        <v>45657</v>
      </c>
      <c r="F346" s="196">
        <f t="shared" si="10"/>
        <v>151687.5</v>
      </c>
      <c r="G346" s="192"/>
      <c r="H346" s="192"/>
      <c r="I346" s="194" t="s">
        <v>3667</v>
      </c>
      <c r="J346" s="193" t="s">
        <v>1115</v>
      </c>
      <c r="K346" s="194" t="s">
        <v>824</v>
      </c>
    </row>
    <row r="347" spans="1:11" ht="58.15" customHeight="1" x14ac:dyDescent="0.25">
      <c r="A347" s="192">
        <v>346</v>
      </c>
      <c r="B347" s="205" t="s">
        <v>3675</v>
      </c>
      <c r="C347" s="193" t="s">
        <v>3676</v>
      </c>
      <c r="D347" s="202" t="s">
        <v>3677</v>
      </c>
      <c r="E347" s="203">
        <v>45657</v>
      </c>
      <c r="F347" s="196">
        <v>100200</v>
      </c>
      <c r="G347" s="192"/>
      <c r="H347" s="192"/>
      <c r="I347" s="194" t="s">
        <v>3678</v>
      </c>
      <c r="J347" s="193" t="s">
        <v>1115</v>
      </c>
      <c r="K347" s="194" t="s">
        <v>824</v>
      </c>
    </row>
    <row r="348" spans="1:11" ht="58.15" customHeight="1" x14ac:dyDescent="0.25">
      <c r="A348" s="192">
        <v>347</v>
      </c>
      <c r="B348" s="205" t="s">
        <v>3504</v>
      </c>
      <c r="C348" s="193" t="s">
        <v>3505</v>
      </c>
      <c r="D348" s="202" t="s">
        <v>3679</v>
      </c>
      <c r="E348" s="203">
        <v>45657</v>
      </c>
      <c r="F348" s="196">
        <v>620600</v>
      </c>
      <c r="G348" s="192"/>
      <c r="H348" s="192"/>
      <c r="I348" s="194" t="s">
        <v>1293</v>
      </c>
      <c r="J348" s="193" t="s">
        <v>1115</v>
      </c>
      <c r="K348" s="194" t="s">
        <v>824</v>
      </c>
    </row>
    <row r="349" spans="1:11" ht="58.15" customHeight="1" x14ac:dyDescent="0.25">
      <c r="A349" s="192">
        <v>348</v>
      </c>
      <c r="B349" s="205" t="s">
        <v>3680</v>
      </c>
      <c r="C349" s="193" t="s">
        <v>3681</v>
      </c>
      <c r="D349" s="202" t="s">
        <v>3682</v>
      </c>
      <c r="E349" s="203">
        <v>45657</v>
      </c>
      <c r="F349" s="196">
        <v>359400</v>
      </c>
      <c r="G349" s="192"/>
      <c r="H349" s="192"/>
      <c r="I349" s="194" t="s">
        <v>3683</v>
      </c>
      <c r="J349" s="193" t="s">
        <v>1115</v>
      </c>
      <c r="K349" s="194" t="s">
        <v>824</v>
      </c>
    </row>
    <row r="350" spans="1:11" ht="58.15" customHeight="1" x14ac:dyDescent="0.25">
      <c r="A350" s="192">
        <v>349</v>
      </c>
      <c r="B350" s="205" t="s">
        <v>3684</v>
      </c>
      <c r="C350" s="193" t="s">
        <v>3685</v>
      </c>
      <c r="D350" s="202" t="s">
        <v>3686</v>
      </c>
      <c r="E350" s="203">
        <v>45657</v>
      </c>
      <c r="F350" s="196">
        <v>154600</v>
      </c>
      <c r="G350" s="192"/>
      <c r="H350" s="192"/>
      <c r="I350" s="194" t="s">
        <v>3687</v>
      </c>
      <c r="J350" s="193" t="s">
        <v>1115</v>
      </c>
      <c r="K350" s="194" t="s">
        <v>1564</v>
      </c>
    </row>
    <row r="351" spans="1:11" ht="58.15" customHeight="1" x14ac:dyDescent="0.25">
      <c r="A351" s="192">
        <v>350</v>
      </c>
      <c r="B351" s="205" t="s">
        <v>3688</v>
      </c>
      <c r="C351" s="193" t="s">
        <v>3689</v>
      </c>
      <c r="D351" s="202" t="s">
        <v>3690</v>
      </c>
      <c r="E351" s="203">
        <v>45657</v>
      </c>
      <c r="F351" s="196">
        <v>144400</v>
      </c>
      <c r="G351" s="192"/>
      <c r="H351" s="192"/>
      <c r="I351" s="194" t="s">
        <v>3687</v>
      </c>
      <c r="J351" s="193" t="s">
        <v>1115</v>
      </c>
      <c r="K351" s="194" t="s">
        <v>1564</v>
      </c>
    </row>
    <row r="352" spans="1:11" ht="58.15" customHeight="1" x14ac:dyDescent="0.25">
      <c r="A352" s="192">
        <v>351</v>
      </c>
      <c r="B352" s="205" t="s">
        <v>3691</v>
      </c>
      <c r="C352" s="193" t="s">
        <v>3692</v>
      </c>
      <c r="D352" s="202" t="s">
        <v>3693</v>
      </c>
      <c r="E352" s="203">
        <v>45657</v>
      </c>
      <c r="F352" s="196">
        <v>279800</v>
      </c>
      <c r="G352" s="192"/>
      <c r="H352" s="192"/>
      <c r="I352" s="194" t="s">
        <v>3687</v>
      </c>
      <c r="J352" s="193" t="s">
        <v>1115</v>
      </c>
      <c r="K352" s="194"/>
    </row>
    <row r="353" spans="1:13" ht="58.15" customHeight="1" x14ac:dyDescent="0.25">
      <c r="A353" s="192">
        <v>352</v>
      </c>
      <c r="B353" s="205" t="s">
        <v>3694</v>
      </c>
      <c r="C353" s="193" t="s">
        <v>3695</v>
      </c>
      <c r="D353" s="202" t="s">
        <v>3696</v>
      </c>
      <c r="E353" s="203">
        <v>45657</v>
      </c>
      <c r="F353" s="196">
        <v>167200</v>
      </c>
      <c r="G353" s="192"/>
      <c r="H353" s="192"/>
      <c r="I353" s="194" t="s">
        <v>3662</v>
      </c>
      <c r="J353" s="193" t="s">
        <v>1115</v>
      </c>
      <c r="K353" s="194" t="s">
        <v>1301</v>
      </c>
    </row>
    <row r="354" spans="1:13" ht="58.15" customHeight="1" x14ac:dyDescent="0.25">
      <c r="A354" s="192">
        <v>353</v>
      </c>
      <c r="B354" s="205" t="s">
        <v>3697</v>
      </c>
      <c r="C354" s="193" t="s">
        <v>3698</v>
      </c>
      <c r="D354" s="202" t="s">
        <v>3699</v>
      </c>
      <c r="E354" s="203">
        <v>45657</v>
      </c>
      <c r="F354" s="196">
        <v>292900</v>
      </c>
      <c r="G354" s="192"/>
      <c r="H354" s="192"/>
      <c r="I354" s="194" t="s">
        <v>3700</v>
      </c>
      <c r="J354" s="193" t="s">
        <v>1115</v>
      </c>
      <c r="K354" s="194" t="s">
        <v>1564</v>
      </c>
    </row>
    <row r="355" spans="1:13" ht="58.15" customHeight="1" x14ac:dyDescent="0.25">
      <c r="A355" s="192">
        <v>354</v>
      </c>
      <c r="B355" s="205" t="s">
        <v>3701</v>
      </c>
      <c r="C355" s="193" t="s">
        <v>3702</v>
      </c>
      <c r="D355" s="202" t="s">
        <v>3703</v>
      </c>
      <c r="E355" s="203">
        <v>45657</v>
      </c>
      <c r="F355" s="196">
        <v>170600</v>
      </c>
      <c r="G355" s="192"/>
      <c r="H355" s="192"/>
      <c r="I355" s="194" t="s">
        <v>3704</v>
      </c>
      <c r="J355" s="193" t="s">
        <v>1115</v>
      </c>
      <c r="K355" s="194" t="s">
        <v>1569</v>
      </c>
    </row>
    <row r="356" spans="1:13" ht="58.15" customHeight="1" x14ac:dyDescent="0.25">
      <c r="A356" s="192">
        <v>355</v>
      </c>
      <c r="B356" s="205" t="s">
        <v>1299</v>
      </c>
      <c r="C356" s="193" t="s">
        <v>3705</v>
      </c>
      <c r="D356" s="202" t="s">
        <v>3706</v>
      </c>
      <c r="E356" s="203">
        <v>45657</v>
      </c>
      <c r="F356" s="196">
        <v>597500</v>
      </c>
      <c r="G356" s="192"/>
      <c r="H356" s="192"/>
      <c r="I356" s="194" t="s">
        <v>3707</v>
      </c>
      <c r="J356" s="193" t="s">
        <v>1115</v>
      </c>
      <c r="K356" s="194" t="s">
        <v>918</v>
      </c>
    </row>
    <row r="357" spans="1:13" ht="58.15" customHeight="1" x14ac:dyDescent="0.25">
      <c r="A357" s="192">
        <v>356</v>
      </c>
      <c r="B357" s="205" t="s">
        <v>3708</v>
      </c>
      <c r="C357" s="193" t="s">
        <v>3709</v>
      </c>
      <c r="D357" s="202" t="s">
        <v>3710</v>
      </c>
      <c r="E357" s="203">
        <v>45657</v>
      </c>
      <c r="F357" s="196">
        <v>465800</v>
      </c>
      <c r="G357" s="192"/>
      <c r="H357" s="192"/>
      <c r="I357" s="194" t="s">
        <v>3711</v>
      </c>
      <c r="J357" s="193" t="s">
        <v>1115</v>
      </c>
      <c r="K357" s="194" t="s">
        <v>1564</v>
      </c>
    </row>
    <row r="358" spans="1:13" ht="58.15" customHeight="1" x14ac:dyDescent="0.25">
      <c r="A358" s="192">
        <v>357</v>
      </c>
      <c r="B358" s="205" t="s">
        <v>3712</v>
      </c>
      <c r="C358" s="193"/>
      <c r="D358" s="202" t="s">
        <v>2692</v>
      </c>
      <c r="E358" s="203">
        <v>45657</v>
      </c>
      <c r="F358" s="196">
        <v>6163400</v>
      </c>
      <c r="G358" s="192"/>
      <c r="H358" s="192"/>
      <c r="I358" s="194" t="s">
        <v>843</v>
      </c>
      <c r="J358" s="193" t="s">
        <v>1115</v>
      </c>
      <c r="K358" s="194" t="s">
        <v>824</v>
      </c>
    </row>
    <row r="359" spans="1:13" ht="58.15" customHeight="1" x14ac:dyDescent="0.25">
      <c r="A359" s="192">
        <v>358</v>
      </c>
      <c r="B359" s="205" t="s">
        <v>3713</v>
      </c>
      <c r="C359" s="193"/>
      <c r="D359" s="202" t="s">
        <v>2692</v>
      </c>
      <c r="E359" s="203">
        <v>45657</v>
      </c>
      <c r="F359" s="196">
        <v>1308200</v>
      </c>
      <c r="G359" s="192"/>
      <c r="H359" s="192"/>
      <c r="I359" s="194" t="s">
        <v>843</v>
      </c>
      <c r="J359" s="193" t="s">
        <v>1115</v>
      </c>
      <c r="K359" s="194" t="s">
        <v>824</v>
      </c>
    </row>
    <row r="360" spans="1:13" ht="58.15" customHeight="1" x14ac:dyDescent="0.25">
      <c r="A360" s="192">
        <v>359</v>
      </c>
      <c r="B360" s="205" t="s">
        <v>3714</v>
      </c>
      <c r="C360" s="193"/>
      <c r="D360" s="202" t="s">
        <v>2692</v>
      </c>
      <c r="E360" s="203">
        <v>45657</v>
      </c>
      <c r="F360" s="196">
        <v>7592800</v>
      </c>
      <c r="G360" s="192"/>
      <c r="H360" s="192"/>
      <c r="I360" s="194" t="s">
        <v>843</v>
      </c>
      <c r="J360" s="193" t="s">
        <v>1115</v>
      </c>
      <c r="K360" s="194" t="s">
        <v>824</v>
      </c>
    </row>
    <row r="361" spans="1:13" ht="58.15" customHeight="1" x14ac:dyDescent="0.25">
      <c r="A361" s="192">
        <v>360</v>
      </c>
      <c r="B361" s="205" t="s">
        <v>1395</v>
      </c>
      <c r="C361" s="193" t="s">
        <v>3715</v>
      </c>
      <c r="D361" s="202" t="s">
        <v>3716</v>
      </c>
      <c r="E361" s="203">
        <v>45657</v>
      </c>
      <c r="F361" s="196">
        <v>624400</v>
      </c>
      <c r="G361" s="192"/>
      <c r="H361" s="192"/>
      <c r="I361" s="194" t="s">
        <v>1461</v>
      </c>
      <c r="J361" s="193" t="s">
        <v>1115</v>
      </c>
      <c r="K361" s="194" t="s">
        <v>824</v>
      </c>
    </row>
    <row r="362" spans="1:13" ht="58.15" customHeight="1" x14ac:dyDescent="0.25">
      <c r="A362" s="192">
        <v>361</v>
      </c>
      <c r="B362" s="205" t="s">
        <v>3717</v>
      </c>
      <c r="C362" s="193" t="s">
        <v>3718</v>
      </c>
      <c r="D362" s="202" t="s">
        <v>3719</v>
      </c>
      <c r="E362" s="203">
        <v>45657</v>
      </c>
      <c r="F362" s="196">
        <v>323700</v>
      </c>
      <c r="G362" s="192"/>
      <c r="H362" s="192"/>
      <c r="I362" s="194" t="s">
        <v>1461</v>
      </c>
      <c r="J362" s="193" t="s">
        <v>1115</v>
      </c>
      <c r="K362" s="194" t="s">
        <v>824</v>
      </c>
    </row>
    <row r="363" spans="1:13" ht="58.15" customHeight="1" x14ac:dyDescent="0.25">
      <c r="A363" s="192">
        <v>362</v>
      </c>
      <c r="B363" s="205" t="s">
        <v>3720</v>
      </c>
      <c r="C363" s="193" t="s">
        <v>3721</v>
      </c>
      <c r="D363" s="202" t="s">
        <v>3722</v>
      </c>
      <c r="E363" s="203">
        <v>45657</v>
      </c>
      <c r="F363" s="196">
        <v>446700</v>
      </c>
      <c r="G363" s="192"/>
      <c r="H363" s="192"/>
      <c r="I363" s="194" t="s">
        <v>3723</v>
      </c>
      <c r="J363" s="193" t="s">
        <v>1115</v>
      </c>
      <c r="K363" s="194" t="s">
        <v>2696</v>
      </c>
      <c r="L363" s="191" t="s">
        <v>13</v>
      </c>
      <c r="M363" s="191" t="s">
        <v>2663</v>
      </c>
    </row>
    <row r="364" spans="1:13" ht="58.15" customHeight="1" x14ac:dyDescent="0.25">
      <c r="A364" s="192">
        <v>363</v>
      </c>
      <c r="B364" s="205" t="s">
        <v>3724</v>
      </c>
      <c r="C364" s="193" t="s">
        <v>3725</v>
      </c>
      <c r="D364" s="202" t="s">
        <v>3726</v>
      </c>
      <c r="E364" s="203">
        <v>45657</v>
      </c>
      <c r="F364" s="196">
        <v>611200</v>
      </c>
      <c r="G364" s="192"/>
      <c r="H364" s="192"/>
      <c r="I364" s="194" t="s">
        <v>1055</v>
      </c>
      <c r="J364" s="193" t="s">
        <v>1115</v>
      </c>
      <c r="K364" s="194" t="s">
        <v>1055</v>
      </c>
    </row>
    <row r="365" spans="1:13" ht="58.15" customHeight="1" x14ac:dyDescent="0.25">
      <c r="A365" s="192">
        <v>364</v>
      </c>
      <c r="B365" s="205" t="s">
        <v>3728</v>
      </c>
      <c r="C365" s="193" t="s">
        <v>3729</v>
      </c>
      <c r="D365" s="202" t="s">
        <v>3730</v>
      </c>
      <c r="E365" s="203">
        <v>45657</v>
      </c>
      <c r="F365" s="196">
        <v>57400</v>
      </c>
      <c r="G365" s="192"/>
      <c r="H365" s="192"/>
      <c r="I365" s="194" t="s">
        <v>929</v>
      </c>
      <c r="J365" s="193" t="s">
        <v>1115</v>
      </c>
      <c r="K365" s="194" t="s">
        <v>824</v>
      </c>
    </row>
    <row r="366" spans="1:13" ht="58.15" customHeight="1" x14ac:dyDescent="0.25">
      <c r="A366" s="192">
        <v>365</v>
      </c>
      <c r="B366" s="205" t="s">
        <v>3731</v>
      </c>
      <c r="C366" s="193" t="s">
        <v>3732</v>
      </c>
      <c r="D366" s="202" t="s">
        <v>3733</v>
      </c>
      <c r="E366" s="203">
        <v>45657</v>
      </c>
      <c r="F366" s="196">
        <v>210700</v>
      </c>
      <c r="G366" s="192"/>
      <c r="H366" s="192"/>
      <c r="I366" s="194" t="s">
        <v>977</v>
      </c>
      <c r="J366" s="193" t="s">
        <v>1115</v>
      </c>
      <c r="K366" s="194" t="s">
        <v>824</v>
      </c>
    </row>
    <row r="367" spans="1:13" ht="58.15" customHeight="1" x14ac:dyDescent="0.25">
      <c r="A367" s="192">
        <v>366</v>
      </c>
      <c r="B367" s="205" t="s">
        <v>3574</v>
      </c>
      <c r="C367" s="193" t="s">
        <v>3734</v>
      </c>
      <c r="D367" s="202" t="s">
        <v>3735</v>
      </c>
      <c r="E367" s="203">
        <v>45657</v>
      </c>
      <c r="F367" s="196">
        <v>75400</v>
      </c>
      <c r="G367" s="192"/>
      <c r="H367" s="192"/>
      <c r="I367" s="194" t="s">
        <v>3577</v>
      </c>
      <c r="J367" s="193" t="s">
        <v>1115</v>
      </c>
      <c r="K367" s="194" t="s">
        <v>1235</v>
      </c>
    </row>
    <row r="368" spans="1:13" ht="58.15" customHeight="1" x14ac:dyDescent="0.25">
      <c r="A368" s="192">
        <v>367</v>
      </c>
      <c r="B368" s="205" t="s">
        <v>3736</v>
      </c>
      <c r="C368" s="193" t="s">
        <v>3737</v>
      </c>
      <c r="D368" s="202" t="s">
        <v>3738</v>
      </c>
      <c r="E368" s="203">
        <v>45657</v>
      </c>
      <c r="F368" s="196">
        <v>389200</v>
      </c>
      <c r="G368" s="192"/>
      <c r="H368" s="192"/>
      <c r="I368" s="194" t="s">
        <v>1146</v>
      </c>
      <c r="J368" s="193" t="s">
        <v>1115</v>
      </c>
      <c r="K368" s="194" t="s">
        <v>824</v>
      </c>
    </row>
    <row r="369" spans="1:11" ht="58.15" customHeight="1" x14ac:dyDescent="0.25">
      <c r="A369" s="192">
        <v>368</v>
      </c>
      <c r="B369" s="205" t="s">
        <v>3739</v>
      </c>
      <c r="C369" s="193" t="s">
        <v>3740</v>
      </c>
      <c r="D369" s="202" t="s">
        <v>3741</v>
      </c>
      <c r="E369" s="203">
        <v>45657</v>
      </c>
      <c r="F369" s="196">
        <v>169300</v>
      </c>
      <c r="G369" s="192"/>
      <c r="H369" s="192"/>
      <c r="I369" s="194" t="s">
        <v>2416</v>
      </c>
      <c r="J369" s="193" t="s">
        <v>1115</v>
      </c>
      <c r="K369" s="194" t="s">
        <v>3742</v>
      </c>
    </row>
    <row r="370" spans="1:11" ht="58.15" customHeight="1" x14ac:dyDescent="0.25">
      <c r="A370" s="192">
        <v>369</v>
      </c>
      <c r="B370" s="205" t="s">
        <v>3743</v>
      </c>
      <c r="C370" s="193" t="s">
        <v>3744</v>
      </c>
      <c r="D370" s="202" t="s">
        <v>3745</v>
      </c>
      <c r="E370" s="203">
        <v>45657</v>
      </c>
      <c r="F370" s="196">
        <v>216600</v>
      </c>
      <c r="G370" s="192"/>
      <c r="H370" s="192"/>
      <c r="I370" s="194" t="s">
        <v>843</v>
      </c>
      <c r="J370" s="193" t="s">
        <v>1115</v>
      </c>
      <c r="K370" s="194" t="s">
        <v>2719</v>
      </c>
    </row>
    <row r="371" spans="1:11" ht="58.15" customHeight="1" x14ac:dyDescent="0.25">
      <c r="A371" s="192">
        <v>370</v>
      </c>
      <c r="B371" s="205" t="s">
        <v>3746</v>
      </c>
      <c r="C371" s="193" t="s">
        <v>3747</v>
      </c>
      <c r="D371" s="202" t="s">
        <v>3748</v>
      </c>
      <c r="E371" s="203">
        <v>45657</v>
      </c>
      <c r="F371" s="196">
        <v>123100</v>
      </c>
      <c r="G371" s="192"/>
      <c r="H371" s="192"/>
      <c r="I371" s="194" t="s">
        <v>3749</v>
      </c>
      <c r="J371" s="193" t="s">
        <v>1115</v>
      </c>
      <c r="K371" s="194" t="s">
        <v>1569</v>
      </c>
    </row>
    <row r="372" spans="1:11" ht="58.15" customHeight="1" x14ac:dyDescent="0.25">
      <c r="A372" s="192">
        <v>371</v>
      </c>
      <c r="B372" s="205" t="s">
        <v>3750</v>
      </c>
      <c r="C372" s="193" t="s">
        <v>3751</v>
      </c>
      <c r="D372" s="202" t="s">
        <v>3752</v>
      </c>
      <c r="E372" s="203">
        <v>45657</v>
      </c>
      <c r="F372" s="196">
        <v>168200</v>
      </c>
      <c r="G372" s="192"/>
      <c r="H372" s="192"/>
      <c r="I372" s="194" t="s">
        <v>1158</v>
      </c>
      <c r="J372" s="193" t="s">
        <v>1115</v>
      </c>
      <c r="K372" s="194" t="s">
        <v>820</v>
      </c>
    </row>
    <row r="373" spans="1:11" ht="58.15" customHeight="1" x14ac:dyDescent="0.25">
      <c r="A373" s="192">
        <v>372</v>
      </c>
      <c r="B373" s="205" t="s">
        <v>3753</v>
      </c>
      <c r="C373" s="193" t="s">
        <v>3754</v>
      </c>
      <c r="D373" s="202" t="s">
        <v>3755</v>
      </c>
      <c r="E373" s="203">
        <v>45657</v>
      </c>
      <c r="F373" s="196">
        <v>184700</v>
      </c>
      <c r="G373" s="192"/>
      <c r="H373" s="192"/>
      <c r="I373" s="194" t="s">
        <v>843</v>
      </c>
      <c r="J373" s="193" t="s">
        <v>1115</v>
      </c>
      <c r="K373" s="194" t="s">
        <v>2719</v>
      </c>
    </row>
    <row r="374" spans="1:11" ht="58.15" customHeight="1" x14ac:dyDescent="0.25">
      <c r="A374" s="192">
        <v>373</v>
      </c>
      <c r="B374" s="205" t="s">
        <v>3756</v>
      </c>
      <c r="C374" s="193" t="s">
        <v>3757</v>
      </c>
      <c r="D374" s="202" t="s">
        <v>3758</v>
      </c>
      <c r="E374" s="203">
        <v>45657</v>
      </c>
      <c r="F374" s="196">
        <v>181400</v>
      </c>
      <c r="G374" s="192"/>
      <c r="H374" s="192"/>
      <c r="I374" s="194" t="s">
        <v>843</v>
      </c>
      <c r="J374" s="193" t="s">
        <v>1115</v>
      </c>
      <c r="K374" s="194" t="s">
        <v>2719</v>
      </c>
    </row>
    <row r="375" spans="1:11" ht="58.15" customHeight="1" x14ac:dyDescent="0.25">
      <c r="A375" s="192">
        <v>374</v>
      </c>
      <c r="B375" s="205" t="s">
        <v>3759</v>
      </c>
      <c r="C375" s="193" t="s">
        <v>3760</v>
      </c>
      <c r="D375" s="202" t="s">
        <v>3761</v>
      </c>
      <c r="E375" s="203">
        <v>45657</v>
      </c>
      <c r="F375" s="196">
        <v>459100</v>
      </c>
      <c r="G375" s="192"/>
      <c r="H375" s="192"/>
      <c r="I375" s="194" t="s">
        <v>1008</v>
      </c>
      <c r="J375" s="193" t="s">
        <v>1115</v>
      </c>
      <c r="K375" s="194" t="s">
        <v>867</v>
      </c>
    </row>
    <row r="376" spans="1:11" ht="58.15" customHeight="1" x14ac:dyDescent="0.25">
      <c r="A376" s="192">
        <v>375</v>
      </c>
      <c r="B376" s="205" t="s">
        <v>3762</v>
      </c>
      <c r="C376" s="193" t="s">
        <v>3763</v>
      </c>
      <c r="D376" s="202" t="s">
        <v>3764</v>
      </c>
      <c r="E376" s="203">
        <v>45657</v>
      </c>
      <c r="F376" s="196">
        <v>449600</v>
      </c>
      <c r="G376" s="192"/>
      <c r="H376" s="192"/>
      <c r="I376" s="194" t="s">
        <v>3765</v>
      </c>
      <c r="J376" s="193" t="s">
        <v>422</v>
      </c>
      <c r="K376" s="194" t="s">
        <v>3766</v>
      </c>
    </row>
    <row r="377" spans="1:11" ht="58.15" customHeight="1" x14ac:dyDescent="0.25">
      <c r="A377" s="192">
        <v>376</v>
      </c>
      <c r="B377" s="205" t="s">
        <v>3762</v>
      </c>
      <c r="C377" s="193" t="s">
        <v>3768</v>
      </c>
      <c r="D377" s="202" t="s">
        <v>3769</v>
      </c>
      <c r="E377" s="203">
        <v>45657</v>
      </c>
      <c r="F377" s="196">
        <v>449600</v>
      </c>
      <c r="G377" s="192"/>
      <c r="H377" s="192"/>
      <c r="I377" s="194" t="s">
        <v>3770</v>
      </c>
      <c r="J377" s="193" t="s">
        <v>422</v>
      </c>
      <c r="K377" s="194" t="s">
        <v>3766</v>
      </c>
    </row>
    <row r="378" spans="1:11" ht="58.15" customHeight="1" x14ac:dyDescent="0.25">
      <c r="A378" s="192">
        <v>377</v>
      </c>
      <c r="B378" s="205" t="s">
        <v>3771</v>
      </c>
      <c r="C378" s="193" t="s">
        <v>3772</v>
      </c>
      <c r="D378" s="202" t="s">
        <v>3773</v>
      </c>
      <c r="E378" s="203">
        <v>45657</v>
      </c>
      <c r="F378" s="196">
        <v>364400</v>
      </c>
      <c r="G378" s="192"/>
      <c r="H378" s="192"/>
      <c r="I378" s="194" t="s">
        <v>3765</v>
      </c>
      <c r="J378" s="193" t="s">
        <v>422</v>
      </c>
      <c r="K378" s="194" t="s">
        <v>3766</v>
      </c>
    </row>
    <row r="379" spans="1:11" ht="58.15" customHeight="1" x14ac:dyDescent="0.25">
      <c r="A379" s="192">
        <v>378</v>
      </c>
      <c r="B379" s="205" t="s">
        <v>3774</v>
      </c>
      <c r="C379" s="193" t="s">
        <v>3775</v>
      </c>
      <c r="D379" s="202" t="s">
        <v>3776</v>
      </c>
      <c r="E379" s="203">
        <v>45657</v>
      </c>
      <c r="F379" s="196">
        <v>465200</v>
      </c>
      <c r="G379" s="192"/>
      <c r="H379" s="192"/>
      <c r="I379" s="194" t="s">
        <v>1814</v>
      </c>
      <c r="J379" s="193" t="s">
        <v>422</v>
      </c>
      <c r="K379" s="194" t="s">
        <v>422</v>
      </c>
    </row>
    <row r="380" spans="1:11" ht="58.15" customHeight="1" x14ac:dyDescent="0.25">
      <c r="A380" s="192">
        <v>379</v>
      </c>
      <c r="B380" s="205" t="s">
        <v>3777</v>
      </c>
      <c r="C380" s="193" t="s">
        <v>3778</v>
      </c>
      <c r="D380" s="202" t="s">
        <v>3779</v>
      </c>
      <c r="E380" s="203">
        <v>45657</v>
      </c>
      <c r="F380" s="196">
        <v>255800</v>
      </c>
      <c r="G380" s="192"/>
      <c r="H380" s="192"/>
      <c r="I380" s="194" t="s">
        <v>3780</v>
      </c>
      <c r="J380" s="193" t="s">
        <v>422</v>
      </c>
      <c r="K380" s="194" t="s">
        <v>422</v>
      </c>
    </row>
    <row r="381" spans="1:11" ht="58.15" customHeight="1" x14ac:dyDescent="0.25">
      <c r="A381" s="192">
        <v>380</v>
      </c>
      <c r="B381" s="205" t="s">
        <v>3781</v>
      </c>
      <c r="C381" s="193" t="s">
        <v>3782</v>
      </c>
      <c r="D381" s="202" t="s">
        <v>3783</v>
      </c>
      <c r="E381" s="203">
        <v>45657</v>
      </c>
      <c r="F381" s="196">
        <v>310100</v>
      </c>
      <c r="G381" s="192"/>
      <c r="H381" s="192"/>
      <c r="I381" s="194" t="s">
        <v>2159</v>
      </c>
      <c r="J381" s="193" t="s">
        <v>422</v>
      </c>
      <c r="K381" s="194" t="s">
        <v>867</v>
      </c>
    </row>
    <row r="382" spans="1:11" ht="58.15" customHeight="1" x14ac:dyDescent="0.25">
      <c r="A382" s="192">
        <v>381</v>
      </c>
      <c r="B382" s="205" t="s">
        <v>3784</v>
      </c>
      <c r="C382" s="193" t="s">
        <v>3785</v>
      </c>
      <c r="D382" s="202" t="s">
        <v>3786</v>
      </c>
      <c r="E382" s="203">
        <v>45657</v>
      </c>
      <c r="F382" s="196">
        <v>465200</v>
      </c>
      <c r="G382" s="192"/>
      <c r="H382" s="192"/>
      <c r="I382" s="194" t="s">
        <v>2416</v>
      </c>
      <c r="J382" s="193" t="s">
        <v>422</v>
      </c>
      <c r="K382" s="194" t="s">
        <v>3787</v>
      </c>
    </row>
    <row r="383" spans="1:11" ht="58.15" customHeight="1" x14ac:dyDescent="0.25">
      <c r="A383" s="192">
        <v>382</v>
      </c>
      <c r="B383" s="205" t="s">
        <v>3788</v>
      </c>
      <c r="C383" s="193" t="s">
        <v>3789</v>
      </c>
      <c r="D383" s="202" t="s">
        <v>3790</v>
      </c>
      <c r="E383" s="203">
        <v>45657</v>
      </c>
      <c r="F383" s="196">
        <v>356600</v>
      </c>
      <c r="G383" s="192"/>
      <c r="H383" s="192"/>
      <c r="I383" s="194" t="s">
        <v>3791</v>
      </c>
      <c r="J383" s="193" t="s">
        <v>422</v>
      </c>
      <c r="K383" s="194" t="s">
        <v>3767</v>
      </c>
    </row>
    <row r="384" spans="1:11" ht="58.15" customHeight="1" x14ac:dyDescent="0.25">
      <c r="A384" s="192">
        <v>383</v>
      </c>
      <c r="B384" s="205" t="s">
        <v>3792</v>
      </c>
      <c r="C384" s="193" t="s">
        <v>3793</v>
      </c>
      <c r="D384" s="202" t="s">
        <v>3794</v>
      </c>
      <c r="E384" s="203">
        <v>45657</v>
      </c>
      <c r="F384" s="196">
        <v>403100</v>
      </c>
      <c r="G384" s="192"/>
      <c r="H384" s="192"/>
      <c r="I384" s="194" t="s">
        <v>1301</v>
      </c>
      <c r="J384" s="193" t="s">
        <v>422</v>
      </c>
      <c r="K384" s="194" t="s">
        <v>867</v>
      </c>
    </row>
    <row r="385" spans="1:11" ht="58.15" customHeight="1" x14ac:dyDescent="0.25">
      <c r="A385" s="192">
        <v>384</v>
      </c>
      <c r="B385" s="205" t="s">
        <v>3795</v>
      </c>
      <c r="C385" s="193" t="s">
        <v>3796</v>
      </c>
      <c r="D385" s="202" t="s">
        <v>3797</v>
      </c>
      <c r="E385" s="203">
        <v>45657</v>
      </c>
      <c r="F385" s="196">
        <v>310100</v>
      </c>
      <c r="G385" s="192"/>
      <c r="H385" s="192"/>
      <c r="I385" s="194" t="s">
        <v>3798</v>
      </c>
      <c r="J385" s="193" t="s">
        <v>422</v>
      </c>
      <c r="K385" s="194" t="s">
        <v>3799</v>
      </c>
    </row>
    <row r="386" spans="1:11" ht="58.15" customHeight="1" x14ac:dyDescent="0.25">
      <c r="A386" s="192">
        <v>385</v>
      </c>
      <c r="B386" s="205" t="s">
        <v>3800</v>
      </c>
      <c r="C386" s="193" t="s">
        <v>3801</v>
      </c>
      <c r="D386" s="202" t="s">
        <v>3802</v>
      </c>
      <c r="E386" s="203">
        <v>45657</v>
      </c>
      <c r="F386" s="196">
        <v>465200</v>
      </c>
      <c r="G386" s="192"/>
      <c r="H386" s="192"/>
      <c r="I386" s="194" t="s">
        <v>3803</v>
      </c>
      <c r="J386" s="193" t="s">
        <v>422</v>
      </c>
      <c r="K386" s="194" t="s">
        <v>3767</v>
      </c>
    </row>
    <row r="387" spans="1:11" ht="58.15" customHeight="1" x14ac:dyDescent="0.25">
      <c r="A387" s="192">
        <v>386</v>
      </c>
      <c r="B387" s="205" t="s">
        <v>3804</v>
      </c>
      <c r="C387" s="193" t="s">
        <v>3805</v>
      </c>
      <c r="D387" s="202" t="s">
        <v>3806</v>
      </c>
      <c r="E387" s="203">
        <v>45657</v>
      </c>
      <c r="F387" s="196">
        <v>457400</v>
      </c>
      <c r="G387" s="192"/>
      <c r="H387" s="192"/>
      <c r="I387" s="194" t="s">
        <v>3807</v>
      </c>
      <c r="J387" s="193" t="s">
        <v>422</v>
      </c>
      <c r="K387" s="194" t="s">
        <v>3766</v>
      </c>
    </row>
    <row r="388" spans="1:11" ht="58.15" customHeight="1" x14ac:dyDescent="0.25">
      <c r="A388" s="192">
        <v>387</v>
      </c>
      <c r="B388" s="205" t="s">
        <v>3808</v>
      </c>
      <c r="C388" s="193" t="s">
        <v>3809</v>
      </c>
      <c r="D388" s="202" t="s">
        <v>3810</v>
      </c>
      <c r="E388" s="203">
        <v>45657</v>
      </c>
      <c r="F388" s="196">
        <v>379900</v>
      </c>
      <c r="G388" s="192"/>
      <c r="H388" s="192"/>
      <c r="I388" s="194" t="s">
        <v>2245</v>
      </c>
      <c r="J388" s="193" t="s">
        <v>422</v>
      </c>
      <c r="K388" s="194" t="s">
        <v>422</v>
      </c>
    </row>
    <row r="389" spans="1:11" ht="58.15" customHeight="1" x14ac:dyDescent="0.25">
      <c r="A389" s="192">
        <v>388</v>
      </c>
      <c r="B389" s="205" t="s">
        <v>3811</v>
      </c>
      <c r="C389" s="193" t="s">
        <v>3812</v>
      </c>
      <c r="D389" s="202" t="s">
        <v>3813</v>
      </c>
      <c r="E389" s="203">
        <v>45657</v>
      </c>
      <c r="F389" s="196">
        <v>248100</v>
      </c>
      <c r="G389" s="192"/>
      <c r="H389" s="192"/>
      <c r="I389" s="194" t="s">
        <v>3814</v>
      </c>
      <c r="J389" s="193" t="s">
        <v>422</v>
      </c>
      <c r="K389" s="194" t="s">
        <v>422</v>
      </c>
    </row>
    <row r="390" spans="1:11" ht="58.15" customHeight="1" x14ac:dyDescent="0.25">
      <c r="A390" s="192">
        <v>389</v>
      </c>
      <c r="B390" s="205" t="s">
        <v>3815</v>
      </c>
      <c r="C390" s="193" t="s">
        <v>3816</v>
      </c>
      <c r="D390" s="202" t="s">
        <v>3817</v>
      </c>
      <c r="E390" s="203">
        <v>45657</v>
      </c>
      <c r="F390" s="196">
        <v>474500</v>
      </c>
      <c r="G390" s="192"/>
      <c r="H390" s="192"/>
      <c r="I390" s="194" t="s">
        <v>1641</v>
      </c>
      <c r="J390" s="193" t="s">
        <v>422</v>
      </c>
      <c r="K390" s="194" t="s">
        <v>422</v>
      </c>
    </row>
    <row r="391" spans="1:11" ht="58.15" customHeight="1" x14ac:dyDescent="0.25">
      <c r="A391" s="192">
        <v>390</v>
      </c>
      <c r="B391" s="205" t="s">
        <v>3818</v>
      </c>
      <c r="C391" s="193" t="s">
        <v>3819</v>
      </c>
      <c r="D391" s="202" t="s">
        <v>3820</v>
      </c>
      <c r="E391" s="203">
        <v>45657</v>
      </c>
      <c r="F391" s="196">
        <v>275200</v>
      </c>
      <c r="G391" s="192"/>
      <c r="H391" s="192"/>
      <c r="I391" s="194" t="s">
        <v>3821</v>
      </c>
      <c r="J391" s="193" t="s">
        <v>422</v>
      </c>
      <c r="K391" s="194" t="s">
        <v>2245</v>
      </c>
    </row>
    <row r="392" spans="1:11" ht="58.15" customHeight="1" x14ac:dyDescent="0.25">
      <c r="A392" s="192">
        <v>391</v>
      </c>
      <c r="B392" s="205" t="s">
        <v>3822</v>
      </c>
      <c r="C392" s="193" t="s">
        <v>3823</v>
      </c>
      <c r="D392" s="202" t="s">
        <v>3824</v>
      </c>
      <c r="E392" s="203">
        <v>45657</v>
      </c>
      <c r="F392" s="196">
        <v>460300</v>
      </c>
      <c r="G392" s="192"/>
      <c r="H392" s="192"/>
      <c r="I392" s="194" t="s">
        <v>1496</v>
      </c>
      <c r="J392" s="193" t="s">
        <v>422</v>
      </c>
      <c r="K392" s="194" t="s">
        <v>867</v>
      </c>
    </row>
    <row r="393" spans="1:11" ht="58.15" customHeight="1" x14ac:dyDescent="0.25">
      <c r="A393" s="192">
        <v>392</v>
      </c>
      <c r="B393" s="205" t="s">
        <v>3825</v>
      </c>
      <c r="C393" s="193" t="s">
        <v>3826</v>
      </c>
      <c r="D393" s="202" t="s">
        <v>3827</v>
      </c>
      <c r="E393" s="203">
        <v>45657</v>
      </c>
      <c r="F393" s="196">
        <v>279100</v>
      </c>
      <c r="G393" s="192"/>
      <c r="H393" s="192"/>
      <c r="I393" s="194"/>
      <c r="J393" s="193" t="s">
        <v>422</v>
      </c>
      <c r="K393" s="194"/>
    </row>
    <row r="394" spans="1:11" ht="58.15" customHeight="1" x14ac:dyDescent="0.25">
      <c r="A394" s="192">
        <v>393</v>
      </c>
      <c r="B394" s="205" t="s">
        <v>3828</v>
      </c>
      <c r="C394" s="193" t="s">
        <v>3829</v>
      </c>
      <c r="D394" s="202" t="s">
        <v>3830</v>
      </c>
      <c r="E394" s="203">
        <v>45657</v>
      </c>
      <c r="F394" s="196">
        <v>550400</v>
      </c>
      <c r="G394" s="192"/>
      <c r="H394" s="192"/>
      <c r="I394" s="194" t="s">
        <v>3831</v>
      </c>
      <c r="J394" s="193" t="s">
        <v>422</v>
      </c>
      <c r="K394" s="194" t="s">
        <v>3799</v>
      </c>
    </row>
    <row r="395" spans="1:11" ht="58.15" customHeight="1" x14ac:dyDescent="0.25">
      <c r="A395" s="192">
        <v>394</v>
      </c>
      <c r="B395" s="205" t="s">
        <v>3832</v>
      </c>
      <c r="C395" s="193" t="s">
        <v>3833</v>
      </c>
      <c r="D395" s="202" t="s">
        <v>3834</v>
      </c>
      <c r="E395" s="203">
        <v>45657</v>
      </c>
      <c r="F395" s="196">
        <v>589200</v>
      </c>
      <c r="G395" s="192"/>
      <c r="H395" s="192"/>
      <c r="I395" s="194" t="s">
        <v>1292</v>
      </c>
      <c r="J395" s="193" t="s">
        <v>422</v>
      </c>
      <c r="K395" s="194" t="s">
        <v>2245</v>
      </c>
    </row>
    <row r="396" spans="1:11" ht="58.15" customHeight="1" x14ac:dyDescent="0.25">
      <c r="A396" s="192">
        <v>395</v>
      </c>
      <c r="B396" s="205" t="s">
        <v>3835</v>
      </c>
      <c r="C396" s="193" t="s">
        <v>3836</v>
      </c>
      <c r="D396" s="202" t="s">
        <v>3837</v>
      </c>
      <c r="E396" s="203">
        <v>45657</v>
      </c>
      <c r="F396" s="196">
        <v>297400</v>
      </c>
      <c r="G396" s="192"/>
      <c r="H396" s="192"/>
      <c r="I396" s="194" t="s">
        <v>3838</v>
      </c>
      <c r="J396" s="193" t="s">
        <v>422</v>
      </c>
      <c r="K396" s="194" t="s">
        <v>867</v>
      </c>
    </row>
    <row r="397" spans="1:11" ht="58.15" customHeight="1" x14ac:dyDescent="0.25">
      <c r="A397" s="192">
        <v>396</v>
      </c>
      <c r="B397" s="205" t="s">
        <v>3839</v>
      </c>
      <c r="C397" s="193" t="s">
        <v>3840</v>
      </c>
      <c r="D397" s="202" t="s">
        <v>3841</v>
      </c>
      <c r="E397" s="203">
        <v>45657</v>
      </c>
      <c r="F397" s="196">
        <v>519400</v>
      </c>
      <c r="G397" s="192"/>
      <c r="H397" s="192"/>
      <c r="I397" s="194" t="s">
        <v>1797</v>
      </c>
      <c r="J397" s="193" t="s">
        <v>422</v>
      </c>
      <c r="K397" s="194" t="s">
        <v>867</v>
      </c>
    </row>
    <row r="398" spans="1:11" ht="58.15" customHeight="1" x14ac:dyDescent="0.25">
      <c r="A398" s="192">
        <v>397</v>
      </c>
      <c r="B398" s="205" t="s">
        <v>3842</v>
      </c>
      <c r="C398" s="193" t="s">
        <v>3843</v>
      </c>
      <c r="D398" s="202" t="s">
        <v>3844</v>
      </c>
      <c r="E398" s="203">
        <v>45657</v>
      </c>
      <c r="F398" s="196">
        <v>372100</v>
      </c>
      <c r="G398" s="192"/>
      <c r="H398" s="192"/>
      <c r="I398" s="194" t="s">
        <v>1691</v>
      </c>
      <c r="J398" s="193" t="s">
        <v>422</v>
      </c>
      <c r="K398" s="194" t="s">
        <v>867</v>
      </c>
    </row>
    <row r="399" spans="1:11" ht="58.15" customHeight="1" x14ac:dyDescent="0.25">
      <c r="A399" s="192">
        <v>398</v>
      </c>
      <c r="B399" s="205" t="s">
        <v>3845</v>
      </c>
      <c r="C399" s="193" t="s">
        <v>3846</v>
      </c>
      <c r="D399" s="202" t="s">
        <v>3847</v>
      </c>
      <c r="E399" s="203">
        <v>45657</v>
      </c>
      <c r="F399" s="196">
        <v>465200</v>
      </c>
      <c r="G399" s="192"/>
      <c r="H399" s="192"/>
      <c r="I399" s="194" t="s">
        <v>3848</v>
      </c>
      <c r="J399" s="193" t="s">
        <v>422</v>
      </c>
      <c r="K399" s="194" t="s">
        <v>3632</v>
      </c>
    </row>
    <row r="400" spans="1:11" ht="58.15" customHeight="1" x14ac:dyDescent="0.25">
      <c r="A400" s="192">
        <v>399</v>
      </c>
      <c r="B400" s="205" t="s">
        <v>3849</v>
      </c>
      <c r="C400" s="193" t="s">
        <v>3850</v>
      </c>
      <c r="D400" s="202" t="s">
        <v>3851</v>
      </c>
      <c r="E400" s="203">
        <v>45657</v>
      </c>
      <c r="F400" s="196">
        <f>585300/3</f>
        <v>195100</v>
      </c>
      <c r="G400" s="192"/>
      <c r="H400" s="192"/>
      <c r="I400" s="194" t="s">
        <v>2468</v>
      </c>
      <c r="J400" s="193" t="s">
        <v>422</v>
      </c>
      <c r="K400" s="194" t="s">
        <v>422</v>
      </c>
    </row>
    <row r="401" spans="1:11" ht="58.15" customHeight="1" x14ac:dyDescent="0.25">
      <c r="A401" s="192">
        <v>400</v>
      </c>
      <c r="B401" s="205" t="s">
        <v>3849</v>
      </c>
      <c r="C401" s="193" t="s">
        <v>3850</v>
      </c>
      <c r="D401" s="202" t="s">
        <v>3852</v>
      </c>
      <c r="E401" s="203">
        <v>45657</v>
      </c>
      <c r="F401" s="196">
        <f t="shared" ref="F401:F402" si="11">585300/3</f>
        <v>195100</v>
      </c>
      <c r="G401" s="192"/>
      <c r="H401" s="192"/>
      <c r="I401" s="194" t="s">
        <v>2468</v>
      </c>
      <c r="J401" s="193" t="s">
        <v>422</v>
      </c>
      <c r="K401" s="194" t="s">
        <v>422</v>
      </c>
    </row>
    <row r="402" spans="1:11" ht="58.15" customHeight="1" x14ac:dyDescent="0.25">
      <c r="A402" s="192">
        <v>401</v>
      </c>
      <c r="B402" s="205" t="s">
        <v>3849</v>
      </c>
      <c r="C402" s="193" t="s">
        <v>3850</v>
      </c>
      <c r="D402" s="202" t="s">
        <v>3853</v>
      </c>
      <c r="E402" s="203">
        <v>45657</v>
      </c>
      <c r="F402" s="196">
        <f t="shared" si="11"/>
        <v>195100</v>
      </c>
      <c r="G402" s="192"/>
      <c r="H402" s="192"/>
      <c r="I402" s="194" t="s">
        <v>2468</v>
      </c>
      <c r="J402" s="193" t="s">
        <v>422</v>
      </c>
      <c r="K402" s="194" t="s">
        <v>422</v>
      </c>
    </row>
    <row r="403" spans="1:11" ht="58.15" customHeight="1" x14ac:dyDescent="0.25">
      <c r="A403" s="192">
        <v>402</v>
      </c>
      <c r="B403" s="205" t="s">
        <v>3854</v>
      </c>
      <c r="C403" s="193" t="s">
        <v>3855</v>
      </c>
      <c r="D403" s="202" t="s">
        <v>3856</v>
      </c>
      <c r="E403" s="203">
        <v>45657</v>
      </c>
      <c r="F403" s="196">
        <v>393800</v>
      </c>
      <c r="G403" s="192"/>
      <c r="H403" s="192"/>
      <c r="I403" s="194" t="s">
        <v>1691</v>
      </c>
      <c r="J403" s="193" t="s">
        <v>422</v>
      </c>
      <c r="K403" s="194" t="s">
        <v>867</v>
      </c>
    </row>
    <row r="404" spans="1:11" ht="58.15" customHeight="1" x14ac:dyDescent="0.25">
      <c r="A404" s="192">
        <v>403</v>
      </c>
      <c r="B404" s="205" t="s">
        <v>3857</v>
      </c>
      <c r="C404" s="193" t="s">
        <v>3858</v>
      </c>
      <c r="D404" s="202" t="s">
        <v>3859</v>
      </c>
      <c r="E404" s="203">
        <v>45657</v>
      </c>
      <c r="F404" s="196">
        <v>420200</v>
      </c>
      <c r="G404" s="192"/>
      <c r="H404" s="192"/>
      <c r="I404" s="194" t="s">
        <v>2416</v>
      </c>
      <c r="J404" s="193" t="s">
        <v>422</v>
      </c>
      <c r="K404" s="194" t="s">
        <v>867</v>
      </c>
    </row>
    <row r="405" spans="1:11" ht="58.15" customHeight="1" x14ac:dyDescent="0.25">
      <c r="A405" s="192">
        <v>404</v>
      </c>
      <c r="B405" s="205" t="s">
        <v>3860</v>
      </c>
      <c r="C405" s="193" t="s">
        <v>3861</v>
      </c>
      <c r="D405" s="202" t="s">
        <v>3862</v>
      </c>
      <c r="E405" s="203">
        <v>45657</v>
      </c>
      <c r="F405" s="196">
        <v>531000</v>
      </c>
      <c r="G405" s="192"/>
      <c r="H405" s="192"/>
      <c r="I405" s="194" t="s">
        <v>1691</v>
      </c>
      <c r="J405" s="193" t="s">
        <v>422</v>
      </c>
      <c r="K405" s="194" t="s">
        <v>867</v>
      </c>
    </row>
    <row r="406" spans="1:11" ht="58.15" customHeight="1" x14ac:dyDescent="0.25">
      <c r="A406" s="192">
        <v>405</v>
      </c>
      <c r="B406" s="205" t="s">
        <v>3863</v>
      </c>
      <c r="C406" s="193" t="s">
        <v>3864</v>
      </c>
      <c r="D406" s="202" t="s">
        <v>3865</v>
      </c>
      <c r="E406" s="203">
        <v>45657</v>
      </c>
      <c r="F406" s="196">
        <v>248100</v>
      </c>
      <c r="G406" s="192"/>
      <c r="H406" s="192"/>
      <c r="I406" s="194" t="s">
        <v>1691</v>
      </c>
      <c r="J406" s="193" t="s">
        <v>422</v>
      </c>
      <c r="K406" s="194" t="s">
        <v>867</v>
      </c>
    </row>
    <row r="407" spans="1:11" ht="58.15" customHeight="1" x14ac:dyDescent="0.25">
      <c r="A407" s="192">
        <v>406</v>
      </c>
      <c r="B407" s="205" t="s">
        <v>3866</v>
      </c>
      <c r="C407" s="193" t="s">
        <v>3867</v>
      </c>
      <c r="D407" s="202" t="s">
        <v>3868</v>
      </c>
      <c r="E407" s="203">
        <v>45657</v>
      </c>
      <c r="F407" s="196">
        <v>480700</v>
      </c>
      <c r="G407" s="192"/>
      <c r="H407" s="192"/>
      <c r="I407" s="194" t="s">
        <v>1794</v>
      </c>
      <c r="J407" s="193" t="s">
        <v>422</v>
      </c>
      <c r="K407" s="194" t="s">
        <v>867</v>
      </c>
    </row>
    <row r="408" spans="1:11" ht="58.15" customHeight="1" x14ac:dyDescent="0.25">
      <c r="A408" s="192">
        <v>407</v>
      </c>
      <c r="B408" s="205" t="s">
        <v>3869</v>
      </c>
      <c r="C408" s="193" t="s">
        <v>3870</v>
      </c>
      <c r="D408" s="202" t="s">
        <v>3871</v>
      </c>
      <c r="E408" s="203">
        <v>45657</v>
      </c>
      <c r="F408" s="196">
        <v>418600</v>
      </c>
      <c r="G408" s="192"/>
      <c r="H408" s="192"/>
      <c r="I408" s="194" t="s">
        <v>1837</v>
      </c>
      <c r="J408" s="193" t="s">
        <v>422</v>
      </c>
      <c r="K408" s="194" t="s">
        <v>422</v>
      </c>
    </row>
    <row r="409" spans="1:11" ht="58.15" customHeight="1" x14ac:dyDescent="0.25">
      <c r="A409" s="192">
        <v>408</v>
      </c>
      <c r="B409" s="205" t="s">
        <v>3872</v>
      </c>
      <c r="C409" s="193" t="s">
        <v>3873</v>
      </c>
      <c r="D409" s="202" t="s">
        <v>3874</v>
      </c>
      <c r="E409" s="203">
        <v>45657</v>
      </c>
      <c r="F409" s="196">
        <v>174400</v>
      </c>
      <c r="G409" s="192"/>
      <c r="H409" s="192"/>
      <c r="I409" s="194" t="s">
        <v>3875</v>
      </c>
      <c r="J409" s="193" t="s">
        <v>422</v>
      </c>
      <c r="K409" s="194" t="s">
        <v>422</v>
      </c>
    </row>
    <row r="410" spans="1:11" ht="58.15" customHeight="1" x14ac:dyDescent="0.25">
      <c r="A410" s="192">
        <v>409</v>
      </c>
      <c r="B410" s="205" t="s">
        <v>3876</v>
      </c>
      <c r="C410" s="193" t="s">
        <v>3877</v>
      </c>
      <c r="D410" s="202" t="s">
        <v>3878</v>
      </c>
      <c r="E410" s="203">
        <v>45657</v>
      </c>
      <c r="F410" s="196">
        <v>302300</v>
      </c>
      <c r="G410" s="192"/>
      <c r="H410" s="192"/>
      <c r="I410" s="194" t="s">
        <v>2174</v>
      </c>
      <c r="J410" s="193" t="s">
        <v>422</v>
      </c>
      <c r="K410" s="194" t="s">
        <v>867</v>
      </c>
    </row>
    <row r="411" spans="1:11" ht="58.15" customHeight="1" x14ac:dyDescent="0.25">
      <c r="A411" s="192">
        <v>410</v>
      </c>
      <c r="B411" s="205" t="s">
        <v>3879</v>
      </c>
      <c r="C411" s="193" t="s">
        <v>3880</v>
      </c>
      <c r="D411" s="202" t="s">
        <v>3881</v>
      </c>
      <c r="E411" s="203">
        <v>45657</v>
      </c>
      <c r="F411" s="196">
        <v>532600</v>
      </c>
      <c r="G411" s="192"/>
      <c r="H411" s="192"/>
      <c r="I411" s="194" t="s">
        <v>2245</v>
      </c>
      <c r="J411" s="193" t="s">
        <v>422</v>
      </c>
      <c r="K411" s="194" t="s">
        <v>867</v>
      </c>
    </row>
    <row r="412" spans="1:11" ht="58.15" customHeight="1" x14ac:dyDescent="0.25">
      <c r="A412" s="192">
        <v>411</v>
      </c>
      <c r="B412" s="205" t="s">
        <v>3882</v>
      </c>
      <c r="C412" s="193" t="s">
        <v>3883</v>
      </c>
      <c r="D412" s="202" t="s">
        <v>3884</v>
      </c>
      <c r="E412" s="203">
        <v>45657</v>
      </c>
      <c r="F412" s="196">
        <v>557600</v>
      </c>
      <c r="G412" s="192"/>
      <c r="H412" s="192"/>
      <c r="I412" s="194" t="s">
        <v>3885</v>
      </c>
      <c r="J412" s="193" t="s">
        <v>422</v>
      </c>
      <c r="K412" s="194" t="s">
        <v>3663</v>
      </c>
    </row>
    <row r="413" spans="1:11" ht="58.15" customHeight="1" x14ac:dyDescent="0.25">
      <c r="A413" s="192">
        <v>412</v>
      </c>
      <c r="B413" s="205" t="s">
        <v>3886</v>
      </c>
      <c r="C413" s="193" t="s">
        <v>3887</v>
      </c>
      <c r="D413" s="202" t="s">
        <v>3888</v>
      </c>
      <c r="E413" s="203">
        <v>45657</v>
      </c>
      <c r="F413" s="196">
        <v>527200</v>
      </c>
      <c r="G413" s="192"/>
      <c r="H413" s="192"/>
      <c r="I413" s="194" t="s">
        <v>2204</v>
      </c>
      <c r="J413" s="193" t="s">
        <v>422</v>
      </c>
      <c r="K413" s="194" t="s">
        <v>867</v>
      </c>
    </row>
    <row r="414" spans="1:11" ht="58.15" customHeight="1" x14ac:dyDescent="0.25">
      <c r="A414" s="192">
        <v>413</v>
      </c>
      <c r="B414" s="205" t="s">
        <v>3889</v>
      </c>
      <c r="C414" s="193" t="s">
        <v>3890</v>
      </c>
      <c r="D414" s="202" t="s">
        <v>3891</v>
      </c>
      <c r="E414" s="203">
        <v>45657</v>
      </c>
      <c r="F414" s="196">
        <v>82200</v>
      </c>
      <c r="G414" s="192"/>
      <c r="H414" s="192"/>
      <c r="I414" s="194"/>
      <c r="J414" s="193" t="s">
        <v>422</v>
      </c>
      <c r="K414" s="194"/>
    </row>
    <row r="415" spans="1:11" ht="58.15" customHeight="1" x14ac:dyDescent="0.25">
      <c r="A415" s="192">
        <v>414</v>
      </c>
      <c r="B415" s="205" t="s">
        <v>3892</v>
      </c>
      <c r="C415" s="193" t="s">
        <v>3893</v>
      </c>
      <c r="D415" s="202" t="s">
        <v>3894</v>
      </c>
      <c r="E415" s="203">
        <v>45657</v>
      </c>
      <c r="F415" s="196">
        <v>27900</v>
      </c>
      <c r="G415" s="192"/>
      <c r="H415" s="192"/>
      <c r="I415" s="194"/>
      <c r="J415" s="193" t="s">
        <v>422</v>
      </c>
      <c r="K415" s="194"/>
    </row>
    <row r="416" spans="1:11" ht="58.15" customHeight="1" x14ac:dyDescent="0.25">
      <c r="A416" s="192">
        <v>415</v>
      </c>
      <c r="B416" s="205" t="s">
        <v>3895</v>
      </c>
      <c r="C416" s="193" t="s">
        <v>3896</v>
      </c>
      <c r="D416" s="202" t="s">
        <v>3897</v>
      </c>
      <c r="E416" s="203">
        <v>45657</v>
      </c>
      <c r="F416" s="196">
        <v>480700</v>
      </c>
      <c r="G416" s="192"/>
      <c r="H416" s="192"/>
      <c r="I416" s="194" t="s">
        <v>2416</v>
      </c>
      <c r="J416" s="193" t="s">
        <v>422</v>
      </c>
      <c r="K416" s="194" t="s">
        <v>867</v>
      </c>
    </row>
    <row r="417" spans="1:11" ht="58.15" customHeight="1" x14ac:dyDescent="0.25">
      <c r="A417" s="192">
        <v>416</v>
      </c>
      <c r="B417" s="205" t="s">
        <v>3898</v>
      </c>
      <c r="C417" s="193" t="s">
        <v>3899</v>
      </c>
      <c r="D417" s="202" t="s">
        <v>3900</v>
      </c>
      <c r="E417" s="203">
        <v>45657</v>
      </c>
      <c r="F417" s="196">
        <v>449600</v>
      </c>
      <c r="G417" s="192"/>
      <c r="H417" s="192"/>
      <c r="I417" s="194" t="s">
        <v>1947</v>
      </c>
      <c r="J417" s="193" t="s">
        <v>422</v>
      </c>
      <c r="K417" s="194" t="s">
        <v>422</v>
      </c>
    </row>
    <row r="418" spans="1:11" ht="58.15" customHeight="1" x14ac:dyDescent="0.25">
      <c r="A418" s="192">
        <v>417</v>
      </c>
      <c r="B418" s="205" t="s">
        <v>3901</v>
      </c>
      <c r="C418" s="193" t="s">
        <v>3902</v>
      </c>
      <c r="D418" s="202" t="s">
        <v>3903</v>
      </c>
      <c r="E418" s="203">
        <v>45657</v>
      </c>
      <c r="F418" s="196">
        <v>338800</v>
      </c>
      <c r="G418" s="192"/>
      <c r="H418" s="192"/>
      <c r="I418" s="194" t="s">
        <v>2099</v>
      </c>
      <c r="J418" s="193" t="s">
        <v>422</v>
      </c>
      <c r="K418" s="194" t="s">
        <v>3904</v>
      </c>
    </row>
    <row r="419" spans="1:11" ht="58.15" customHeight="1" x14ac:dyDescent="0.25">
      <c r="A419" s="192">
        <v>418</v>
      </c>
      <c r="B419" s="205" t="s">
        <v>3905</v>
      </c>
      <c r="C419" s="193" t="s">
        <v>3906</v>
      </c>
      <c r="D419" s="202" t="s">
        <v>3907</v>
      </c>
      <c r="E419" s="203">
        <v>45657</v>
      </c>
      <c r="F419" s="196">
        <v>355800</v>
      </c>
      <c r="G419" s="192"/>
      <c r="H419" s="192"/>
      <c r="I419" s="194" t="s">
        <v>1899</v>
      </c>
      <c r="J419" s="193" t="s">
        <v>422</v>
      </c>
      <c r="K419" s="194" t="s">
        <v>867</v>
      </c>
    </row>
    <row r="420" spans="1:11" ht="58.15" customHeight="1" x14ac:dyDescent="0.25">
      <c r="A420" s="192">
        <v>419</v>
      </c>
      <c r="B420" s="205" t="s">
        <v>3908</v>
      </c>
      <c r="C420" s="193" t="s">
        <v>3909</v>
      </c>
      <c r="D420" s="202" t="s">
        <v>3910</v>
      </c>
      <c r="E420" s="203">
        <v>45657</v>
      </c>
      <c r="F420" s="196">
        <v>359700</v>
      </c>
      <c r="G420" s="192"/>
      <c r="H420" s="192"/>
      <c r="I420" s="194" t="s">
        <v>1797</v>
      </c>
      <c r="J420" s="193" t="s">
        <v>422</v>
      </c>
      <c r="K420" s="194" t="s">
        <v>867</v>
      </c>
    </row>
    <row r="421" spans="1:11" ht="58.15" customHeight="1" x14ac:dyDescent="0.25">
      <c r="A421" s="192">
        <v>420</v>
      </c>
      <c r="B421" s="205" t="s">
        <v>3911</v>
      </c>
      <c r="C421" s="193" t="s">
        <v>3912</v>
      </c>
      <c r="D421" s="202" t="s">
        <v>3913</v>
      </c>
      <c r="E421" s="203">
        <v>45657</v>
      </c>
      <c r="F421" s="196">
        <v>620200</v>
      </c>
      <c r="G421" s="192"/>
      <c r="H421" s="192"/>
      <c r="I421" s="194" t="s">
        <v>3803</v>
      </c>
      <c r="J421" s="193" t="s">
        <v>422</v>
      </c>
      <c r="K421" s="194" t="s">
        <v>3904</v>
      </c>
    </row>
    <row r="422" spans="1:11" ht="58.15" customHeight="1" x14ac:dyDescent="0.25">
      <c r="A422" s="192">
        <v>421</v>
      </c>
      <c r="B422" s="205" t="s">
        <v>3914</v>
      </c>
      <c r="C422" s="193" t="s">
        <v>3915</v>
      </c>
      <c r="D422" s="202" t="s">
        <v>3916</v>
      </c>
      <c r="E422" s="203">
        <v>45657</v>
      </c>
      <c r="F422" s="196">
        <v>511700</v>
      </c>
      <c r="G422" s="192"/>
      <c r="H422" s="192"/>
      <c r="I422" s="194" t="s">
        <v>951</v>
      </c>
      <c r="J422" s="193" t="s">
        <v>422</v>
      </c>
      <c r="K422" s="194" t="s">
        <v>867</v>
      </c>
    </row>
    <row r="423" spans="1:11" ht="58.15" customHeight="1" x14ac:dyDescent="0.25">
      <c r="A423" s="192">
        <v>422</v>
      </c>
      <c r="B423" s="205" t="s">
        <v>3917</v>
      </c>
      <c r="C423" s="193" t="s">
        <v>3918</v>
      </c>
      <c r="D423" s="202" t="s">
        <v>3919</v>
      </c>
      <c r="E423" s="203">
        <v>45657</v>
      </c>
      <c r="F423" s="196">
        <v>430300</v>
      </c>
      <c r="G423" s="192"/>
      <c r="H423" s="192"/>
      <c r="I423" s="194" t="s">
        <v>1496</v>
      </c>
      <c r="J423" s="193" t="s">
        <v>422</v>
      </c>
      <c r="K423" s="194" t="s">
        <v>867</v>
      </c>
    </row>
    <row r="424" spans="1:11" ht="58.15" customHeight="1" x14ac:dyDescent="0.25">
      <c r="A424" s="192">
        <v>423</v>
      </c>
      <c r="B424" s="205" t="s">
        <v>3920</v>
      </c>
      <c r="C424" s="193" t="s">
        <v>3921</v>
      </c>
      <c r="D424" s="202" t="s">
        <v>3922</v>
      </c>
      <c r="E424" s="203">
        <v>45657</v>
      </c>
      <c r="F424" s="196">
        <v>465200</v>
      </c>
      <c r="G424" s="192"/>
      <c r="H424" s="192"/>
      <c r="I424" s="194" t="s">
        <v>817</v>
      </c>
      <c r="J424" s="193" t="s">
        <v>422</v>
      </c>
      <c r="K424" s="194" t="s">
        <v>422</v>
      </c>
    </row>
    <row r="425" spans="1:11" ht="58.15" customHeight="1" x14ac:dyDescent="0.25">
      <c r="A425" s="192">
        <v>424</v>
      </c>
      <c r="B425" s="205" t="s">
        <v>3923</v>
      </c>
      <c r="C425" s="193" t="s">
        <v>3924</v>
      </c>
      <c r="D425" s="202" t="s">
        <v>3925</v>
      </c>
      <c r="E425" s="203">
        <v>45657</v>
      </c>
      <c r="F425" s="196">
        <v>191500</v>
      </c>
      <c r="G425" s="192"/>
      <c r="H425" s="192"/>
      <c r="I425" s="194" t="s">
        <v>1563</v>
      </c>
      <c r="J425" s="193" t="s">
        <v>422</v>
      </c>
      <c r="K425" s="194" t="s">
        <v>422</v>
      </c>
    </row>
    <row r="426" spans="1:11" ht="58.15" customHeight="1" x14ac:dyDescent="0.25">
      <c r="A426" s="192">
        <v>425</v>
      </c>
      <c r="B426" s="205" t="s">
        <v>3926</v>
      </c>
      <c r="C426" s="193" t="s">
        <v>3927</v>
      </c>
      <c r="D426" s="202" t="s">
        <v>3928</v>
      </c>
      <c r="E426" s="203">
        <v>45657</v>
      </c>
      <c r="F426" s="196">
        <v>307800</v>
      </c>
      <c r="G426" s="192"/>
      <c r="H426" s="192"/>
      <c r="I426" s="194" t="s">
        <v>3929</v>
      </c>
      <c r="J426" s="193" t="s">
        <v>422</v>
      </c>
      <c r="K426" s="194" t="s">
        <v>422</v>
      </c>
    </row>
    <row r="427" spans="1:11" ht="58.15" customHeight="1" x14ac:dyDescent="0.25">
      <c r="A427" s="192">
        <v>426</v>
      </c>
      <c r="B427" s="205" t="s">
        <v>3917</v>
      </c>
      <c r="C427" s="193" t="s">
        <v>3930</v>
      </c>
      <c r="D427" s="202" t="s">
        <v>3931</v>
      </c>
      <c r="E427" s="203">
        <v>45657</v>
      </c>
      <c r="F427" s="196">
        <v>430300</v>
      </c>
      <c r="G427" s="192"/>
      <c r="H427" s="192"/>
      <c r="I427" s="194" t="s">
        <v>1563</v>
      </c>
      <c r="J427" s="193" t="s">
        <v>422</v>
      </c>
      <c r="K427" s="194" t="s">
        <v>422</v>
      </c>
    </row>
    <row r="428" spans="1:11" ht="58.15" customHeight="1" x14ac:dyDescent="0.25">
      <c r="A428" s="192">
        <v>427</v>
      </c>
      <c r="B428" s="205" t="s">
        <v>3932</v>
      </c>
      <c r="C428" s="193" t="s">
        <v>3933</v>
      </c>
      <c r="D428" s="202" t="s">
        <v>3934</v>
      </c>
      <c r="E428" s="203">
        <v>45657</v>
      </c>
      <c r="F428" s="196">
        <v>263600</v>
      </c>
      <c r="G428" s="192"/>
      <c r="H428" s="192"/>
      <c r="I428" s="194" t="s">
        <v>1691</v>
      </c>
      <c r="J428" s="193" t="s">
        <v>422</v>
      </c>
      <c r="K428" s="194" t="s">
        <v>422</v>
      </c>
    </row>
    <row r="429" spans="1:11" ht="58.15" customHeight="1" x14ac:dyDescent="0.25">
      <c r="A429" s="192">
        <v>428</v>
      </c>
      <c r="B429" s="205" t="s">
        <v>3935</v>
      </c>
      <c r="C429" s="193" t="s">
        <v>3936</v>
      </c>
      <c r="D429" s="202" t="s">
        <v>3937</v>
      </c>
      <c r="E429" s="203">
        <v>45657</v>
      </c>
      <c r="F429" s="196">
        <v>200800</v>
      </c>
      <c r="G429" s="192"/>
      <c r="H429" s="192"/>
      <c r="I429" s="194" t="s">
        <v>1563</v>
      </c>
      <c r="J429" s="193" t="s">
        <v>422</v>
      </c>
      <c r="K429" s="194" t="s">
        <v>867</v>
      </c>
    </row>
    <row r="430" spans="1:11" ht="58.15" customHeight="1" x14ac:dyDescent="0.25">
      <c r="A430" s="192">
        <v>429</v>
      </c>
      <c r="B430" s="205" t="s">
        <v>3938</v>
      </c>
      <c r="C430" s="193" t="s">
        <v>3939</v>
      </c>
      <c r="D430" s="202" t="s">
        <v>3940</v>
      </c>
      <c r="E430" s="203">
        <v>45657</v>
      </c>
      <c r="F430" s="196">
        <v>468200</v>
      </c>
      <c r="G430" s="192"/>
      <c r="H430" s="192"/>
      <c r="I430" s="194" t="s">
        <v>1790</v>
      </c>
      <c r="J430" s="193" t="s">
        <v>422</v>
      </c>
      <c r="K430" s="194" t="s">
        <v>867</v>
      </c>
    </row>
    <row r="431" spans="1:11" ht="58.15" customHeight="1" x14ac:dyDescent="0.25">
      <c r="A431" s="192">
        <v>430</v>
      </c>
      <c r="B431" s="205" t="s">
        <v>3941</v>
      </c>
      <c r="C431" s="193" t="s">
        <v>3942</v>
      </c>
      <c r="D431" s="202" t="s">
        <v>3943</v>
      </c>
      <c r="E431" s="203">
        <v>45657</v>
      </c>
      <c r="F431" s="196">
        <f>879900/2</f>
        <v>439950</v>
      </c>
      <c r="G431" s="192"/>
      <c r="H431" s="192"/>
      <c r="I431" s="194" t="s">
        <v>2416</v>
      </c>
      <c r="J431" s="193" t="s">
        <v>422</v>
      </c>
      <c r="K431" s="194" t="s">
        <v>867</v>
      </c>
    </row>
    <row r="432" spans="1:11" ht="58.15" customHeight="1" x14ac:dyDescent="0.25">
      <c r="A432" s="192">
        <v>431</v>
      </c>
      <c r="B432" s="205" t="s">
        <v>3941</v>
      </c>
      <c r="C432" s="193" t="s">
        <v>3942</v>
      </c>
      <c r="D432" s="202" t="s">
        <v>3944</v>
      </c>
      <c r="E432" s="203">
        <v>45657</v>
      </c>
      <c r="F432" s="196">
        <f>879900/2</f>
        <v>439950</v>
      </c>
      <c r="G432" s="192"/>
      <c r="H432" s="192"/>
      <c r="I432" s="194" t="s">
        <v>2416</v>
      </c>
      <c r="J432" s="193" t="s">
        <v>422</v>
      </c>
      <c r="K432" s="194" t="s">
        <v>867</v>
      </c>
    </row>
    <row r="433" spans="1:11" ht="58.15" customHeight="1" x14ac:dyDescent="0.25">
      <c r="A433" s="192">
        <v>432</v>
      </c>
      <c r="B433" s="205" t="s">
        <v>3945</v>
      </c>
      <c r="C433" s="193" t="s">
        <v>3946</v>
      </c>
      <c r="D433" s="202" t="s">
        <v>3947</v>
      </c>
      <c r="E433" s="203">
        <v>45657</v>
      </c>
      <c r="F433" s="196">
        <v>356600</v>
      </c>
      <c r="G433" s="192"/>
      <c r="H433" s="192"/>
      <c r="I433" s="194" t="s">
        <v>1762</v>
      </c>
      <c r="J433" s="193" t="s">
        <v>422</v>
      </c>
      <c r="K433" s="194" t="s">
        <v>867</v>
      </c>
    </row>
    <row r="434" spans="1:11" ht="58.15" customHeight="1" x14ac:dyDescent="0.25">
      <c r="A434" s="192">
        <v>433</v>
      </c>
      <c r="B434" s="205" t="s">
        <v>3948</v>
      </c>
      <c r="C434" s="193" t="s">
        <v>3949</v>
      </c>
      <c r="D434" s="202" t="s">
        <v>3950</v>
      </c>
      <c r="E434" s="203">
        <v>45657</v>
      </c>
      <c r="F434" s="196">
        <v>441900</v>
      </c>
      <c r="G434" s="192"/>
      <c r="H434" s="192"/>
      <c r="I434" s="194" t="s">
        <v>1691</v>
      </c>
      <c r="J434" s="193" t="s">
        <v>422</v>
      </c>
      <c r="K434" s="194" t="s">
        <v>867</v>
      </c>
    </row>
    <row r="435" spans="1:11" ht="58.15" customHeight="1" x14ac:dyDescent="0.25">
      <c r="A435" s="192">
        <v>434</v>
      </c>
      <c r="B435" s="205" t="s">
        <v>3951</v>
      </c>
      <c r="C435" s="193" t="s">
        <v>3952</v>
      </c>
      <c r="D435" s="202" t="s">
        <v>3953</v>
      </c>
      <c r="E435" s="203">
        <v>45657</v>
      </c>
      <c r="F435" s="196">
        <v>562800</v>
      </c>
      <c r="G435" s="192"/>
      <c r="H435" s="192"/>
      <c r="I435" s="194" t="s">
        <v>1797</v>
      </c>
      <c r="J435" s="193" t="s">
        <v>422</v>
      </c>
      <c r="K435" s="194" t="s">
        <v>867</v>
      </c>
    </row>
    <row r="436" spans="1:11" ht="58.15" customHeight="1" x14ac:dyDescent="0.25">
      <c r="A436" s="192">
        <v>435</v>
      </c>
      <c r="B436" s="205" t="s">
        <v>3954</v>
      </c>
      <c r="C436" s="193" t="s">
        <v>3955</v>
      </c>
      <c r="D436" s="202" t="s">
        <v>3956</v>
      </c>
      <c r="E436" s="203">
        <v>45657</v>
      </c>
      <c r="F436" s="196">
        <v>170600</v>
      </c>
      <c r="G436" s="192"/>
      <c r="H436" s="192"/>
      <c r="I436" s="194"/>
      <c r="J436" s="193" t="s">
        <v>422</v>
      </c>
      <c r="K436" s="194"/>
    </row>
    <row r="437" spans="1:11" ht="58.15" customHeight="1" x14ac:dyDescent="0.25">
      <c r="A437" s="192">
        <v>436</v>
      </c>
      <c r="B437" s="205" t="s">
        <v>3957</v>
      </c>
      <c r="C437" s="193" t="s">
        <v>3958</v>
      </c>
      <c r="D437" s="202" t="s">
        <v>3959</v>
      </c>
      <c r="E437" s="203">
        <v>45657</v>
      </c>
      <c r="F437" s="196">
        <f>480700/3</f>
        <v>160233.33333333334</v>
      </c>
      <c r="G437" s="192"/>
      <c r="H437" s="192"/>
      <c r="I437" s="194" t="s">
        <v>2416</v>
      </c>
      <c r="J437" s="193" t="s">
        <v>422</v>
      </c>
      <c r="K437" s="194" t="s">
        <v>3787</v>
      </c>
    </row>
    <row r="438" spans="1:11" ht="58.15" customHeight="1" x14ac:dyDescent="0.25">
      <c r="A438" s="192">
        <v>437</v>
      </c>
      <c r="B438" s="205" t="s">
        <v>3957</v>
      </c>
      <c r="C438" s="193" t="s">
        <v>3958</v>
      </c>
      <c r="D438" s="202" t="s">
        <v>3960</v>
      </c>
      <c r="E438" s="203">
        <v>45657</v>
      </c>
      <c r="F438" s="196">
        <f t="shared" ref="F438:F439" si="12">480700/3</f>
        <v>160233.33333333334</v>
      </c>
      <c r="G438" s="192"/>
      <c r="H438" s="192"/>
      <c r="I438" s="194" t="s">
        <v>2416</v>
      </c>
      <c r="J438" s="193" t="s">
        <v>422</v>
      </c>
      <c r="K438" s="194" t="s">
        <v>3787</v>
      </c>
    </row>
    <row r="439" spans="1:11" ht="58.15" customHeight="1" x14ac:dyDescent="0.25">
      <c r="A439" s="192">
        <v>438</v>
      </c>
      <c r="B439" s="205" t="s">
        <v>3957</v>
      </c>
      <c r="C439" s="193" t="s">
        <v>3958</v>
      </c>
      <c r="D439" s="202" t="s">
        <v>3961</v>
      </c>
      <c r="E439" s="203">
        <v>45657</v>
      </c>
      <c r="F439" s="196">
        <f t="shared" si="12"/>
        <v>160233.33333333334</v>
      </c>
      <c r="G439" s="192"/>
      <c r="H439" s="192"/>
      <c r="I439" s="194" t="s">
        <v>2416</v>
      </c>
      <c r="J439" s="193" t="s">
        <v>422</v>
      </c>
      <c r="K439" s="194" t="s">
        <v>3787</v>
      </c>
    </row>
    <row r="440" spans="1:11" ht="58.15" customHeight="1" x14ac:dyDescent="0.25">
      <c r="A440" s="192">
        <v>439</v>
      </c>
      <c r="B440" s="205" t="s">
        <v>3962</v>
      </c>
      <c r="C440" s="193" t="s">
        <v>3963</v>
      </c>
      <c r="D440" s="202" t="s">
        <v>3964</v>
      </c>
      <c r="E440" s="203">
        <v>45657</v>
      </c>
      <c r="F440" s="196">
        <f>4000200/11</f>
        <v>363654.54545454547</v>
      </c>
      <c r="G440" s="192"/>
      <c r="H440" s="192"/>
      <c r="I440" s="194" t="s">
        <v>1563</v>
      </c>
      <c r="J440" s="193" t="s">
        <v>422</v>
      </c>
      <c r="K440" s="194" t="s">
        <v>867</v>
      </c>
    </row>
    <row r="441" spans="1:11" ht="58.15" customHeight="1" x14ac:dyDescent="0.25">
      <c r="A441" s="192">
        <v>440</v>
      </c>
      <c r="B441" s="205" t="s">
        <v>3962</v>
      </c>
      <c r="C441" s="193" t="s">
        <v>3963</v>
      </c>
      <c r="D441" s="202" t="s">
        <v>3965</v>
      </c>
      <c r="E441" s="203">
        <v>45657</v>
      </c>
      <c r="F441" s="196">
        <f t="shared" ref="F441:F450" si="13">4000200/11</f>
        <v>363654.54545454547</v>
      </c>
      <c r="G441" s="192"/>
      <c r="H441" s="192"/>
      <c r="I441" s="194" t="s">
        <v>1563</v>
      </c>
      <c r="J441" s="193" t="s">
        <v>422</v>
      </c>
      <c r="K441" s="194" t="s">
        <v>867</v>
      </c>
    </row>
    <row r="442" spans="1:11" ht="58.15" customHeight="1" x14ac:dyDescent="0.25">
      <c r="A442" s="192">
        <v>441</v>
      </c>
      <c r="B442" s="205" t="s">
        <v>3962</v>
      </c>
      <c r="C442" s="193" t="s">
        <v>3963</v>
      </c>
      <c r="D442" s="202" t="s">
        <v>3966</v>
      </c>
      <c r="E442" s="203">
        <v>45657</v>
      </c>
      <c r="F442" s="196">
        <f t="shared" si="13"/>
        <v>363654.54545454547</v>
      </c>
      <c r="G442" s="192"/>
      <c r="H442" s="192"/>
      <c r="I442" s="194" t="s">
        <v>1563</v>
      </c>
      <c r="J442" s="193" t="s">
        <v>422</v>
      </c>
      <c r="K442" s="194" t="s">
        <v>867</v>
      </c>
    </row>
    <row r="443" spans="1:11" ht="58.15" customHeight="1" x14ac:dyDescent="0.25">
      <c r="A443" s="192">
        <v>442</v>
      </c>
      <c r="B443" s="205" t="s">
        <v>3962</v>
      </c>
      <c r="C443" s="193" t="s">
        <v>3963</v>
      </c>
      <c r="D443" s="202" t="s">
        <v>3967</v>
      </c>
      <c r="E443" s="203">
        <v>45657</v>
      </c>
      <c r="F443" s="196">
        <f t="shared" si="13"/>
        <v>363654.54545454547</v>
      </c>
      <c r="G443" s="192"/>
      <c r="H443" s="192"/>
      <c r="I443" s="194" t="s">
        <v>1563</v>
      </c>
      <c r="J443" s="193" t="s">
        <v>422</v>
      </c>
      <c r="K443" s="194" t="s">
        <v>867</v>
      </c>
    </row>
    <row r="444" spans="1:11" ht="58.15" customHeight="1" x14ac:dyDescent="0.25">
      <c r="A444" s="192">
        <v>443</v>
      </c>
      <c r="B444" s="205" t="s">
        <v>3962</v>
      </c>
      <c r="C444" s="193" t="s">
        <v>3963</v>
      </c>
      <c r="D444" s="202" t="s">
        <v>3968</v>
      </c>
      <c r="E444" s="203">
        <v>45657</v>
      </c>
      <c r="F444" s="196">
        <f t="shared" si="13"/>
        <v>363654.54545454547</v>
      </c>
      <c r="G444" s="192"/>
      <c r="H444" s="192"/>
      <c r="I444" s="194" t="s">
        <v>1563</v>
      </c>
      <c r="J444" s="193" t="s">
        <v>422</v>
      </c>
      <c r="K444" s="194" t="s">
        <v>867</v>
      </c>
    </row>
    <row r="445" spans="1:11" ht="58.15" customHeight="1" x14ac:dyDescent="0.25">
      <c r="A445" s="192">
        <v>444</v>
      </c>
      <c r="B445" s="205" t="s">
        <v>3962</v>
      </c>
      <c r="C445" s="193" t="s">
        <v>3963</v>
      </c>
      <c r="D445" s="202" t="s">
        <v>3969</v>
      </c>
      <c r="E445" s="203">
        <v>45657</v>
      </c>
      <c r="F445" s="196">
        <f t="shared" si="13"/>
        <v>363654.54545454547</v>
      </c>
      <c r="G445" s="192"/>
      <c r="H445" s="192"/>
      <c r="I445" s="194" t="s">
        <v>1563</v>
      </c>
      <c r="J445" s="193" t="s">
        <v>422</v>
      </c>
      <c r="K445" s="194" t="s">
        <v>867</v>
      </c>
    </row>
    <row r="446" spans="1:11" ht="58.15" customHeight="1" x14ac:dyDescent="0.25">
      <c r="A446" s="192">
        <v>445</v>
      </c>
      <c r="B446" s="205" t="s">
        <v>3962</v>
      </c>
      <c r="C446" s="193" t="s">
        <v>3963</v>
      </c>
      <c r="D446" s="202" t="s">
        <v>3970</v>
      </c>
      <c r="E446" s="203">
        <v>45657</v>
      </c>
      <c r="F446" s="196">
        <f t="shared" si="13"/>
        <v>363654.54545454547</v>
      </c>
      <c r="G446" s="192"/>
      <c r="H446" s="192"/>
      <c r="I446" s="194" t="s">
        <v>1563</v>
      </c>
      <c r="J446" s="193" t="s">
        <v>422</v>
      </c>
      <c r="K446" s="194" t="s">
        <v>867</v>
      </c>
    </row>
    <row r="447" spans="1:11" ht="58.15" customHeight="1" x14ac:dyDescent="0.25">
      <c r="A447" s="192">
        <v>446</v>
      </c>
      <c r="B447" s="205" t="s">
        <v>3962</v>
      </c>
      <c r="C447" s="193" t="s">
        <v>3963</v>
      </c>
      <c r="D447" s="202" t="s">
        <v>3971</v>
      </c>
      <c r="E447" s="203">
        <v>45657</v>
      </c>
      <c r="F447" s="196">
        <f t="shared" si="13"/>
        <v>363654.54545454547</v>
      </c>
      <c r="G447" s="192"/>
      <c r="H447" s="192"/>
      <c r="I447" s="194" t="s">
        <v>1563</v>
      </c>
      <c r="J447" s="193" t="s">
        <v>422</v>
      </c>
      <c r="K447" s="194" t="s">
        <v>867</v>
      </c>
    </row>
    <row r="448" spans="1:11" ht="58.15" customHeight="1" x14ac:dyDescent="0.25">
      <c r="A448" s="192">
        <v>447</v>
      </c>
      <c r="B448" s="205" t="s">
        <v>3962</v>
      </c>
      <c r="C448" s="193" t="s">
        <v>3963</v>
      </c>
      <c r="D448" s="202" t="s">
        <v>3972</v>
      </c>
      <c r="E448" s="203">
        <v>45657</v>
      </c>
      <c r="F448" s="196">
        <f t="shared" si="13"/>
        <v>363654.54545454547</v>
      </c>
      <c r="G448" s="192"/>
      <c r="H448" s="192"/>
      <c r="I448" s="194" t="s">
        <v>1563</v>
      </c>
      <c r="J448" s="193" t="s">
        <v>422</v>
      </c>
      <c r="K448" s="194" t="s">
        <v>867</v>
      </c>
    </row>
    <row r="449" spans="1:11" ht="58.15" customHeight="1" x14ac:dyDescent="0.25">
      <c r="A449" s="192">
        <v>448</v>
      </c>
      <c r="B449" s="205" t="s">
        <v>3962</v>
      </c>
      <c r="C449" s="193" t="s">
        <v>3963</v>
      </c>
      <c r="D449" s="202" t="s">
        <v>3973</v>
      </c>
      <c r="E449" s="203">
        <v>45657</v>
      </c>
      <c r="F449" s="196">
        <f t="shared" si="13"/>
        <v>363654.54545454547</v>
      </c>
      <c r="G449" s="192"/>
      <c r="H449" s="192"/>
      <c r="I449" s="194" t="s">
        <v>1563</v>
      </c>
      <c r="J449" s="193" t="s">
        <v>422</v>
      </c>
      <c r="K449" s="194" t="s">
        <v>867</v>
      </c>
    </row>
    <row r="450" spans="1:11" ht="58.15" customHeight="1" x14ac:dyDescent="0.25">
      <c r="A450" s="192">
        <v>449</v>
      </c>
      <c r="B450" s="205" t="s">
        <v>3962</v>
      </c>
      <c r="C450" s="193" t="s">
        <v>3963</v>
      </c>
      <c r="D450" s="202" t="s">
        <v>3974</v>
      </c>
      <c r="E450" s="203">
        <v>45657</v>
      </c>
      <c r="F450" s="196">
        <f t="shared" si="13"/>
        <v>363654.54545454547</v>
      </c>
      <c r="G450" s="192"/>
      <c r="H450" s="192"/>
      <c r="I450" s="194" t="s">
        <v>1563</v>
      </c>
      <c r="J450" s="193" t="s">
        <v>422</v>
      </c>
      <c r="K450" s="194" t="s">
        <v>867</v>
      </c>
    </row>
    <row r="451" spans="1:11" ht="58.15" customHeight="1" x14ac:dyDescent="0.25">
      <c r="A451" s="192">
        <v>450</v>
      </c>
      <c r="B451" s="205" t="s">
        <v>3975</v>
      </c>
      <c r="C451" s="193" t="s">
        <v>3976</v>
      </c>
      <c r="D451" s="202" t="s">
        <v>3977</v>
      </c>
      <c r="E451" s="203">
        <v>45657</v>
      </c>
      <c r="F451" s="196">
        <f>4853000/10</f>
        <v>485300</v>
      </c>
      <c r="G451" s="192"/>
      <c r="H451" s="192"/>
      <c r="I451" s="194" t="s">
        <v>1691</v>
      </c>
      <c r="J451" s="193" t="s">
        <v>422</v>
      </c>
      <c r="K451" s="194" t="s">
        <v>867</v>
      </c>
    </row>
    <row r="452" spans="1:11" ht="58.15" customHeight="1" x14ac:dyDescent="0.25">
      <c r="A452" s="192">
        <v>451</v>
      </c>
      <c r="B452" s="205" t="s">
        <v>3975</v>
      </c>
      <c r="C452" s="193" t="s">
        <v>3976</v>
      </c>
      <c r="D452" s="202" t="s">
        <v>3978</v>
      </c>
      <c r="E452" s="203">
        <v>45657</v>
      </c>
      <c r="F452" s="196">
        <f t="shared" ref="F452:F460" si="14">4853000/10</f>
        <v>485300</v>
      </c>
      <c r="G452" s="192"/>
      <c r="H452" s="192"/>
      <c r="I452" s="194" t="s">
        <v>1691</v>
      </c>
      <c r="J452" s="193" t="s">
        <v>422</v>
      </c>
      <c r="K452" s="194" t="s">
        <v>867</v>
      </c>
    </row>
    <row r="453" spans="1:11" ht="58.15" customHeight="1" x14ac:dyDescent="0.25">
      <c r="A453" s="192">
        <v>452</v>
      </c>
      <c r="B453" s="205" t="s">
        <v>3975</v>
      </c>
      <c r="C453" s="193" t="s">
        <v>3976</v>
      </c>
      <c r="D453" s="202" t="s">
        <v>3979</v>
      </c>
      <c r="E453" s="203">
        <v>45657</v>
      </c>
      <c r="F453" s="196">
        <f t="shared" si="14"/>
        <v>485300</v>
      </c>
      <c r="G453" s="192"/>
      <c r="H453" s="192"/>
      <c r="I453" s="194" t="s">
        <v>1691</v>
      </c>
      <c r="J453" s="193" t="s">
        <v>422</v>
      </c>
      <c r="K453" s="194" t="s">
        <v>867</v>
      </c>
    </row>
    <row r="454" spans="1:11" ht="58.15" customHeight="1" x14ac:dyDescent="0.25">
      <c r="A454" s="192">
        <v>453</v>
      </c>
      <c r="B454" s="205" t="s">
        <v>3975</v>
      </c>
      <c r="C454" s="193" t="s">
        <v>3976</v>
      </c>
      <c r="D454" s="202" t="s">
        <v>3980</v>
      </c>
      <c r="E454" s="203">
        <v>45657</v>
      </c>
      <c r="F454" s="196">
        <f t="shared" si="14"/>
        <v>485300</v>
      </c>
      <c r="G454" s="192"/>
      <c r="H454" s="192"/>
      <c r="I454" s="194" t="s">
        <v>1691</v>
      </c>
      <c r="J454" s="193" t="s">
        <v>422</v>
      </c>
      <c r="K454" s="194" t="s">
        <v>867</v>
      </c>
    </row>
    <row r="455" spans="1:11" ht="58.15" customHeight="1" x14ac:dyDescent="0.25">
      <c r="A455" s="192">
        <v>454</v>
      </c>
      <c r="B455" s="205" t="s">
        <v>3975</v>
      </c>
      <c r="C455" s="193" t="s">
        <v>3976</v>
      </c>
      <c r="D455" s="202" t="s">
        <v>3981</v>
      </c>
      <c r="E455" s="203">
        <v>45657</v>
      </c>
      <c r="F455" s="196">
        <f t="shared" si="14"/>
        <v>485300</v>
      </c>
      <c r="G455" s="192"/>
      <c r="H455" s="192"/>
      <c r="I455" s="194" t="s">
        <v>1691</v>
      </c>
      <c r="J455" s="193" t="s">
        <v>422</v>
      </c>
      <c r="K455" s="194" t="s">
        <v>867</v>
      </c>
    </row>
    <row r="456" spans="1:11" ht="58.15" customHeight="1" x14ac:dyDescent="0.25">
      <c r="A456" s="192">
        <v>455</v>
      </c>
      <c r="B456" s="205" t="s">
        <v>3975</v>
      </c>
      <c r="C456" s="193" t="s">
        <v>3976</v>
      </c>
      <c r="D456" s="202" t="s">
        <v>3982</v>
      </c>
      <c r="E456" s="203">
        <v>45657</v>
      </c>
      <c r="F456" s="196">
        <f t="shared" si="14"/>
        <v>485300</v>
      </c>
      <c r="G456" s="192"/>
      <c r="H456" s="192"/>
      <c r="I456" s="194" t="s">
        <v>1691</v>
      </c>
      <c r="J456" s="193" t="s">
        <v>422</v>
      </c>
      <c r="K456" s="194" t="s">
        <v>867</v>
      </c>
    </row>
    <row r="457" spans="1:11" ht="58.15" customHeight="1" x14ac:dyDescent="0.25">
      <c r="A457" s="192">
        <v>456</v>
      </c>
      <c r="B457" s="205" t="s">
        <v>3975</v>
      </c>
      <c r="C457" s="193" t="s">
        <v>3976</v>
      </c>
      <c r="D457" s="202" t="s">
        <v>3983</v>
      </c>
      <c r="E457" s="203">
        <v>45657</v>
      </c>
      <c r="F457" s="196">
        <f t="shared" si="14"/>
        <v>485300</v>
      </c>
      <c r="G457" s="192"/>
      <c r="H457" s="192"/>
      <c r="I457" s="194" t="s">
        <v>1691</v>
      </c>
      <c r="J457" s="193" t="s">
        <v>422</v>
      </c>
      <c r="K457" s="194" t="s">
        <v>867</v>
      </c>
    </row>
    <row r="458" spans="1:11" ht="58.15" customHeight="1" x14ac:dyDescent="0.25">
      <c r="A458" s="192">
        <v>457</v>
      </c>
      <c r="B458" s="205" t="s">
        <v>3975</v>
      </c>
      <c r="C458" s="193" t="s">
        <v>3976</v>
      </c>
      <c r="D458" s="202" t="s">
        <v>3984</v>
      </c>
      <c r="E458" s="203">
        <v>45657</v>
      </c>
      <c r="F458" s="196">
        <f t="shared" si="14"/>
        <v>485300</v>
      </c>
      <c r="G458" s="192"/>
      <c r="H458" s="192"/>
      <c r="I458" s="194" t="s">
        <v>1691</v>
      </c>
      <c r="J458" s="193" t="s">
        <v>422</v>
      </c>
      <c r="K458" s="194" t="s">
        <v>867</v>
      </c>
    </row>
    <row r="459" spans="1:11" ht="58.15" customHeight="1" x14ac:dyDescent="0.25">
      <c r="A459" s="192">
        <v>458</v>
      </c>
      <c r="B459" s="205" t="s">
        <v>3975</v>
      </c>
      <c r="C459" s="193" t="s">
        <v>3976</v>
      </c>
      <c r="D459" s="202" t="s">
        <v>3985</v>
      </c>
      <c r="E459" s="203">
        <v>45657</v>
      </c>
      <c r="F459" s="196">
        <f t="shared" si="14"/>
        <v>485300</v>
      </c>
      <c r="G459" s="192"/>
      <c r="H459" s="192"/>
      <c r="I459" s="194" t="s">
        <v>1691</v>
      </c>
      <c r="J459" s="193" t="s">
        <v>422</v>
      </c>
      <c r="K459" s="194" t="s">
        <v>867</v>
      </c>
    </row>
    <row r="460" spans="1:11" ht="58.15" customHeight="1" x14ac:dyDescent="0.25">
      <c r="A460" s="192">
        <v>459</v>
      </c>
      <c r="B460" s="205" t="s">
        <v>3975</v>
      </c>
      <c r="C460" s="193" t="s">
        <v>3976</v>
      </c>
      <c r="D460" s="202" t="s">
        <v>3986</v>
      </c>
      <c r="E460" s="203">
        <v>45657</v>
      </c>
      <c r="F460" s="196">
        <f t="shared" si="14"/>
        <v>485300</v>
      </c>
      <c r="G460" s="192"/>
      <c r="H460" s="192"/>
      <c r="I460" s="194" t="s">
        <v>1691</v>
      </c>
      <c r="J460" s="193" t="s">
        <v>422</v>
      </c>
      <c r="K460" s="194" t="s">
        <v>867</v>
      </c>
    </row>
    <row r="461" spans="1:11" ht="58.15" customHeight="1" x14ac:dyDescent="0.25">
      <c r="A461" s="192">
        <v>460</v>
      </c>
      <c r="B461" s="205" t="s">
        <v>3987</v>
      </c>
      <c r="C461" s="193" t="s">
        <v>3988</v>
      </c>
      <c r="D461" s="202" t="s">
        <v>3989</v>
      </c>
      <c r="E461" s="203">
        <v>45657</v>
      </c>
      <c r="F461" s="196">
        <v>612400</v>
      </c>
      <c r="G461" s="192"/>
      <c r="H461" s="192"/>
      <c r="I461" s="194" t="s">
        <v>2073</v>
      </c>
      <c r="J461" s="193" t="s">
        <v>422</v>
      </c>
      <c r="K461" s="194" t="s">
        <v>422</v>
      </c>
    </row>
    <row r="462" spans="1:11" ht="58.15" customHeight="1" x14ac:dyDescent="0.25">
      <c r="A462" s="192">
        <v>461</v>
      </c>
      <c r="B462" s="205" t="s">
        <v>3990</v>
      </c>
      <c r="C462" s="193" t="s">
        <v>3991</v>
      </c>
      <c r="D462" s="202" t="s">
        <v>3992</v>
      </c>
      <c r="E462" s="203">
        <v>45657</v>
      </c>
      <c r="F462" s="196">
        <v>503900</v>
      </c>
      <c r="G462" s="192"/>
      <c r="H462" s="192"/>
      <c r="I462" s="194" t="s">
        <v>2416</v>
      </c>
      <c r="J462" s="193" t="s">
        <v>422</v>
      </c>
      <c r="K462" s="194" t="s">
        <v>3787</v>
      </c>
    </row>
    <row r="463" spans="1:11" ht="58.15" customHeight="1" x14ac:dyDescent="0.25">
      <c r="A463" s="192">
        <v>462</v>
      </c>
      <c r="B463" s="205" t="s">
        <v>3993</v>
      </c>
      <c r="C463" s="193" t="s">
        <v>3994</v>
      </c>
      <c r="D463" s="202" t="s">
        <v>3995</v>
      </c>
      <c r="E463" s="203">
        <v>45657</v>
      </c>
      <c r="F463" s="196">
        <v>415200</v>
      </c>
      <c r="G463" s="192"/>
      <c r="H463" s="192"/>
      <c r="I463" s="194" t="s">
        <v>2416</v>
      </c>
      <c r="J463" s="193" t="s">
        <v>422</v>
      </c>
      <c r="K463" s="194" t="s">
        <v>867</v>
      </c>
    </row>
    <row r="464" spans="1:11" ht="58.15" customHeight="1" x14ac:dyDescent="0.25">
      <c r="A464" s="192">
        <v>463</v>
      </c>
      <c r="B464" s="205" t="s">
        <v>3996</v>
      </c>
      <c r="C464" s="193" t="s">
        <v>3997</v>
      </c>
      <c r="D464" s="202" t="s">
        <v>3998</v>
      </c>
      <c r="E464" s="203">
        <v>45657</v>
      </c>
      <c r="F464" s="196">
        <v>178300</v>
      </c>
      <c r="G464" s="192"/>
      <c r="H464" s="192"/>
      <c r="I464" s="194" t="s">
        <v>1797</v>
      </c>
      <c r="J464" s="193" t="s">
        <v>422</v>
      </c>
      <c r="K464" s="194" t="s">
        <v>867</v>
      </c>
    </row>
    <row r="465" spans="1:11" ht="58.15" customHeight="1" x14ac:dyDescent="0.25">
      <c r="A465" s="192">
        <v>464</v>
      </c>
      <c r="B465" s="205" t="s">
        <v>3999</v>
      </c>
      <c r="C465" s="193" t="s">
        <v>4000</v>
      </c>
      <c r="D465" s="202" t="s">
        <v>4001</v>
      </c>
      <c r="E465" s="203">
        <v>45657</v>
      </c>
      <c r="F465" s="196">
        <v>232600</v>
      </c>
      <c r="G465" s="192"/>
      <c r="H465" s="192"/>
      <c r="I465" s="194"/>
      <c r="J465" s="193" t="s">
        <v>422</v>
      </c>
      <c r="K465" s="194"/>
    </row>
    <row r="466" spans="1:11" ht="58.15" customHeight="1" x14ac:dyDescent="0.25">
      <c r="A466" s="192">
        <v>465</v>
      </c>
      <c r="B466" s="205" t="s">
        <v>4002</v>
      </c>
      <c r="C466" s="193" t="s">
        <v>4003</v>
      </c>
      <c r="D466" s="202" t="s">
        <v>4004</v>
      </c>
      <c r="E466" s="203">
        <v>45657</v>
      </c>
      <c r="F466" s="196">
        <v>467000</v>
      </c>
      <c r="G466" s="192"/>
      <c r="H466" s="192"/>
      <c r="I466" s="194" t="s">
        <v>2416</v>
      </c>
      <c r="J466" s="193" t="s">
        <v>422</v>
      </c>
      <c r="K466" s="194" t="s">
        <v>867</v>
      </c>
    </row>
    <row r="467" spans="1:11" ht="58.15" customHeight="1" x14ac:dyDescent="0.25">
      <c r="A467" s="192">
        <v>466</v>
      </c>
      <c r="B467" s="205" t="s">
        <v>4005</v>
      </c>
      <c r="C467" s="193" t="s">
        <v>4006</v>
      </c>
      <c r="D467" s="202" t="s">
        <v>4007</v>
      </c>
      <c r="E467" s="203">
        <v>45657</v>
      </c>
      <c r="F467" s="196">
        <v>22300</v>
      </c>
      <c r="G467" s="192"/>
      <c r="H467" s="192"/>
      <c r="I467" s="194"/>
      <c r="J467" s="193" t="s">
        <v>422</v>
      </c>
      <c r="K467" s="194"/>
    </row>
    <row r="468" spans="1:11" ht="58.15" customHeight="1" x14ac:dyDescent="0.25">
      <c r="A468" s="192">
        <v>467</v>
      </c>
      <c r="B468" s="205" t="s">
        <v>4008</v>
      </c>
      <c r="C468" s="193" t="s">
        <v>4009</v>
      </c>
      <c r="D468" s="202" t="s">
        <v>4010</v>
      </c>
      <c r="E468" s="203">
        <v>45657</v>
      </c>
      <c r="F468" s="196">
        <v>8400</v>
      </c>
      <c r="G468" s="192"/>
      <c r="H468" s="192"/>
      <c r="I468" s="194"/>
      <c r="J468" s="193" t="s">
        <v>422</v>
      </c>
      <c r="K468" s="194"/>
    </row>
    <row r="469" spans="1:11" ht="58.15" customHeight="1" x14ac:dyDescent="0.25">
      <c r="A469" s="192">
        <v>468</v>
      </c>
      <c r="B469" s="205" t="s">
        <v>4011</v>
      </c>
      <c r="C469" s="193" t="s">
        <v>4012</v>
      </c>
      <c r="D469" s="202" t="s">
        <v>4013</v>
      </c>
      <c r="E469" s="203">
        <v>45657</v>
      </c>
      <c r="F469" s="196">
        <v>19500</v>
      </c>
      <c r="G469" s="192"/>
      <c r="H469" s="192"/>
      <c r="I469" s="194"/>
      <c r="J469" s="193" t="s">
        <v>422</v>
      </c>
      <c r="K469" s="194"/>
    </row>
    <row r="470" spans="1:11" ht="58.15" customHeight="1" x14ac:dyDescent="0.25">
      <c r="A470" s="192">
        <v>469</v>
      </c>
      <c r="B470" s="205" t="s">
        <v>4014</v>
      </c>
      <c r="C470" s="193" t="s">
        <v>4015</v>
      </c>
      <c r="D470" s="202" t="s">
        <v>4016</v>
      </c>
      <c r="E470" s="203">
        <v>45657</v>
      </c>
      <c r="F470" s="196">
        <v>361900</v>
      </c>
      <c r="G470" s="192"/>
      <c r="H470" s="192"/>
      <c r="I470" s="194" t="s">
        <v>4017</v>
      </c>
      <c r="J470" s="193" t="s">
        <v>422</v>
      </c>
      <c r="K470" s="194" t="s">
        <v>422</v>
      </c>
    </row>
    <row r="471" spans="1:11" ht="58.15" customHeight="1" x14ac:dyDescent="0.25">
      <c r="A471" s="192">
        <v>470</v>
      </c>
      <c r="B471" s="205" t="s">
        <v>4018</v>
      </c>
      <c r="C471" s="193" t="s">
        <v>4019</v>
      </c>
      <c r="D471" s="202" t="s">
        <v>4020</v>
      </c>
      <c r="E471" s="203">
        <v>45657</v>
      </c>
      <c r="F471" s="196">
        <v>38800</v>
      </c>
      <c r="G471" s="192"/>
      <c r="H471" s="192"/>
      <c r="I471" s="194" t="s">
        <v>1641</v>
      </c>
      <c r="J471" s="193" t="s">
        <v>422</v>
      </c>
      <c r="K471" s="194" t="s">
        <v>3168</v>
      </c>
    </row>
    <row r="472" spans="1:11" ht="58.15" customHeight="1" x14ac:dyDescent="0.25">
      <c r="A472" s="192">
        <v>471</v>
      </c>
      <c r="B472" s="205" t="s">
        <v>4021</v>
      </c>
      <c r="C472" s="193" t="s">
        <v>4022</v>
      </c>
      <c r="D472" s="202" t="s">
        <v>4023</v>
      </c>
      <c r="E472" s="203">
        <v>45657</v>
      </c>
      <c r="F472" s="196">
        <v>145400</v>
      </c>
      <c r="G472" s="192"/>
      <c r="H472" s="192"/>
      <c r="I472" s="194"/>
      <c r="J472" s="193" t="s">
        <v>422</v>
      </c>
      <c r="K472" s="194"/>
    </row>
    <row r="473" spans="1:11" ht="58.15" customHeight="1" x14ac:dyDescent="0.25">
      <c r="A473" s="192">
        <v>472</v>
      </c>
      <c r="B473" s="205" t="s">
        <v>4024</v>
      </c>
      <c r="C473" s="193" t="s">
        <v>4025</v>
      </c>
      <c r="D473" s="202" t="s">
        <v>4026</v>
      </c>
      <c r="E473" s="203">
        <v>45657</v>
      </c>
      <c r="F473" s="196">
        <f>1091500/2</f>
        <v>545750</v>
      </c>
      <c r="G473" s="192"/>
      <c r="H473" s="192"/>
      <c r="I473" s="194" t="s">
        <v>1790</v>
      </c>
      <c r="J473" s="193" t="s">
        <v>422</v>
      </c>
      <c r="K473" s="194" t="s">
        <v>422</v>
      </c>
    </row>
    <row r="474" spans="1:11" ht="58.15" customHeight="1" x14ac:dyDescent="0.25">
      <c r="A474" s="192">
        <v>473</v>
      </c>
      <c r="B474" s="205" t="s">
        <v>4024</v>
      </c>
      <c r="C474" s="193" t="s">
        <v>4025</v>
      </c>
      <c r="D474" s="202" t="s">
        <v>4027</v>
      </c>
      <c r="E474" s="203">
        <v>45657</v>
      </c>
      <c r="F474" s="196">
        <f>1091500/2</f>
        <v>545750</v>
      </c>
      <c r="G474" s="192"/>
      <c r="H474" s="192"/>
      <c r="I474" s="194" t="s">
        <v>1790</v>
      </c>
      <c r="J474" s="193" t="s">
        <v>422</v>
      </c>
      <c r="K474" s="194" t="s">
        <v>422</v>
      </c>
    </row>
    <row r="475" spans="1:11" ht="58.15" customHeight="1" x14ac:dyDescent="0.25">
      <c r="A475" s="192">
        <v>474</v>
      </c>
      <c r="B475" s="205" t="s">
        <v>4028</v>
      </c>
      <c r="C475" s="193" t="s">
        <v>4029</v>
      </c>
      <c r="D475" s="202" t="s">
        <v>4030</v>
      </c>
      <c r="E475" s="203">
        <v>45657</v>
      </c>
      <c r="F475" s="196">
        <v>453100</v>
      </c>
      <c r="G475" s="192"/>
      <c r="H475" s="192"/>
      <c r="I475" s="194" t="s">
        <v>4031</v>
      </c>
      <c r="J475" s="193" t="s">
        <v>422</v>
      </c>
      <c r="K475" s="194" t="s">
        <v>3766</v>
      </c>
    </row>
    <row r="476" spans="1:11" ht="58.15" customHeight="1" x14ac:dyDescent="0.25">
      <c r="A476" s="192">
        <v>475</v>
      </c>
      <c r="B476" s="205" t="s">
        <v>4032</v>
      </c>
      <c r="C476" s="193" t="s">
        <v>4033</v>
      </c>
      <c r="D476" s="202" t="s">
        <v>4034</v>
      </c>
      <c r="E476" s="203">
        <v>45657</v>
      </c>
      <c r="F476" s="196">
        <v>530300</v>
      </c>
      <c r="G476" s="192"/>
      <c r="H476" s="192"/>
      <c r="I476" s="194" t="s">
        <v>1537</v>
      </c>
      <c r="J476" s="193" t="s">
        <v>422</v>
      </c>
      <c r="K476" s="194" t="s">
        <v>867</v>
      </c>
    </row>
    <row r="477" spans="1:11" ht="58.15" customHeight="1" x14ac:dyDescent="0.25">
      <c r="A477" s="192">
        <v>476</v>
      </c>
      <c r="B477" s="205" t="s">
        <v>4035</v>
      </c>
      <c r="C477" s="193" t="s">
        <v>4036</v>
      </c>
      <c r="D477" s="202" t="s">
        <v>4037</v>
      </c>
      <c r="E477" s="203">
        <v>45657</v>
      </c>
      <c r="F477" s="196">
        <f>1102500/2</f>
        <v>551250</v>
      </c>
      <c r="G477" s="192"/>
      <c r="H477" s="192"/>
      <c r="I477" s="194" t="s">
        <v>1691</v>
      </c>
      <c r="J477" s="193" t="s">
        <v>422</v>
      </c>
      <c r="K477" s="194" t="s">
        <v>422</v>
      </c>
    </row>
    <row r="478" spans="1:11" ht="58.15" customHeight="1" x14ac:dyDescent="0.25">
      <c r="A478" s="192">
        <v>477</v>
      </c>
      <c r="B478" s="205" t="s">
        <v>4035</v>
      </c>
      <c r="C478" s="193" t="s">
        <v>4036</v>
      </c>
      <c r="D478" s="202" t="s">
        <v>4038</v>
      </c>
      <c r="E478" s="203">
        <v>45657</v>
      </c>
      <c r="F478" s="196">
        <f>1102500/2</f>
        <v>551250</v>
      </c>
      <c r="G478" s="192"/>
      <c r="H478" s="192"/>
      <c r="I478" s="194" t="s">
        <v>1691</v>
      </c>
      <c r="J478" s="193" t="s">
        <v>422</v>
      </c>
      <c r="K478" s="194" t="s">
        <v>422</v>
      </c>
    </row>
    <row r="479" spans="1:11" ht="58.15" customHeight="1" x14ac:dyDescent="0.25">
      <c r="A479" s="192">
        <v>478</v>
      </c>
      <c r="B479" s="205" t="s">
        <v>4039</v>
      </c>
      <c r="C479" s="193" t="s">
        <v>4040</v>
      </c>
      <c r="D479" s="202" t="s">
        <v>4041</v>
      </c>
      <c r="E479" s="203">
        <v>45657</v>
      </c>
      <c r="F479" s="196">
        <v>348700</v>
      </c>
      <c r="G479" s="192"/>
      <c r="H479" s="192"/>
      <c r="I479" s="194" t="s">
        <v>1527</v>
      </c>
      <c r="J479" s="193" t="s">
        <v>422</v>
      </c>
      <c r="K479" s="194" t="s">
        <v>422</v>
      </c>
    </row>
    <row r="480" spans="1:11" ht="58.15" customHeight="1" x14ac:dyDescent="0.25">
      <c r="A480" s="192">
        <v>479</v>
      </c>
      <c r="B480" s="205" t="s">
        <v>4042</v>
      </c>
      <c r="C480" s="193" t="s">
        <v>4043</v>
      </c>
      <c r="D480" s="202" t="s">
        <v>4044</v>
      </c>
      <c r="E480" s="203">
        <v>45657</v>
      </c>
      <c r="F480" s="196">
        <f>898400/2</f>
        <v>449200</v>
      </c>
      <c r="G480" s="192"/>
      <c r="H480" s="192"/>
      <c r="I480" s="194" t="s">
        <v>4045</v>
      </c>
      <c r="J480" s="193" t="s">
        <v>422</v>
      </c>
      <c r="K480" s="194" t="s">
        <v>422</v>
      </c>
    </row>
    <row r="481" spans="1:11" ht="58.15" customHeight="1" x14ac:dyDescent="0.25">
      <c r="A481" s="192">
        <v>480</v>
      </c>
      <c r="B481" s="205" t="s">
        <v>4042</v>
      </c>
      <c r="C481" s="193" t="s">
        <v>4043</v>
      </c>
      <c r="D481" s="202" t="s">
        <v>4046</v>
      </c>
      <c r="E481" s="203">
        <v>45657</v>
      </c>
      <c r="F481" s="196">
        <f>898400/2</f>
        <v>449200</v>
      </c>
      <c r="G481" s="192"/>
      <c r="H481" s="192"/>
      <c r="I481" s="194" t="s">
        <v>4045</v>
      </c>
      <c r="J481" s="193" t="s">
        <v>422</v>
      </c>
      <c r="K481" s="194" t="s">
        <v>422</v>
      </c>
    </row>
    <row r="482" spans="1:11" ht="58.15" customHeight="1" x14ac:dyDescent="0.25">
      <c r="A482" s="192">
        <v>481</v>
      </c>
      <c r="B482" s="205" t="s">
        <v>4047</v>
      </c>
      <c r="C482" s="193" t="s">
        <v>4048</v>
      </c>
      <c r="D482" s="202" t="s">
        <v>4049</v>
      </c>
      <c r="E482" s="203">
        <v>45657</v>
      </c>
      <c r="F482" s="196">
        <f>695000/2</f>
        <v>347500</v>
      </c>
      <c r="G482" s="192"/>
      <c r="H482" s="192"/>
      <c r="I482" s="194"/>
      <c r="J482" s="193" t="s">
        <v>422</v>
      </c>
      <c r="K482" s="194"/>
    </row>
    <row r="483" spans="1:11" ht="58.15" customHeight="1" x14ac:dyDescent="0.25">
      <c r="A483" s="192">
        <v>482</v>
      </c>
      <c r="B483" s="205" t="s">
        <v>4047</v>
      </c>
      <c r="C483" s="193" t="s">
        <v>4048</v>
      </c>
      <c r="D483" s="202" t="s">
        <v>4050</v>
      </c>
      <c r="E483" s="203">
        <v>45657</v>
      </c>
      <c r="F483" s="196">
        <f>695000/2</f>
        <v>347500</v>
      </c>
      <c r="G483" s="192"/>
      <c r="H483" s="192"/>
      <c r="I483" s="194"/>
      <c r="J483" s="193" t="s">
        <v>422</v>
      </c>
      <c r="K483" s="194"/>
    </row>
    <row r="484" spans="1:11" ht="58.15" customHeight="1" x14ac:dyDescent="0.25">
      <c r="A484" s="192">
        <v>483</v>
      </c>
      <c r="B484" s="205" t="s">
        <v>4051</v>
      </c>
      <c r="C484" s="193" t="s">
        <v>4052</v>
      </c>
      <c r="D484" s="202" t="s">
        <v>4053</v>
      </c>
      <c r="E484" s="203">
        <v>45657</v>
      </c>
      <c r="F484" s="196">
        <f>1390100/4</f>
        <v>347525</v>
      </c>
      <c r="G484" s="192"/>
      <c r="H484" s="192"/>
      <c r="I484" s="194" t="s">
        <v>2287</v>
      </c>
      <c r="J484" s="193" t="s">
        <v>422</v>
      </c>
      <c r="K484" s="194" t="s">
        <v>867</v>
      </c>
    </row>
    <row r="485" spans="1:11" ht="58.15" customHeight="1" x14ac:dyDescent="0.25">
      <c r="A485" s="192">
        <v>484</v>
      </c>
      <c r="B485" s="205" t="s">
        <v>4051</v>
      </c>
      <c r="C485" s="193" t="s">
        <v>4052</v>
      </c>
      <c r="D485" s="202" t="s">
        <v>4054</v>
      </c>
      <c r="E485" s="203">
        <v>45657</v>
      </c>
      <c r="F485" s="196">
        <f t="shared" ref="F485:F487" si="15">1390100/4</f>
        <v>347525</v>
      </c>
      <c r="G485" s="192"/>
      <c r="H485" s="192"/>
      <c r="I485" s="194" t="s">
        <v>2287</v>
      </c>
      <c r="J485" s="193" t="s">
        <v>422</v>
      </c>
      <c r="K485" s="194" t="s">
        <v>867</v>
      </c>
    </row>
    <row r="486" spans="1:11" ht="58.15" customHeight="1" x14ac:dyDescent="0.25">
      <c r="A486" s="192">
        <v>485</v>
      </c>
      <c r="B486" s="205" t="s">
        <v>4051</v>
      </c>
      <c r="C486" s="193" t="s">
        <v>4052</v>
      </c>
      <c r="D486" s="202" t="s">
        <v>4055</v>
      </c>
      <c r="E486" s="203">
        <v>45657</v>
      </c>
      <c r="F486" s="196">
        <f t="shared" si="15"/>
        <v>347525</v>
      </c>
      <c r="G486" s="192"/>
      <c r="H486" s="192"/>
      <c r="I486" s="194" t="s">
        <v>2287</v>
      </c>
      <c r="J486" s="193" t="s">
        <v>422</v>
      </c>
      <c r="K486" s="194" t="s">
        <v>867</v>
      </c>
    </row>
    <row r="487" spans="1:11" ht="58.15" customHeight="1" x14ac:dyDescent="0.25">
      <c r="A487" s="192">
        <v>486</v>
      </c>
      <c r="B487" s="205" t="s">
        <v>4051</v>
      </c>
      <c r="C487" s="193" t="s">
        <v>4052</v>
      </c>
      <c r="D487" s="202" t="s">
        <v>4056</v>
      </c>
      <c r="E487" s="203">
        <v>45657</v>
      </c>
      <c r="F487" s="196">
        <f t="shared" si="15"/>
        <v>347525</v>
      </c>
      <c r="G487" s="192"/>
      <c r="H487" s="192"/>
      <c r="I487" s="194" t="s">
        <v>2287</v>
      </c>
      <c r="J487" s="193" t="s">
        <v>422</v>
      </c>
      <c r="K487" s="194" t="s">
        <v>867</v>
      </c>
    </row>
    <row r="488" spans="1:11" ht="58.15" customHeight="1" x14ac:dyDescent="0.25">
      <c r="A488" s="192">
        <v>487</v>
      </c>
      <c r="B488" s="205" t="s">
        <v>4057</v>
      </c>
      <c r="C488" s="193" t="s">
        <v>4058</v>
      </c>
      <c r="D488" s="202" t="s">
        <v>4059</v>
      </c>
      <c r="E488" s="203">
        <v>45657</v>
      </c>
      <c r="F488" s="196">
        <v>609600</v>
      </c>
      <c r="G488" s="192"/>
      <c r="H488" s="192"/>
      <c r="I488" s="194" t="s">
        <v>1797</v>
      </c>
      <c r="J488" s="193" t="s">
        <v>422</v>
      </c>
      <c r="K488" s="194" t="s">
        <v>867</v>
      </c>
    </row>
    <row r="489" spans="1:11" ht="58.15" customHeight="1" x14ac:dyDescent="0.25">
      <c r="A489" s="192">
        <v>488</v>
      </c>
      <c r="B489" s="205" t="s">
        <v>4060</v>
      </c>
      <c r="C489" s="193" t="s">
        <v>4061</v>
      </c>
      <c r="D489" s="202" t="s">
        <v>4062</v>
      </c>
      <c r="E489" s="203">
        <v>45657</v>
      </c>
      <c r="F489" s="196">
        <v>408800</v>
      </c>
      <c r="G489" s="192"/>
      <c r="H489" s="192"/>
      <c r="I489" s="194" t="s">
        <v>2180</v>
      </c>
      <c r="J489" s="193" t="s">
        <v>422</v>
      </c>
      <c r="K489" s="194" t="s">
        <v>867</v>
      </c>
    </row>
    <row r="490" spans="1:11" ht="58.15" customHeight="1" x14ac:dyDescent="0.25">
      <c r="A490" s="192">
        <v>489</v>
      </c>
      <c r="B490" s="205" t="s">
        <v>4063</v>
      </c>
      <c r="C490" s="193" t="s">
        <v>4064</v>
      </c>
      <c r="D490" s="202" t="s">
        <v>4065</v>
      </c>
      <c r="E490" s="203">
        <v>45657</v>
      </c>
      <c r="F490" s="196">
        <f>2423800/8</f>
        <v>302975</v>
      </c>
      <c r="G490" s="192"/>
      <c r="H490" s="192"/>
      <c r="I490" s="194" t="s">
        <v>1641</v>
      </c>
      <c r="J490" s="193" t="s">
        <v>422</v>
      </c>
      <c r="K490" s="194" t="s">
        <v>422</v>
      </c>
    </row>
    <row r="491" spans="1:11" ht="58.15" customHeight="1" x14ac:dyDescent="0.25">
      <c r="A491" s="192">
        <v>490</v>
      </c>
      <c r="B491" s="205" t="s">
        <v>4063</v>
      </c>
      <c r="C491" s="193" t="s">
        <v>4064</v>
      </c>
      <c r="D491" s="202" t="s">
        <v>4066</v>
      </c>
      <c r="E491" s="203">
        <v>45657</v>
      </c>
      <c r="F491" s="196">
        <f t="shared" ref="F491:F497" si="16">2423800/8</f>
        <v>302975</v>
      </c>
      <c r="G491" s="192"/>
      <c r="H491" s="192"/>
      <c r="I491" s="194" t="s">
        <v>1641</v>
      </c>
      <c r="J491" s="193" t="s">
        <v>422</v>
      </c>
      <c r="K491" s="194" t="s">
        <v>422</v>
      </c>
    </row>
    <row r="492" spans="1:11" ht="58.15" customHeight="1" x14ac:dyDescent="0.25">
      <c r="A492" s="192">
        <v>491</v>
      </c>
      <c r="B492" s="205" t="s">
        <v>4063</v>
      </c>
      <c r="C492" s="193" t="s">
        <v>4064</v>
      </c>
      <c r="D492" s="202" t="s">
        <v>4067</v>
      </c>
      <c r="E492" s="203">
        <v>45657</v>
      </c>
      <c r="F492" s="196">
        <f t="shared" si="16"/>
        <v>302975</v>
      </c>
      <c r="G492" s="192"/>
      <c r="H492" s="192"/>
      <c r="I492" s="194" t="s">
        <v>1641</v>
      </c>
      <c r="J492" s="193" t="s">
        <v>422</v>
      </c>
      <c r="K492" s="194" t="s">
        <v>422</v>
      </c>
    </row>
    <row r="493" spans="1:11" ht="58.15" customHeight="1" x14ac:dyDescent="0.25">
      <c r="A493" s="192">
        <v>492</v>
      </c>
      <c r="B493" s="205" t="s">
        <v>4063</v>
      </c>
      <c r="C493" s="193" t="s">
        <v>4064</v>
      </c>
      <c r="D493" s="202" t="s">
        <v>4068</v>
      </c>
      <c r="E493" s="203">
        <v>45657</v>
      </c>
      <c r="F493" s="196">
        <f t="shared" si="16"/>
        <v>302975</v>
      </c>
      <c r="G493" s="192"/>
      <c r="H493" s="192"/>
      <c r="I493" s="194" t="s">
        <v>1641</v>
      </c>
      <c r="J493" s="193" t="s">
        <v>422</v>
      </c>
      <c r="K493" s="194" t="s">
        <v>422</v>
      </c>
    </row>
    <row r="494" spans="1:11" ht="58.15" customHeight="1" x14ac:dyDescent="0.25">
      <c r="A494" s="192">
        <v>493</v>
      </c>
      <c r="B494" s="205" t="s">
        <v>4063</v>
      </c>
      <c r="C494" s="193" t="s">
        <v>4064</v>
      </c>
      <c r="D494" s="202" t="s">
        <v>4069</v>
      </c>
      <c r="E494" s="203">
        <v>45657</v>
      </c>
      <c r="F494" s="196">
        <f t="shared" si="16"/>
        <v>302975</v>
      </c>
      <c r="G494" s="192"/>
      <c r="H494" s="192"/>
      <c r="I494" s="194" t="s">
        <v>1641</v>
      </c>
      <c r="J494" s="193" t="s">
        <v>422</v>
      </c>
      <c r="K494" s="194" t="s">
        <v>422</v>
      </c>
    </row>
    <row r="495" spans="1:11" ht="58.15" customHeight="1" x14ac:dyDescent="0.25">
      <c r="A495" s="192">
        <v>494</v>
      </c>
      <c r="B495" s="205" t="s">
        <v>4063</v>
      </c>
      <c r="C495" s="193" t="s">
        <v>4064</v>
      </c>
      <c r="D495" s="202" t="s">
        <v>4070</v>
      </c>
      <c r="E495" s="203">
        <v>45657</v>
      </c>
      <c r="F495" s="196">
        <f t="shared" si="16"/>
        <v>302975</v>
      </c>
      <c r="G495" s="192"/>
      <c r="H495" s="192"/>
      <c r="I495" s="194" t="s">
        <v>1641</v>
      </c>
      <c r="J495" s="193" t="s">
        <v>422</v>
      </c>
      <c r="K495" s="194" t="s">
        <v>422</v>
      </c>
    </row>
    <row r="496" spans="1:11" ht="58.15" customHeight="1" x14ac:dyDescent="0.25">
      <c r="A496" s="192">
        <v>495</v>
      </c>
      <c r="B496" s="205" t="s">
        <v>4063</v>
      </c>
      <c r="C496" s="193" t="s">
        <v>4064</v>
      </c>
      <c r="D496" s="202" t="s">
        <v>4071</v>
      </c>
      <c r="E496" s="203">
        <v>45657</v>
      </c>
      <c r="F496" s="196">
        <f t="shared" si="16"/>
        <v>302975</v>
      </c>
      <c r="G496" s="192"/>
      <c r="H496" s="192"/>
      <c r="I496" s="194" t="s">
        <v>1641</v>
      </c>
      <c r="J496" s="193" t="s">
        <v>422</v>
      </c>
      <c r="K496" s="194" t="s">
        <v>422</v>
      </c>
    </row>
    <row r="497" spans="1:11" ht="58.15" customHeight="1" x14ac:dyDescent="0.25">
      <c r="A497" s="192">
        <v>496</v>
      </c>
      <c r="B497" s="205" t="s">
        <v>4063</v>
      </c>
      <c r="C497" s="193" t="s">
        <v>4064</v>
      </c>
      <c r="D497" s="202" t="s">
        <v>4072</v>
      </c>
      <c r="E497" s="203">
        <v>45657</v>
      </c>
      <c r="F497" s="196">
        <f t="shared" si="16"/>
        <v>302975</v>
      </c>
      <c r="G497" s="192"/>
      <c r="H497" s="192"/>
      <c r="I497" s="194" t="s">
        <v>1641</v>
      </c>
      <c r="J497" s="193" t="s">
        <v>422</v>
      </c>
      <c r="K497" s="194" t="s">
        <v>422</v>
      </c>
    </row>
    <row r="498" spans="1:11" ht="58.15" customHeight="1" x14ac:dyDescent="0.25">
      <c r="A498" s="192">
        <v>497</v>
      </c>
      <c r="B498" s="205" t="s">
        <v>2893</v>
      </c>
      <c r="C498" s="193" t="s">
        <v>4073</v>
      </c>
      <c r="D498" s="202" t="s">
        <v>4074</v>
      </c>
      <c r="E498" s="203">
        <v>45657</v>
      </c>
      <c r="F498" s="196">
        <v>388800</v>
      </c>
      <c r="G498" s="192"/>
      <c r="H498" s="192"/>
      <c r="I498" s="194" t="s">
        <v>1691</v>
      </c>
      <c r="J498" s="193" t="s">
        <v>422</v>
      </c>
      <c r="K498" s="194" t="s">
        <v>867</v>
      </c>
    </row>
    <row r="499" spans="1:11" ht="58.15" customHeight="1" x14ac:dyDescent="0.25">
      <c r="A499" s="192">
        <v>498</v>
      </c>
      <c r="B499" s="205" t="s">
        <v>4075</v>
      </c>
      <c r="C499" s="193" t="s">
        <v>4076</v>
      </c>
      <c r="D499" s="202" t="s">
        <v>4077</v>
      </c>
      <c r="E499" s="203">
        <v>45657</v>
      </c>
      <c r="F499" s="196">
        <v>351700</v>
      </c>
      <c r="G499" s="192"/>
      <c r="H499" s="192"/>
      <c r="I499" s="194" t="s">
        <v>2248</v>
      </c>
      <c r="J499" s="193" t="s">
        <v>422</v>
      </c>
      <c r="K499" s="194" t="s">
        <v>3663</v>
      </c>
    </row>
    <row r="500" spans="1:11" ht="58.15" customHeight="1" x14ac:dyDescent="0.25">
      <c r="A500" s="192">
        <v>499</v>
      </c>
      <c r="B500" s="205" t="s">
        <v>4078</v>
      </c>
      <c r="C500" s="193" t="s">
        <v>4079</v>
      </c>
      <c r="D500" s="202" t="s">
        <v>4080</v>
      </c>
      <c r="E500" s="203">
        <v>45657</v>
      </c>
      <c r="F500" s="196">
        <v>212900</v>
      </c>
      <c r="G500" s="192"/>
      <c r="H500" s="192"/>
      <c r="I500" s="194" t="s">
        <v>2099</v>
      </c>
      <c r="J500" s="193" t="s">
        <v>422</v>
      </c>
      <c r="K500" s="194" t="e">
        <v>#N/A</v>
      </c>
    </row>
    <row r="501" spans="1:11" ht="58.15" customHeight="1" x14ac:dyDescent="0.25">
      <c r="A501" s="192">
        <v>500</v>
      </c>
      <c r="B501" s="205" t="s">
        <v>4081</v>
      </c>
      <c r="C501" s="193" t="s">
        <v>4082</v>
      </c>
      <c r="D501" s="202" t="s">
        <v>4083</v>
      </c>
      <c r="E501" s="203">
        <v>45657</v>
      </c>
      <c r="F501" s="196">
        <v>296200</v>
      </c>
      <c r="G501" s="192"/>
      <c r="H501" s="192"/>
      <c r="I501" s="194" t="s">
        <v>2199</v>
      </c>
      <c r="J501" s="193" t="s">
        <v>422</v>
      </c>
      <c r="K501" s="194" t="s">
        <v>3129</v>
      </c>
    </row>
    <row r="502" spans="1:11" ht="58.15" customHeight="1" x14ac:dyDescent="0.25">
      <c r="A502" s="192">
        <v>501</v>
      </c>
      <c r="B502" s="205" t="s">
        <v>4084</v>
      </c>
      <c r="C502" s="193" t="s">
        <v>4085</v>
      </c>
      <c r="D502" s="202" t="s">
        <v>4086</v>
      </c>
      <c r="E502" s="203">
        <v>45657</v>
      </c>
      <c r="F502" s="196">
        <v>610900</v>
      </c>
      <c r="G502" s="192"/>
      <c r="H502" s="192"/>
      <c r="I502" s="194" t="s">
        <v>4087</v>
      </c>
      <c r="J502" s="193" t="s">
        <v>422</v>
      </c>
      <c r="K502" s="194" t="s">
        <v>3799</v>
      </c>
    </row>
    <row r="503" spans="1:11" ht="58.15" customHeight="1" x14ac:dyDescent="0.25">
      <c r="A503" s="192">
        <v>502</v>
      </c>
      <c r="B503" s="205" t="s">
        <v>4088</v>
      </c>
      <c r="C503" s="193" t="s">
        <v>4089</v>
      </c>
      <c r="D503" s="202" t="s">
        <v>4090</v>
      </c>
      <c r="E503" s="203">
        <v>45657</v>
      </c>
      <c r="F503" s="196">
        <v>370200</v>
      </c>
      <c r="G503" s="192"/>
      <c r="H503" s="192"/>
      <c r="I503" s="194" t="s">
        <v>1641</v>
      </c>
      <c r="J503" s="193" t="s">
        <v>422</v>
      </c>
      <c r="K503" s="194" t="s">
        <v>422</v>
      </c>
    </row>
    <row r="504" spans="1:11" ht="58.15" customHeight="1" x14ac:dyDescent="0.25">
      <c r="A504" s="192">
        <v>503</v>
      </c>
      <c r="B504" s="205" t="s">
        <v>4091</v>
      </c>
      <c r="C504" s="193" t="s">
        <v>4092</v>
      </c>
      <c r="D504" s="202" t="s">
        <v>4093</v>
      </c>
      <c r="E504" s="203">
        <v>45657</v>
      </c>
      <c r="F504" s="196">
        <v>217500</v>
      </c>
      <c r="G504" s="192"/>
      <c r="H504" s="192"/>
      <c r="I504" s="194" t="s">
        <v>2099</v>
      </c>
      <c r="J504" s="193" t="s">
        <v>422</v>
      </c>
      <c r="K504" s="194" t="s">
        <v>4094</v>
      </c>
    </row>
    <row r="505" spans="1:11" ht="58.15" customHeight="1" x14ac:dyDescent="0.25">
      <c r="A505" s="192">
        <v>504</v>
      </c>
      <c r="B505" s="205" t="s">
        <v>4095</v>
      </c>
      <c r="C505" s="193" t="s">
        <v>4096</v>
      </c>
      <c r="D505" s="202" t="s">
        <v>4097</v>
      </c>
      <c r="E505" s="203">
        <v>45657</v>
      </c>
      <c r="F505" s="196">
        <v>485900</v>
      </c>
      <c r="G505" s="192"/>
      <c r="H505" s="192"/>
      <c r="I505" s="194"/>
      <c r="J505" s="193" t="s">
        <v>422</v>
      </c>
      <c r="K505" s="194"/>
    </row>
    <row r="506" spans="1:11" ht="58.15" customHeight="1" x14ac:dyDescent="0.25">
      <c r="A506" s="192">
        <v>505</v>
      </c>
      <c r="B506" s="205" t="s">
        <v>4098</v>
      </c>
      <c r="C506" s="193" t="s">
        <v>4099</v>
      </c>
      <c r="D506" s="202" t="s">
        <v>4100</v>
      </c>
      <c r="E506" s="203">
        <v>45657</v>
      </c>
      <c r="F506" s="196">
        <v>324000</v>
      </c>
      <c r="G506" s="192"/>
      <c r="H506" s="192"/>
      <c r="I506" s="194" t="s">
        <v>1776</v>
      </c>
      <c r="J506" s="193" t="s">
        <v>422</v>
      </c>
      <c r="K506" s="194" t="s">
        <v>867</v>
      </c>
    </row>
    <row r="507" spans="1:11" ht="58.15" customHeight="1" x14ac:dyDescent="0.25">
      <c r="A507" s="192">
        <v>506</v>
      </c>
      <c r="B507" s="205" t="s">
        <v>4101</v>
      </c>
      <c r="C507" s="193" t="s">
        <v>4102</v>
      </c>
      <c r="D507" s="202" t="s">
        <v>4103</v>
      </c>
      <c r="E507" s="203">
        <v>45657</v>
      </c>
      <c r="F507" s="196">
        <v>388800</v>
      </c>
      <c r="G507" s="192"/>
      <c r="H507" s="192"/>
      <c r="I507" s="194" t="s">
        <v>4104</v>
      </c>
      <c r="J507" s="193" t="s">
        <v>422</v>
      </c>
      <c r="K507" s="194" t="s">
        <v>867</v>
      </c>
    </row>
    <row r="508" spans="1:11" ht="58.15" customHeight="1" x14ac:dyDescent="0.25">
      <c r="A508" s="192">
        <v>507</v>
      </c>
      <c r="B508" s="205" t="s">
        <v>4105</v>
      </c>
      <c r="C508" s="193" t="s">
        <v>4106</v>
      </c>
      <c r="D508" s="202" t="s">
        <v>4107</v>
      </c>
      <c r="E508" s="203">
        <v>45657</v>
      </c>
      <c r="F508" s="196">
        <v>44600</v>
      </c>
      <c r="G508" s="192"/>
      <c r="H508" s="192"/>
      <c r="I508" s="194"/>
      <c r="J508" s="193" t="s">
        <v>422</v>
      </c>
      <c r="K508" s="194"/>
    </row>
    <row r="509" spans="1:11" ht="58.15" customHeight="1" x14ac:dyDescent="0.25">
      <c r="A509" s="192">
        <v>508</v>
      </c>
      <c r="B509" s="205" t="s">
        <v>4108</v>
      </c>
      <c r="C509" s="193"/>
      <c r="D509" s="202" t="s">
        <v>2692</v>
      </c>
      <c r="E509" s="203">
        <v>45657</v>
      </c>
      <c r="F509" s="196">
        <v>6616500</v>
      </c>
      <c r="G509" s="192"/>
      <c r="H509" s="192"/>
      <c r="I509" s="194" t="s">
        <v>2384</v>
      </c>
      <c r="J509" s="193" t="s">
        <v>422</v>
      </c>
      <c r="K509" s="194" t="s">
        <v>867</v>
      </c>
    </row>
    <row r="510" spans="1:11" ht="58.15" customHeight="1" x14ac:dyDescent="0.25">
      <c r="A510" s="192">
        <v>509</v>
      </c>
      <c r="B510" s="205" t="s">
        <v>4109</v>
      </c>
      <c r="C510" s="193" t="s">
        <v>4110</v>
      </c>
      <c r="D510" s="202" t="s">
        <v>4111</v>
      </c>
      <c r="E510" s="203">
        <v>45657</v>
      </c>
      <c r="F510" s="196">
        <v>615400</v>
      </c>
      <c r="G510" s="192"/>
      <c r="H510" s="192"/>
      <c r="I510" s="194" t="s">
        <v>2248</v>
      </c>
      <c r="J510" s="193" t="s">
        <v>422</v>
      </c>
      <c r="K510" s="194" t="s">
        <v>867</v>
      </c>
    </row>
    <row r="511" spans="1:11" ht="58.15" customHeight="1" x14ac:dyDescent="0.25">
      <c r="A511" s="192">
        <v>510</v>
      </c>
      <c r="B511" s="205" t="s">
        <v>4112</v>
      </c>
      <c r="C511" s="193" t="s">
        <v>4113</v>
      </c>
      <c r="D511" s="202" t="s">
        <v>4114</v>
      </c>
      <c r="E511" s="203">
        <v>45657</v>
      </c>
      <c r="F511" s="196">
        <v>427300</v>
      </c>
      <c r="G511" s="192"/>
      <c r="H511" s="192"/>
      <c r="I511" s="194" t="s">
        <v>4115</v>
      </c>
      <c r="J511" s="193" t="s">
        <v>422</v>
      </c>
      <c r="K511" s="194"/>
    </row>
    <row r="512" spans="1:11" ht="58.15" customHeight="1" x14ac:dyDescent="0.25">
      <c r="A512" s="192">
        <v>511</v>
      </c>
      <c r="B512" s="205" t="s">
        <v>4118</v>
      </c>
      <c r="C512" s="193" t="s">
        <v>4119</v>
      </c>
      <c r="D512" s="202" t="s">
        <v>4120</v>
      </c>
      <c r="E512" s="203">
        <v>45657</v>
      </c>
      <c r="F512" s="196">
        <v>508000</v>
      </c>
      <c r="G512" s="192"/>
      <c r="H512" s="192"/>
      <c r="I512" s="194" t="s">
        <v>4117</v>
      </c>
      <c r="J512" s="193" t="s">
        <v>4116</v>
      </c>
      <c r="K512" s="194" t="s">
        <v>4116</v>
      </c>
    </row>
    <row r="513" spans="1:11" ht="58.15" customHeight="1" x14ac:dyDescent="0.25">
      <c r="A513" s="192">
        <v>512</v>
      </c>
      <c r="B513" s="205" t="s">
        <v>4122</v>
      </c>
      <c r="C513" s="193" t="s">
        <v>4123</v>
      </c>
      <c r="D513" s="202" t="s">
        <v>4124</v>
      </c>
      <c r="E513" s="203">
        <v>45657</v>
      </c>
      <c r="F513" s="196">
        <v>295500</v>
      </c>
      <c r="G513" s="192"/>
      <c r="H513" s="192"/>
      <c r="I513" s="194" t="s">
        <v>4121</v>
      </c>
      <c r="J513" s="193" t="s">
        <v>4116</v>
      </c>
      <c r="K513" s="194" t="s">
        <v>4116</v>
      </c>
    </row>
    <row r="514" spans="1:11" ht="58.15" customHeight="1" x14ac:dyDescent="0.35">
      <c r="A514" s="192">
        <v>513</v>
      </c>
      <c r="B514" s="205" t="s">
        <v>4126</v>
      </c>
      <c r="C514" s="193" t="s">
        <v>4127</v>
      </c>
      <c r="D514" s="202" t="s">
        <v>4128</v>
      </c>
      <c r="E514" s="203">
        <v>45657</v>
      </c>
      <c r="F514" s="208">
        <v>610900</v>
      </c>
      <c r="G514" s="192"/>
      <c r="H514" s="209"/>
      <c r="I514" s="194" t="s">
        <v>4125</v>
      </c>
      <c r="J514" s="193" t="s">
        <v>2696</v>
      </c>
      <c r="K514" s="194"/>
    </row>
    <row r="515" spans="1:11" ht="58.15" customHeight="1" x14ac:dyDescent="0.35">
      <c r="A515" s="192">
        <v>514</v>
      </c>
      <c r="B515" s="205" t="s">
        <v>4129</v>
      </c>
      <c r="C515" s="193" t="s">
        <v>4130</v>
      </c>
      <c r="D515" s="202" t="s">
        <v>4131</v>
      </c>
      <c r="E515" s="203">
        <v>45657</v>
      </c>
      <c r="F515" s="208">
        <f>240700/2</f>
        <v>120350</v>
      </c>
      <c r="G515" s="192"/>
      <c r="H515" s="209"/>
      <c r="I515" s="194" t="s">
        <v>4125</v>
      </c>
      <c r="J515" s="193" t="s">
        <v>2696</v>
      </c>
      <c r="K515" s="194"/>
    </row>
    <row r="516" spans="1:11" ht="58.15" customHeight="1" x14ac:dyDescent="0.35">
      <c r="A516" s="192">
        <v>515</v>
      </c>
      <c r="B516" s="205" t="s">
        <v>4129</v>
      </c>
      <c r="C516" s="193" t="s">
        <v>4130</v>
      </c>
      <c r="D516" s="202" t="s">
        <v>4132</v>
      </c>
      <c r="E516" s="203">
        <v>45657</v>
      </c>
      <c r="F516" s="208">
        <f>240700/2</f>
        <v>120350</v>
      </c>
      <c r="G516" s="192"/>
      <c r="H516" s="209"/>
      <c r="I516" s="194" t="s">
        <v>4125</v>
      </c>
      <c r="J516" s="193" t="s">
        <v>2696</v>
      </c>
      <c r="K516" s="194"/>
    </row>
    <row r="517" spans="1:11" ht="58.15" customHeight="1" x14ac:dyDescent="0.35">
      <c r="A517" s="192">
        <v>516</v>
      </c>
      <c r="B517" s="205" t="s">
        <v>4133</v>
      </c>
      <c r="C517" s="193" t="s">
        <v>4134</v>
      </c>
      <c r="D517" s="202" t="s">
        <v>4135</v>
      </c>
      <c r="E517" s="203">
        <v>45657</v>
      </c>
      <c r="F517" s="208">
        <v>112200</v>
      </c>
      <c r="G517" s="192"/>
      <c r="H517" s="209"/>
      <c r="I517" s="194" t="s">
        <v>4125</v>
      </c>
      <c r="J517" s="193" t="s">
        <v>2696</v>
      </c>
      <c r="K517" s="194"/>
    </row>
    <row r="518" spans="1:11" ht="58.15" customHeight="1" x14ac:dyDescent="0.35">
      <c r="A518" s="192">
        <v>517</v>
      </c>
      <c r="B518" s="205" t="s">
        <v>4136</v>
      </c>
      <c r="C518" s="193" t="s">
        <v>4137</v>
      </c>
      <c r="D518" s="202" t="s">
        <v>4138</v>
      </c>
      <c r="E518" s="203">
        <v>45657</v>
      </c>
      <c r="F518" s="208">
        <v>312300</v>
      </c>
      <c r="G518" s="192"/>
      <c r="H518" s="209"/>
      <c r="I518" s="194" t="s">
        <v>4125</v>
      </c>
      <c r="J518" s="193" t="s">
        <v>2696</v>
      </c>
      <c r="K518" s="194"/>
    </row>
    <row r="519" spans="1:11" ht="58.15" customHeight="1" x14ac:dyDescent="0.35">
      <c r="A519" s="192">
        <v>518</v>
      </c>
      <c r="B519" s="205" t="s">
        <v>4139</v>
      </c>
      <c r="C519" s="193" t="s">
        <v>4140</v>
      </c>
      <c r="D519" s="202" t="s">
        <v>4141</v>
      </c>
      <c r="E519" s="203">
        <v>45657</v>
      </c>
      <c r="F519" s="208">
        <v>194200</v>
      </c>
      <c r="G519" s="192"/>
      <c r="H519" s="209"/>
      <c r="I519" s="194" t="s">
        <v>4125</v>
      </c>
      <c r="J519" s="193" t="s">
        <v>2696</v>
      </c>
      <c r="K519" s="194"/>
    </row>
    <row r="520" spans="1:11" ht="58.15" customHeight="1" x14ac:dyDescent="0.35">
      <c r="A520" s="192">
        <v>519</v>
      </c>
      <c r="B520" s="205" t="s">
        <v>4142</v>
      </c>
      <c r="C520" s="193" t="s">
        <v>4143</v>
      </c>
      <c r="D520" s="202" t="s">
        <v>4144</v>
      </c>
      <c r="E520" s="203">
        <v>45657</v>
      </c>
      <c r="F520" s="208">
        <v>58000</v>
      </c>
      <c r="G520" s="192"/>
      <c r="H520" s="209"/>
      <c r="I520" s="194" t="s">
        <v>4125</v>
      </c>
      <c r="J520" s="193" t="s">
        <v>2696</v>
      </c>
      <c r="K520" s="194"/>
    </row>
    <row r="521" spans="1:11" ht="58.15" customHeight="1" x14ac:dyDescent="0.35">
      <c r="A521" s="192">
        <v>520</v>
      </c>
      <c r="B521" s="205" t="s">
        <v>4145</v>
      </c>
      <c r="C521" s="193" t="s">
        <v>4146</v>
      </c>
      <c r="D521" s="202" t="s">
        <v>4147</v>
      </c>
      <c r="E521" s="203">
        <v>45657</v>
      </c>
      <c r="F521" s="208">
        <v>137000</v>
      </c>
      <c r="G521" s="192"/>
      <c r="H521" s="209"/>
      <c r="I521" s="194" t="s">
        <v>4148</v>
      </c>
      <c r="J521" s="193" t="s">
        <v>2696</v>
      </c>
      <c r="K521" s="194" t="s">
        <v>2701</v>
      </c>
    </row>
    <row r="522" spans="1:11" ht="58.15" customHeight="1" x14ac:dyDescent="0.35">
      <c r="A522" s="192">
        <v>521</v>
      </c>
      <c r="B522" s="205" t="s">
        <v>4149</v>
      </c>
      <c r="C522" s="193" t="s">
        <v>4150</v>
      </c>
      <c r="D522" s="202" t="s">
        <v>4151</v>
      </c>
      <c r="E522" s="203">
        <v>45657</v>
      </c>
      <c r="F522" s="208">
        <v>27400</v>
      </c>
      <c r="G522" s="192"/>
      <c r="H522" s="209"/>
      <c r="I522" s="194" t="s">
        <v>4152</v>
      </c>
      <c r="J522" s="193" t="s">
        <v>2696</v>
      </c>
      <c r="K522" s="194" t="s">
        <v>1266</v>
      </c>
    </row>
    <row r="523" spans="1:11" ht="58.15" customHeight="1" x14ac:dyDescent="0.35">
      <c r="A523" s="192">
        <v>522</v>
      </c>
      <c r="B523" s="205" t="s">
        <v>4154</v>
      </c>
      <c r="C523" s="193" t="s">
        <v>4155</v>
      </c>
      <c r="D523" s="202" t="s">
        <v>4156</v>
      </c>
      <c r="E523" s="203">
        <v>45657</v>
      </c>
      <c r="F523" s="208">
        <f>140100/2</f>
        <v>70050</v>
      </c>
      <c r="G523" s="192"/>
      <c r="H523" s="209"/>
      <c r="I523" s="194" t="s">
        <v>4157</v>
      </c>
      <c r="J523" s="193" t="s">
        <v>2696</v>
      </c>
      <c r="K523" s="194" t="s">
        <v>4158</v>
      </c>
    </row>
    <row r="524" spans="1:11" ht="58.15" customHeight="1" x14ac:dyDescent="0.35">
      <c r="A524" s="192">
        <v>523</v>
      </c>
      <c r="B524" s="205" t="s">
        <v>4154</v>
      </c>
      <c r="C524" s="193" t="s">
        <v>4155</v>
      </c>
      <c r="D524" s="202" t="s">
        <v>4159</v>
      </c>
      <c r="E524" s="203">
        <v>45657</v>
      </c>
      <c r="F524" s="208">
        <f>140100/2</f>
        <v>70050</v>
      </c>
      <c r="G524" s="192"/>
      <c r="H524" s="209"/>
      <c r="I524" s="194" t="s">
        <v>4157</v>
      </c>
      <c r="J524" s="193" t="s">
        <v>2696</v>
      </c>
      <c r="K524" s="194" t="s">
        <v>4158</v>
      </c>
    </row>
    <row r="525" spans="1:11" ht="58.15" customHeight="1" x14ac:dyDescent="0.35">
      <c r="A525" s="192">
        <v>524</v>
      </c>
      <c r="B525" s="205" t="s">
        <v>4160</v>
      </c>
      <c r="C525" s="193" t="s">
        <v>4161</v>
      </c>
      <c r="D525" s="202" t="s">
        <v>4162</v>
      </c>
      <c r="E525" s="203">
        <v>45657</v>
      </c>
      <c r="F525" s="208">
        <v>31600</v>
      </c>
      <c r="G525" s="192"/>
      <c r="H525" s="209"/>
      <c r="I525" s="194" t="s">
        <v>4163</v>
      </c>
      <c r="J525" s="193" t="s">
        <v>2696</v>
      </c>
      <c r="K525" s="194" t="s">
        <v>4153</v>
      </c>
    </row>
    <row r="526" spans="1:11" ht="58.15" customHeight="1" x14ac:dyDescent="0.35">
      <c r="A526" s="192">
        <v>525</v>
      </c>
      <c r="B526" s="205" t="s">
        <v>4164</v>
      </c>
      <c r="C526" s="193" t="s">
        <v>4165</v>
      </c>
      <c r="D526" s="202" t="s">
        <v>4166</v>
      </c>
      <c r="E526" s="203">
        <v>45657</v>
      </c>
      <c r="F526" s="208">
        <v>31600</v>
      </c>
      <c r="G526" s="192"/>
      <c r="H526" s="209"/>
      <c r="I526" s="194" t="s">
        <v>4167</v>
      </c>
      <c r="J526" s="193" t="s">
        <v>2696</v>
      </c>
      <c r="K526" s="194" t="s">
        <v>4168</v>
      </c>
    </row>
    <row r="527" spans="1:11" ht="58.15" customHeight="1" x14ac:dyDescent="0.35">
      <c r="A527" s="192">
        <v>526</v>
      </c>
      <c r="B527" s="205" t="s">
        <v>4169</v>
      </c>
      <c r="C527" s="193" t="s">
        <v>4170</v>
      </c>
      <c r="D527" s="202" t="s">
        <v>4171</v>
      </c>
      <c r="E527" s="203">
        <v>45657</v>
      </c>
      <c r="F527" s="208">
        <f>210700/2</f>
        <v>105350</v>
      </c>
      <c r="G527" s="192"/>
      <c r="H527" s="209"/>
      <c r="I527" s="194" t="s">
        <v>2914</v>
      </c>
      <c r="J527" s="193" t="s">
        <v>2696</v>
      </c>
      <c r="K527" s="194" t="s">
        <v>2915</v>
      </c>
    </row>
    <row r="528" spans="1:11" ht="58.15" customHeight="1" x14ac:dyDescent="0.35">
      <c r="A528" s="192">
        <v>527</v>
      </c>
      <c r="B528" s="205" t="s">
        <v>4169</v>
      </c>
      <c r="C528" s="193" t="s">
        <v>4170</v>
      </c>
      <c r="D528" s="202" t="s">
        <v>4172</v>
      </c>
      <c r="E528" s="203">
        <v>45657</v>
      </c>
      <c r="F528" s="208">
        <f>210700/2</f>
        <v>105350</v>
      </c>
      <c r="G528" s="192"/>
      <c r="H528" s="209"/>
      <c r="I528" s="194" t="s">
        <v>2914</v>
      </c>
      <c r="J528" s="193" t="s">
        <v>2696</v>
      </c>
      <c r="K528" s="194" t="s">
        <v>2915</v>
      </c>
    </row>
    <row r="529" spans="1:11" ht="58.15" customHeight="1" x14ac:dyDescent="0.35">
      <c r="A529" s="192">
        <v>528</v>
      </c>
      <c r="B529" s="205" t="s">
        <v>4173</v>
      </c>
      <c r="C529" s="193" t="s">
        <v>4174</v>
      </c>
      <c r="D529" s="202" t="s">
        <v>4175</v>
      </c>
      <c r="E529" s="203">
        <v>45657</v>
      </c>
      <c r="F529" s="208">
        <f>1177900/2</f>
        <v>588950</v>
      </c>
      <c r="G529" s="192"/>
      <c r="H529" s="209"/>
      <c r="I529" s="194" t="s">
        <v>4176</v>
      </c>
      <c r="J529" s="193" t="s">
        <v>2696</v>
      </c>
      <c r="K529" s="194" t="s">
        <v>4177</v>
      </c>
    </row>
    <row r="530" spans="1:11" ht="58.15" customHeight="1" x14ac:dyDescent="0.35">
      <c r="A530" s="192">
        <v>529</v>
      </c>
      <c r="B530" s="205" t="s">
        <v>4173</v>
      </c>
      <c r="C530" s="193" t="s">
        <v>4174</v>
      </c>
      <c r="D530" s="202" t="s">
        <v>4178</v>
      </c>
      <c r="E530" s="203">
        <v>45657</v>
      </c>
      <c r="F530" s="208">
        <f>1177900/2</f>
        <v>588950</v>
      </c>
      <c r="G530" s="192"/>
      <c r="H530" s="209"/>
      <c r="I530" s="194" t="s">
        <v>4176</v>
      </c>
      <c r="J530" s="193" t="s">
        <v>2696</v>
      </c>
      <c r="K530" s="194" t="s">
        <v>4177</v>
      </c>
    </row>
    <row r="531" spans="1:11" ht="58.15" customHeight="1" x14ac:dyDescent="0.35">
      <c r="A531" s="192">
        <v>530</v>
      </c>
      <c r="B531" s="205" t="s">
        <v>4179</v>
      </c>
      <c r="C531" s="193" t="s">
        <v>4180</v>
      </c>
      <c r="D531" s="202" t="s">
        <v>4181</v>
      </c>
      <c r="E531" s="203">
        <v>45657</v>
      </c>
      <c r="F531" s="208">
        <v>437200</v>
      </c>
      <c r="G531" s="192"/>
      <c r="H531" s="209"/>
      <c r="I531" s="194" t="s">
        <v>4182</v>
      </c>
      <c r="J531" s="193" t="s">
        <v>2696</v>
      </c>
      <c r="K531" s="194" t="s">
        <v>4183</v>
      </c>
    </row>
    <row r="532" spans="1:11" ht="58.15" customHeight="1" x14ac:dyDescent="0.35">
      <c r="A532" s="192">
        <v>531</v>
      </c>
      <c r="B532" s="205" t="s">
        <v>4184</v>
      </c>
      <c r="C532" s="193" t="s">
        <v>4185</v>
      </c>
      <c r="D532" s="202" t="s">
        <v>4186</v>
      </c>
      <c r="E532" s="203">
        <v>45657</v>
      </c>
      <c r="F532" s="208">
        <v>158000</v>
      </c>
      <c r="G532" s="192"/>
      <c r="H532" s="209"/>
      <c r="I532" s="194" t="s">
        <v>4187</v>
      </c>
      <c r="J532" s="193" t="s">
        <v>2696</v>
      </c>
      <c r="K532" s="194" t="s">
        <v>4188</v>
      </c>
    </row>
    <row r="533" spans="1:11" ht="58.15" customHeight="1" x14ac:dyDescent="0.35">
      <c r="A533" s="192">
        <v>532</v>
      </c>
      <c r="B533" s="205" t="s">
        <v>4189</v>
      </c>
      <c r="C533" s="193" t="s">
        <v>4190</v>
      </c>
      <c r="D533" s="202" t="s">
        <v>4191</v>
      </c>
      <c r="E533" s="203">
        <v>45657</v>
      </c>
      <c r="F533" s="208">
        <v>474100</v>
      </c>
      <c r="G533" s="192"/>
      <c r="H533" s="209"/>
      <c r="I533" s="194" t="s">
        <v>4192</v>
      </c>
      <c r="J533" s="193" t="s">
        <v>2696</v>
      </c>
      <c r="K533" s="194" t="s">
        <v>4193</v>
      </c>
    </row>
    <row r="534" spans="1:11" ht="58.15" customHeight="1" x14ac:dyDescent="0.35">
      <c r="A534" s="192">
        <v>533</v>
      </c>
      <c r="B534" s="205" t="s">
        <v>4194</v>
      </c>
      <c r="C534" s="193" t="s">
        <v>4195</v>
      </c>
      <c r="D534" s="202" t="s">
        <v>4196</v>
      </c>
      <c r="E534" s="203">
        <v>45657</v>
      </c>
      <c r="F534" s="208">
        <v>105400</v>
      </c>
      <c r="G534" s="192"/>
      <c r="H534" s="209"/>
      <c r="I534" s="194" t="s">
        <v>4152</v>
      </c>
      <c r="J534" s="193" t="s">
        <v>2696</v>
      </c>
      <c r="K534" s="194" t="s">
        <v>1266</v>
      </c>
    </row>
    <row r="535" spans="1:11" ht="58.15" customHeight="1" x14ac:dyDescent="0.35">
      <c r="A535" s="192">
        <v>534</v>
      </c>
      <c r="B535" s="205" t="s">
        <v>4197</v>
      </c>
      <c r="C535" s="193" t="s">
        <v>4198</v>
      </c>
      <c r="D535" s="202" t="s">
        <v>4199</v>
      </c>
      <c r="E535" s="203">
        <v>45657</v>
      </c>
      <c r="F535" s="208">
        <v>432000</v>
      </c>
      <c r="G535" s="192"/>
      <c r="H535" s="209"/>
      <c r="I535" s="194" t="s">
        <v>4200</v>
      </c>
      <c r="J535" s="193" t="s">
        <v>2696</v>
      </c>
      <c r="K535" s="194" t="s">
        <v>4153</v>
      </c>
    </row>
    <row r="536" spans="1:11" ht="58.15" customHeight="1" x14ac:dyDescent="0.35">
      <c r="A536" s="192">
        <v>535</v>
      </c>
      <c r="B536" s="205" t="s">
        <v>4201</v>
      </c>
      <c r="C536" s="193" t="s">
        <v>4202</v>
      </c>
      <c r="D536" s="202" t="s">
        <v>4203</v>
      </c>
      <c r="E536" s="203">
        <v>45657</v>
      </c>
      <c r="F536" s="208">
        <f>27600/2</f>
        <v>13800</v>
      </c>
      <c r="G536" s="192"/>
      <c r="H536" s="209"/>
      <c r="I536" s="194" t="s">
        <v>4204</v>
      </c>
      <c r="J536" s="193" t="s">
        <v>2696</v>
      </c>
      <c r="K536" s="194" t="s">
        <v>4205</v>
      </c>
    </row>
    <row r="537" spans="1:11" ht="58.15" customHeight="1" x14ac:dyDescent="0.35">
      <c r="A537" s="192">
        <v>536</v>
      </c>
      <c r="B537" s="205" t="s">
        <v>4201</v>
      </c>
      <c r="C537" s="193" t="s">
        <v>4202</v>
      </c>
      <c r="D537" s="202" t="s">
        <v>4206</v>
      </c>
      <c r="E537" s="203">
        <v>45657</v>
      </c>
      <c r="F537" s="208">
        <f>27600/2</f>
        <v>13800</v>
      </c>
      <c r="G537" s="192"/>
      <c r="H537" s="209"/>
      <c r="I537" s="194" t="s">
        <v>4204</v>
      </c>
      <c r="J537" s="193" t="s">
        <v>2696</v>
      </c>
      <c r="K537" s="194" t="s">
        <v>4205</v>
      </c>
    </row>
    <row r="538" spans="1:11" ht="58.15" customHeight="1" x14ac:dyDescent="0.35">
      <c r="A538" s="192">
        <v>537</v>
      </c>
      <c r="B538" s="205" t="s">
        <v>4207</v>
      </c>
      <c r="C538" s="193" t="s">
        <v>4208</v>
      </c>
      <c r="D538" s="202" t="s">
        <v>4209</v>
      </c>
      <c r="E538" s="203">
        <v>45657</v>
      </c>
      <c r="F538" s="208">
        <v>295000</v>
      </c>
      <c r="G538" s="192"/>
      <c r="H538" s="209"/>
      <c r="I538" s="194" t="s">
        <v>2914</v>
      </c>
      <c r="J538" s="193" t="s">
        <v>2696</v>
      </c>
      <c r="K538" s="194" t="s">
        <v>2915</v>
      </c>
    </row>
    <row r="539" spans="1:11" ht="58.15" customHeight="1" x14ac:dyDescent="0.35">
      <c r="A539" s="192">
        <v>538</v>
      </c>
      <c r="B539" s="205" t="s">
        <v>4210</v>
      </c>
      <c r="C539" s="193" t="s">
        <v>4211</v>
      </c>
      <c r="D539" s="202" t="s">
        <v>4212</v>
      </c>
      <c r="E539" s="203">
        <v>45657</v>
      </c>
      <c r="F539" s="208">
        <v>547900</v>
      </c>
      <c r="G539" s="192"/>
      <c r="H539" s="209"/>
      <c r="I539" s="194" t="s">
        <v>4213</v>
      </c>
      <c r="J539" s="193" t="s">
        <v>2696</v>
      </c>
      <c r="K539" s="194" t="s">
        <v>4153</v>
      </c>
    </row>
    <row r="540" spans="1:11" ht="58.15" customHeight="1" x14ac:dyDescent="0.35">
      <c r="A540" s="192">
        <v>539</v>
      </c>
      <c r="B540" s="205" t="s">
        <v>4215</v>
      </c>
      <c r="C540" s="193" t="s">
        <v>4216</v>
      </c>
      <c r="D540" s="202" t="s">
        <v>4217</v>
      </c>
      <c r="E540" s="203">
        <v>45657</v>
      </c>
      <c r="F540" s="208">
        <v>172800</v>
      </c>
      <c r="G540" s="192"/>
      <c r="H540" s="209"/>
      <c r="I540" s="194" t="s">
        <v>4218</v>
      </c>
      <c r="J540" s="193" t="s">
        <v>2696</v>
      </c>
      <c r="K540" s="194" t="s">
        <v>4153</v>
      </c>
    </row>
    <row r="541" spans="1:11" ht="58.15" customHeight="1" x14ac:dyDescent="0.35">
      <c r="A541" s="192">
        <v>540</v>
      </c>
      <c r="B541" s="205" t="s">
        <v>4219</v>
      </c>
      <c r="C541" s="193" t="s">
        <v>4220</v>
      </c>
      <c r="D541" s="202" t="s">
        <v>4221</v>
      </c>
      <c r="E541" s="203">
        <v>45657</v>
      </c>
      <c r="F541" s="208">
        <v>158000</v>
      </c>
      <c r="G541" s="192"/>
      <c r="H541" s="209"/>
      <c r="I541" s="194" t="s">
        <v>4222</v>
      </c>
      <c r="J541" s="193" t="s">
        <v>2696</v>
      </c>
      <c r="K541" s="194" t="s">
        <v>3360</v>
      </c>
    </row>
    <row r="542" spans="1:11" ht="58.15" customHeight="1" x14ac:dyDescent="0.35">
      <c r="A542" s="192">
        <v>541</v>
      </c>
      <c r="B542" s="205" t="s">
        <v>4223</v>
      </c>
      <c r="C542" s="193" t="s">
        <v>4224</v>
      </c>
      <c r="D542" s="202" t="s">
        <v>4225</v>
      </c>
      <c r="E542" s="203">
        <v>45657</v>
      </c>
      <c r="F542" s="208">
        <v>155400</v>
      </c>
      <c r="G542" s="192"/>
      <c r="H542" s="209"/>
      <c r="I542" s="194" t="s">
        <v>4226</v>
      </c>
      <c r="J542" s="193" t="s">
        <v>2696</v>
      </c>
      <c r="K542" s="194" t="s">
        <v>4227</v>
      </c>
    </row>
    <row r="543" spans="1:11" ht="58.15" customHeight="1" x14ac:dyDescent="0.35">
      <c r="A543" s="192">
        <v>542</v>
      </c>
      <c r="B543" s="205" t="s">
        <v>4228</v>
      </c>
      <c r="C543" s="193" t="s">
        <v>4229</v>
      </c>
      <c r="D543" s="202" t="s">
        <v>4230</v>
      </c>
      <c r="E543" s="203">
        <v>45657</v>
      </c>
      <c r="F543" s="208">
        <v>252900</v>
      </c>
      <c r="G543" s="192"/>
      <c r="H543" s="209"/>
      <c r="I543" s="194" t="s">
        <v>4231</v>
      </c>
      <c r="J543" s="193" t="s">
        <v>2696</v>
      </c>
      <c r="K543" s="194" t="s">
        <v>4232</v>
      </c>
    </row>
    <row r="544" spans="1:11" ht="58.15" customHeight="1" x14ac:dyDescent="0.35">
      <c r="A544" s="192">
        <v>543</v>
      </c>
      <c r="B544" s="205" t="s">
        <v>4235</v>
      </c>
      <c r="C544" s="193" t="s">
        <v>4236</v>
      </c>
      <c r="D544" s="202" t="s">
        <v>4237</v>
      </c>
      <c r="E544" s="203">
        <v>45657</v>
      </c>
      <c r="F544" s="208">
        <v>410900</v>
      </c>
      <c r="G544" s="192"/>
      <c r="H544" s="209"/>
      <c r="I544" s="194" t="s">
        <v>4238</v>
      </c>
      <c r="J544" s="193" t="s">
        <v>2696</v>
      </c>
      <c r="K544" s="194" t="s">
        <v>1235</v>
      </c>
    </row>
    <row r="545" spans="1:11" ht="58.15" customHeight="1" x14ac:dyDescent="0.35">
      <c r="A545" s="192">
        <v>544</v>
      </c>
      <c r="B545" s="205" t="s">
        <v>4239</v>
      </c>
      <c r="C545" s="193" t="s">
        <v>4240</v>
      </c>
      <c r="D545" s="202" t="s">
        <v>4241</v>
      </c>
      <c r="E545" s="203">
        <v>45657</v>
      </c>
      <c r="F545" s="208">
        <v>474100</v>
      </c>
      <c r="G545" s="192"/>
      <c r="H545" s="209"/>
      <c r="I545" s="194"/>
      <c r="J545" s="193" t="s">
        <v>2696</v>
      </c>
      <c r="K545" s="194"/>
    </row>
    <row r="546" spans="1:11" ht="58.15" customHeight="1" x14ac:dyDescent="0.35">
      <c r="A546" s="192">
        <v>545</v>
      </c>
      <c r="B546" s="205" t="s">
        <v>4242</v>
      </c>
      <c r="C546" s="193" t="s">
        <v>4243</v>
      </c>
      <c r="D546" s="202" t="s">
        <v>4244</v>
      </c>
      <c r="E546" s="203">
        <v>45657</v>
      </c>
      <c r="F546" s="208">
        <v>202800</v>
      </c>
      <c r="G546" s="192"/>
      <c r="H546" s="209"/>
      <c r="I546" s="194" t="s">
        <v>4157</v>
      </c>
      <c r="J546" s="193" t="s">
        <v>2696</v>
      </c>
      <c r="K546" s="194" t="s">
        <v>4158</v>
      </c>
    </row>
    <row r="547" spans="1:11" ht="58.15" customHeight="1" x14ac:dyDescent="0.35">
      <c r="A547" s="192">
        <v>546</v>
      </c>
      <c r="B547" s="205" t="s">
        <v>4245</v>
      </c>
      <c r="C547" s="193" t="s">
        <v>4246</v>
      </c>
      <c r="D547" s="202" t="s">
        <v>4247</v>
      </c>
      <c r="E547" s="203">
        <v>45657</v>
      </c>
      <c r="F547" s="208">
        <v>52700</v>
      </c>
      <c r="G547" s="192"/>
      <c r="H547" s="209"/>
      <c r="I547" s="194" t="s">
        <v>4248</v>
      </c>
      <c r="J547" s="193" t="s">
        <v>2696</v>
      </c>
      <c r="K547" s="194" t="s">
        <v>4249</v>
      </c>
    </row>
    <row r="548" spans="1:11" ht="58.15" customHeight="1" x14ac:dyDescent="0.35">
      <c r="A548" s="192">
        <v>547</v>
      </c>
      <c r="B548" s="205" t="s">
        <v>4250</v>
      </c>
      <c r="C548" s="193" t="s">
        <v>4251</v>
      </c>
      <c r="D548" s="202" t="s">
        <v>4252</v>
      </c>
      <c r="E548" s="203">
        <v>45657</v>
      </c>
      <c r="F548" s="208">
        <v>17900</v>
      </c>
      <c r="G548" s="192"/>
      <c r="H548" s="209"/>
      <c r="I548" s="194" t="s">
        <v>4253</v>
      </c>
      <c r="J548" s="193" t="s">
        <v>2696</v>
      </c>
      <c r="K548" s="194" t="s">
        <v>2700</v>
      </c>
    </row>
    <row r="549" spans="1:11" ht="58.15" customHeight="1" x14ac:dyDescent="0.35">
      <c r="A549" s="192">
        <v>548</v>
      </c>
      <c r="B549" s="205" t="s">
        <v>4254</v>
      </c>
      <c r="C549" s="193" t="s">
        <v>4255</v>
      </c>
      <c r="D549" s="202" t="s">
        <v>4256</v>
      </c>
      <c r="E549" s="203">
        <v>45657</v>
      </c>
      <c r="F549" s="208">
        <v>221300</v>
      </c>
      <c r="G549" s="192"/>
      <c r="H549" s="209"/>
      <c r="I549" s="194" t="s">
        <v>4204</v>
      </c>
      <c r="J549" s="193" t="s">
        <v>2696</v>
      </c>
      <c r="K549" s="194" t="s">
        <v>2701</v>
      </c>
    </row>
    <row r="550" spans="1:11" ht="58.15" customHeight="1" x14ac:dyDescent="0.35">
      <c r="A550" s="192">
        <v>549</v>
      </c>
      <c r="B550" s="205" t="s">
        <v>4257</v>
      </c>
      <c r="C550" s="193" t="s">
        <v>4258</v>
      </c>
      <c r="D550" s="202" t="s">
        <v>4259</v>
      </c>
      <c r="E550" s="203">
        <v>45657</v>
      </c>
      <c r="F550" s="208">
        <v>79000</v>
      </c>
      <c r="G550" s="192"/>
      <c r="H550" s="209"/>
      <c r="I550" s="194" t="s">
        <v>4231</v>
      </c>
      <c r="J550" s="193" t="s">
        <v>2696</v>
      </c>
      <c r="K550" s="194" t="s">
        <v>4232</v>
      </c>
    </row>
    <row r="551" spans="1:11" ht="58.15" customHeight="1" x14ac:dyDescent="0.35">
      <c r="A551" s="192">
        <v>550</v>
      </c>
      <c r="B551" s="205" t="s">
        <v>4260</v>
      </c>
      <c r="C551" s="193" t="s">
        <v>4261</v>
      </c>
      <c r="D551" s="202" t="s">
        <v>4262</v>
      </c>
      <c r="E551" s="203">
        <v>45657</v>
      </c>
      <c r="F551" s="208">
        <v>89600</v>
      </c>
      <c r="G551" s="192"/>
      <c r="H551" s="209"/>
      <c r="I551" s="194" t="s">
        <v>4231</v>
      </c>
      <c r="J551" s="193" t="s">
        <v>2696</v>
      </c>
      <c r="K551" s="194" t="s">
        <v>4232</v>
      </c>
    </row>
    <row r="552" spans="1:11" ht="58.15" customHeight="1" x14ac:dyDescent="0.35">
      <c r="A552" s="192">
        <v>551</v>
      </c>
      <c r="B552" s="205" t="s">
        <v>4263</v>
      </c>
      <c r="C552" s="193" t="s">
        <v>4264</v>
      </c>
      <c r="D552" s="202" t="s">
        <v>4265</v>
      </c>
      <c r="E552" s="203">
        <v>45657</v>
      </c>
      <c r="F552" s="208">
        <v>458900</v>
      </c>
      <c r="G552" s="192"/>
      <c r="H552" s="209"/>
      <c r="I552" s="194" t="s">
        <v>4266</v>
      </c>
      <c r="J552" s="193" t="s">
        <v>2696</v>
      </c>
      <c r="K552" s="194" t="s">
        <v>4168</v>
      </c>
    </row>
    <row r="553" spans="1:11" ht="58.15" customHeight="1" x14ac:dyDescent="0.35">
      <c r="A553" s="192">
        <v>552</v>
      </c>
      <c r="B553" s="205" t="s">
        <v>4267</v>
      </c>
      <c r="C553" s="193" t="s">
        <v>4268</v>
      </c>
      <c r="D553" s="202" t="s">
        <v>4269</v>
      </c>
      <c r="E553" s="203">
        <v>45657</v>
      </c>
      <c r="F553" s="208">
        <v>44800</v>
      </c>
      <c r="G553" s="192"/>
      <c r="H553" s="209"/>
      <c r="I553" s="194" t="s">
        <v>4204</v>
      </c>
      <c r="J553" s="193" t="s">
        <v>2696</v>
      </c>
      <c r="K553" s="194" t="s">
        <v>2701</v>
      </c>
    </row>
    <row r="554" spans="1:11" ht="58.15" customHeight="1" x14ac:dyDescent="0.35">
      <c r="A554" s="192">
        <v>553</v>
      </c>
      <c r="B554" s="205" t="s">
        <v>4270</v>
      </c>
      <c r="C554" s="193" t="s">
        <v>4271</v>
      </c>
      <c r="D554" s="202" t="s">
        <v>4272</v>
      </c>
      <c r="E554" s="203">
        <v>45657</v>
      </c>
      <c r="F554" s="208">
        <v>46400</v>
      </c>
      <c r="G554" s="192"/>
      <c r="H554" s="209"/>
      <c r="I554" s="194" t="s">
        <v>4273</v>
      </c>
      <c r="J554" s="193" t="s">
        <v>2696</v>
      </c>
      <c r="K554" s="194" t="s">
        <v>4274</v>
      </c>
    </row>
    <row r="555" spans="1:11" ht="58.15" customHeight="1" x14ac:dyDescent="0.35">
      <c r="A555" s="192">
        <v>554</v>
      </c>
      <c r="B555" s="205" t="s">
        <v>4275</v>
      </c>
      <c r="C555" s="193" t="s">
        <v>4276</v>
      </c>
      <c r="D555" s="202" t="s">
        <v>4277</v>
      </c>
      <c r="E555" s="203">
        <v>45657</v>
      </c>
      <c r="F555" s="208">
        <v>447800</v>
      </c>
      <c r="G555" s="192"/>
      <c r="H555" s="209"/>
      <c r="I555" s="194" t="s">
        <v>4204</v>
      </c>
      <c r="J555" s="193" t="s">
        <v>2696</v>
      </c>
      <c r="K555" s="194" t="s">
        <v>4205</v>
      </c>
    </row>
    <row r="556" spans="1:11" ht="58.15" customHeight="1" x14ac:dyDescent="0.35">
      <c r="A556" s="192">
        <v>555</v>
      </c>
      <c r="B556" s="205" t="s">
        <v>4278</v>
      </c>
      <c r="C556" s="193" t="s">
        <v>4279</v>
      </c>
      <c r="D556" s="202" t="s">
        <v>4280</v>
      </c>
      <c r="E556" s="203">
        <v>45657</v>
      </c>
      <c r="F556" s="208">
        <v>16900</v>
      </c>
      <c r="G556" s="192"/>
      <c r="H556" s="209"/>
      <c r="I556" s="194" t="s">
        <v>4281</v>
      </c>
      <c r="J556" s="193" t="s">
        <v>2696</v>
      </c>
      <c r="K556" s="194" t="s">
        <v>1235</v>
      </c>
    </row>
    <row r="557" spans="1:11" ht="58.15" customHeight="1" x14ac:dyDescent="0.35">
      <c r="A557" s="192">
        <v>556</v>
      </c>
      <c r="B557" s="205" t="s">
        <v>4282</v>
      </c>
      <c r="C557" s="193" t="s">
        <v>4283</v>
      </c>
      <c r="D557" s="202" t="s">
        <v>4284</v>
      </c>
      <c r="E557" s="203">
        <v>45657</v>
      </c>
      <c r="F557" s="208">
        <v>478900</v>
      </c>
      <c r="G557" s="192"/>
      <c r="H557" s="209"/>
      <c r="I557" s="194" t="s">
        <v>4273</v>
      </c>
      <c r="J557" s="193" t="s">
        <v>2696</v>
      </c>
      <c r="K557" s="194" t="s">
        <v>4274</v>
      </c>
    </row>
    <row r="558" spans="1:11" ht="58.15" customHeight="1" x14ac:dyDescent="0.35">
      <c r="A558" s="192">
        <v>557</v>
      </c>
      <c r="B558" s="205" t="s">
        <v>4285</v>
      </c>
      <c r="C558" s="193" t="s">
        <v>4286</v>
      </c>
      <c r="D558" s="202" t="s">
        <v>4287</v>
      </c>
      <c r="E558" s="203">
        <v>45657</v>
      </c>
      <c r="F558" s="208">
        <v>68500</v>
      </c>
      <c r="G558" s="192"/>
      <c r="H558" s="209"/>
      <c r="I558" s="194" t="s">
        <v>4288</v>
      </c>
      <c r="J558" s="193" t="s">
        <v>2696</v>
      </c>
      <c r="K558" s="194" t="s">
        <v>4232</v>
      </c>
    </row>
    <row r="559" spans="1:11" ht="58.15" customHeight="1" x14ac:dyDescent="0.35">
      <c r="A559" s="192">
        <v>558</v>
      </c>
      <c r="B559" s="205" t="s">
        <v>4289</v>
      </c>
      <c r="C559" s="193" t="s">
        <v>4290</v>
      </c>
      <c r="D559" s="202" t="s">
        <v>4291</v>
      </c>
      <c r="E559" s="203">
        <v>45657</v>
      </c>
      <c r="F559" s="208">
        <v>49000</v>
      </c>
      <c r="G559" s="192"/>
      <c r="H559" s="209"/>
      <c r="I559" s="194" t="s">
        <v>4292</v>
      </c>
      <c r="J559" s="193" t="s">
        <v>2696</v>
      </c>
      <c r="K559" s="194" t="s">
        <v>1235</v>
      </c>
    </row>
    <row r="560" spans="1:11" ht="58.15" customHeight="1" x14ac:dyDescent="0.35">
      <c r="A560" s="192">
        <v>559</v>
      </c>
      <c r="B560" s="205" t="s">
        <v>4293</v>
      </c>
      <c r="C560" s="193" t="s">
        <v>4294</v>
      </c>
      <c r="D560" s="202" t="s">
        <v>4295</v>
      </c>
      <c r="E560" s="203">
        <v>45657</v>
      </c>
      <c r="F560" s="208">
        <v>33200</v>
      </c>
      <c r="G560" s="192"/>
      <c r="H560" s="209"/>
      <c r="I560" s="194" t="s">
        <v>4296</v>
      </c>
      <c r="J560" s="193" t="s">
        <v>2696</v>
      </c>
      <c r="K560" s="194" t="s">
        <v>4297</v>
      </c>
    </row>
    <row r="561" spans="1:11" ht="58.15" customHeight="1" x14ac:dyDescent="0.35">
      <c r="A561" s="192">
        <v>560</v>
      </c>
      <c r="B561" s="205" t="s">
        <v>4298</v>
      </c>
      <c r="C561" s="193" t="s">
        <v>4299</v>
      </c>
      <c r="D561" s="202" t="s">
        <v>4300</v>
      </c>
      <c r="E561" s="203">
        <v>45657</v>
      </c>
      <c r="F561" s="208">
        <v>22700</v>
      </c>
      <c r="G561" s="192"/>
      <c r="H561" s="209"/>
      <c r="I561" s="194" t="s">
        <v>4204</v>
      </c>
      <c r="J561" s="193" t="s">
        <v>2696</v>
      </c>
      <c r="K561" s="194" t="s">
        <v>4205</v>
      </c>
    </row>
    <row r="562" spans="1:11" ht="58.15" customHeight="1" x14ac:dyDescent="0.35">
      <c r="A562" s="192">
        <v>561</v>
      </c>
      <c r="B562" s="205" t="s">
        <v>4301</v>
      </c>
      <c r="C562" s="193" t="s">
        <v>4302</v>
      </c>
      <c r="D562" s="202" t="s">
        <v>4303</v>
      </c>
      <c r="E562" s="203">
        <v>45657</v>
      </c>
      <c r="F562" s="208">
        <v>26300</v>
      </c>
      <c r="G562" s="192"/>
      <c r="H562" s="209"/>
      <c r="I562" s="194" t="s">
        <v>4204</v>
      </c>
      <c r="J562" s="193" t="s">
        <v>2696</v>
      </c>
      <c r="K562" s="194" t="s">
        <v>4205</v>
      </c>
    </row>
    <row r="563" spans="1:11" ht="58.15" customHeight="1" x14ac:dyDescent="0.35">
      <c r="A563" s="192">
        <v>562</v>
      </c>
      <c r="B563" s="205" t="s">
        <v>4304</v>
      </c>
      <c r="C563" s="193" t="s">
        <v>4305</v>
      </c>
      <c r="D563" s="202" t="s">
        <v>4306</v>
      </c>
      <c r="E563" s="203">
        <v>45657</v>
      </c>
      <c r="F563" s="208">
        <v>47400</v>
      </c>
      <c r="G563" s="192"/>
      <c r="H563" s="209"/>
      <c r="I563" s="194" t="s">
        <v>4307</v>
      </c>
      <c r="J563" s="193" t="s">
        <v>2696</v>
      </c>
      <c r="K563" s="194" t="s">
        <v>4153</v>
      </c>
    </row>
    <row r="564" spans="1:11" ht="58.15" customHeight="1" x14ac:dyDescent="0.35">
      <c r="A564" s="192">
        <v>563</v>
      </c>
      <c r="B564" s="205" t="s">
        <v>4308</v>
      </c>
      <c r="C564" s="193" t="s">
        <v>4309</v>
      </c>
      <c r="D564" s="202" t="s">
        <v>4310</v>
      </c>
      <c r="E564" s="203">
        <v>45657</v>
      </c>
      <c r="F564" s="208">
        <v>68500</v>
      </c>
      <c r="G564" s="192"/>
      <c r="H564" s="209"/>
      <c r="I564" s="194" t="s">
        <v>4231</v>
      </c>
      <c r="J564" s="193" t="s">
        <v>2696</v>
      </c>
      <c r="K564" s="194" t="s">
        <v>4232</v>
      </c>
    </row>
    <row r="565" spans="1:11" ht="58.15" customHeight="1" x14ac:dyDescent="0.35">
      <c r="A565" s="192">
        <v>564</v>
      </c>
      <c r="B565" s="205" t="s">
        <v>4311</v>
      </c>
      <c r="C565" s="193" t="s">
        <v>4312</v>
      </c>
      <c r="D565" s="202" t="s">
        <v>4313</v>
      </c>
      <c r="E565" s="203">
        <v>45657</v>
      </c>
      <c r="F565" s="208">
        <v>421400</v>
      </c>
      <c r="G565" s="192"/>
      <c r="H565" s="209"/>
      <c r="I565" s="194" t="s">
        <v>4204</v>
      </c>
      <c r="J565" s="193" t="s">
        <v>2696</v>
      </c>
      <c r="K565" s="194" t="s">
        <v>4205</v>
      </c>
    </row>
    <row r="566" spans="1:11" ht="58.15" customHeight="1" x14ac:dyDescent="0.35">
      <c r="A566" s="192">
        <v>565</v>
      </c>
      <c r="B566" s="205" t="s">
        <v>4314</v>
      </c>
      <c r="C566" s="193" t="s">
        <v>4315</v>
      </c>
      <c r="D566" s="202" t="s">
        <v>4316</v>
      </c>
      <c r="E566" s="203">
        <v>45657</v>
      </c>
      <c r="F566" s="208">
        <v>280000</v>
      </c>
      <c r="G566" s="192"/>
      <c r="H566" s="209"/>
      <c r="I566" s="194" t="s">
        <v>4317</v>
      </c>
      <c r="J566" s="193" t="s">
        <v>2696</v>
      </c>
      <c r="K566" s="194" t="s">
        <v>1235</v>
      </c>
    </row>
    <row r="567" spans="1:11" ht="58.15" customHeight="1" x14ac:dyDescent="0.35">
      <c r="A567" s="192">
        <v>566</v>
      </c>
      <c r="B567" s="205" t="s">
        <v>4318</v>
      </c>
      <c r="C567" s="193" t="s">
        <v>4319</v>
      </c>
      <c r="D567" s="202" t="s">
        <v>4320</v>
      </c>
      <c r="E567" s="203">
        <v>45657</v>
      </c>
      <c r="F567" s="208">
        <v>47300</v>
      </c>
      <c r="G567" s="192"/>
      <c r="H567" s="209"/>
      <c r="I567" s="194" t="s">
        <v>4204</v>
      </c>
      <c r="J567" s="193" t="s">
        <v>2696</v>
      </c>
      <c r="K567" s="194" t="s">
        <v>4205</v>
      </c>
    </row>
    <row r="568" spans="1:11" ht="58.15" customHeight="1" x14ac:dyDescent="0.35">
      <c r="A568" s="192">
        <v>567</v>
      </c>
      <c r="B568" s="205" t="s">
        <v>4321</v>
      </c>
      <c r="C568" s="193" t="s">
        <v>4322</v>
      </c>
      <c r="D568" s="202" t="s">
        <v>4323</v>
      </c>
      <c r="E568" s="203">
        <v>45657</v>
      </c>
      <c r="F568" s="208">
        <v>26300</v>
      </c>
      <c r="G568" s="192"/>
      <c r="H568" s="209"/>
      <c r="I568" s="194" t="s">
        <v>4187</v>
      </c>
      <c r="J568" s="193" t="s">
        <v>2696</v>
      </c>
      <c r="K568" s="194" t="s">
        <v>4188</v>
      </c>
    </row>
    <row r="569" spans="1:11" ht="58.15" customHeight="1" x14ac:dyDescent="0.35">
      <c r="A569" s="192">
        <v>568</v>
      </c>
      <c r="B569" s="205" t="s">
        <v>4325</v>
      </c>
      <c r="C569" s="193" t="s">
        <v>4326</v>
      </c>
      <c r="D569" s="202" t="s">
        <v>4327</v>
      </c>
      <c r="E569" s="203">
        <v>45657</v>
      </c>
      <c r="F569" s="208">
        <v>472900</v>
      </c>
      <c r="G569" s="192"/>
      <c r="H569" s="209"/>
      <c r="I569" s="194" t="s">
        <v>4187</v>
      </c>
      <c r="J569" s="193" t="s">
        <v>2696</v>
      </c>
      <c r="K569" s="194" t="s">
        <v>4188</v>
      </c>
    </row>
    <row r="570" spans="1:11" ht="58.15" customHeight="1" x14ac:dyDescent="0.35">
      <c r="A570" s="192">
        <v>569</v>
      </c>
      <c r="B570" s="205" t="s">
        <v>4328</v>
      </c>
      <c r="C570" s="193" t="s">
        <v>4329</v>
      </c>
      <c r="D570" s="202" t="s">
        <v>4330</v>
      </c>
      <c r="E570" s="203">
        <v>45657</v>
      </c>
      <c r="F570" s="208">
        <v>64300</v>
      </c>
      <c r="G570" s="192"/>
      <c r="H570" s="209"/>
      <c r="I570" s="194" t="s">
        <v>4331</v>
      </c>
      <c r="J570" s="193" t="s">
        <v>2696</v>
      </c>
      <c r="K570" s="194" t="s">
        <v>4332</v>
      </c>
    </row>
    <row r="571" spans="1:11" ht="58.15" customHeight="1" x14ac:dyDescent="0.35">
      <c r="A571" s="192">
        <v>570</v>
      </c>
      <c r="B571" s="205" t="s">
        <v>4333</v>
      </c>
      <c r="C571" s="193" t="s">
        <v>4334</v>
      </c>
      <c r="D571" s="202" t="s">
        <v>4335</v>
      </c>
      <c r="E571" s="203">
        <v>45657</v>
      </c>
      <c r="F571" s="208">
        <v>68300</v>
      </c>
      <c r="G571" s="192"/>
      <c r="H571" s="209"/>
      <c r="I571" s="194" t="s">
        <v>4231</v>
      </c>
      <c r="J571" s="193" t="s">
        <v>2696</v>
      </c>
      <c r="K571" s="194" t="s">
        <v>4232</v>
      </c>
    </row>
    <row r="572" spans="1:11" ht="58.15" customHeight="1" x14ac:dyDescent="0.35">
      <c r="A572" s="192">
        <v>571</v>
      </c>
      <c r="B572" s="205" t="s">
        <v>4336</v>
      </c>
      <c r="C572" s="193" t="s">
        <v>4337</v>
      </c>
      <c r="D572" s="202" t="s">
        <v>4338</v>
      </c>
      <c r="E572" s="203">
        <v>45657</v>
      </c>
      <c r="F572" s="208">
        <v>97200</v>
      </c>
      <c r="G572" s="192"/>
      <c r="H572" s="209"/>
      <c r="I572" s="194" t="s">
        <v>2914</v>
      </c>
      <c r="J572" s="193" t="s">
        <v>2696</v>
      </c>
      <c r="K572" s="194" t="s">
        <v>2915</v>
      </c>
    </row>
    <row r="573" spans="1:11" ht="58.15" customHeight="1" x14ac:dyDescent="0.35">
      <c r="A573" s="192">
        <v>572</v>
      </c>
      <c r="B573" s="205" t="s">
        <v>4339</v>
      </c>
      <c r="C573" s="193" t="s">
        <v>4340</v>
      </c>
      <c r="D573" s="202" t="s">
        <v>4341</v>
      </c>
      <c r="E573" s="203">
        <v>45657</v>
      </c>
      <c r="F573" s="208">
        <v>173900</v>
      </c>
      <c r="G573" s="192"/>
      <c r="H573" s="209"/>
      <c r="I573" s="194" t="s">
        <v>4342</v>
      </c>
      <c r="J573" s="193" t="s">
        <v>2696</v>
      </c>
      <c r="K573" s="194" t="s">
        <v>4343</v>
      </c>
    </row>
    <row r="574" spans="1:11" ht="58.15" customHeight="1" x14ac:dyDescent="0.35">
      <c r="A574" s="192">
        <v>573</v>
      </c>
      <c r="B574" s="205" t="s">
        <v>4344</v>
      </c>
      <c r="C574" s="193" t="s">
        <v>4345</v>
      </c>
      <c r="D574" s="202" t="s">
        <v>4346</v>
      </c>
      <c r="E574" s="203">
        <v>45657</v>
      </c>
      <c r="F574" s="208">
        <v>141900</v>
      </c>
      <c r="G574" s="192"/>
      <c r="H574" s="209"/>
      <c r="I574" s="194" t="s">
        <v>4152</v>
      </c>
      <c r="J574" s="193" t="s">
        <v>2696</v>
      </c>
      <c r="K574" s="194" t="s">
        <v>2695</v>
      </c>
    </row>
    <row r="575" spans="1:11" ht="58.15" customHeight="1" x14ac:dyDescent="0.35">
      <c r="A575" s="192">
        <v>574</v>
      </c>
      <c r="B575" s="205" t="s">
        <v>4347</v>
      </c>
      <c r="C575" s="193" t="s">
        <v>4348</v>
      </c>
      <c r="D575" s="202" t="s">
        <v>4349</v>
      </c>
      <c r="E575" s="203">
        <v>45657</v>
      </c>
      <c r="F575" s="208">
        <v>198600</v>
      </c>
      <c r="G575" s="192"/>
      <c r="H575" s="209"/>
      <c r="I575" s="194" t="s">
        <v>4350</v>
      </c>
      <c r="J575" s="193" t="s">
        <v>2696</v>
      </c>
      <c r="K575" s="194" t="s">
        <v>4351</v>
      </c>
    </row>
    <row r="576" spans="1:11" ht="58.15" customHeight="1" x14ac:dyDescent="0.35">
      <c r="A576" s="192">
        <v>575</v>
      </c>
      <c r="B576" s="205" t="s">
        <v>4352</v>
      </c>
      <c r="C576" s="193" t="s">
        <v>4353</v>
      </c>
      <c r="D576" s="202" t="s">
        <v>4354</v>
      </c>
      <c r="E576" s="203">
        <v>45657</v>
      </c>
      <c r="F576" s="208">
        <v>46200</v>
      </c>
      <c r="G576" s="192"/>
      <c r="H576" s="209"/>
      <c r="I576" s="194" t="s">
        <v>4157</v>
      </c>
      <c r="J576" s="193" t="s">
        <v>2696</v>
      </c>
      <c r="K576" s="194" t="s">
        <v>4324</v>
      </c>
    </row>
    <row r="577" spans="1:11" ht="58.15" customHeight="1" x14ac:dyDescent="0.35">
      <c r="A577" s="192">
        <v>576</v>
      </c>
      <c r="B577" s="205" t="s">
        <v>4355</v>
      </c>
      <c r="C577" s="193" t="s">
        <v>4356</v>
      </c>
      <c r="D577" s="202" t="s">
        <v>4357</v>
      </c>
      <c r="E577" s="203">
        <v>45657</v>
      </c>
      <c r="F577" s="208">
        <v>30500</v>
      </c>
      <c r="G577" s="192"/>
      <c r="H577" s="209"/>
      <c r="I577" s="194" t="s">
        <v>4204</v>
      </c>
      <c r="J577" s="193" t="s">
        <v>2696</v>
      </c>
      <c r="K577" s="194" t="s">
        <v>4205</v>
      </c>
    </row>
    <row r="578" spans="1:11" ht="58.15" customHeight="1" x14ac:dyDescent="0.35">
      <c r="A578" s="192">
        <v>577</v>
      </c>
      <c r="B578" s="205" t="s">
        <v>4358</v>
      </c>
      <c r="C578" s="193" t="s">
        <v>4359</v>
      </c>
      <c r="D578" s="202" t="s">
        <v>4360</v>
      </c>
      <c r="E578" s="203">
        <v>45657</v>
      </c>
      <c r="F578" s="208">
        <v>131400</v>
      </c>
      <c r="G578" s="192"/>
      <c r="H578" s="209"/>
      <c r="I578" s="194" t="s">
        <v>4361</v>
      </c>
      <c r="J578" s="193" t="s">
        <v>2696</v>
      </c>
      <c r="K578" s="194" t="s">
        <v>4362</v>
      </c>
    </row>
    <row r="579" spans="1:11" ht="58.15" customHeight="1" x14ac:dyDescent="0.35">
      <c r="A579" s="192">
        <v>578</v>
      </c>
      <c r="B579" s="205" t="s">
        <v>4363</v>
      </c>
      <c r="C579" s="193" t="s">
        <v>4364</v>
      </c>
      <c r="D579" s="202" t="s">
        <v>4365</v>
      </c>
      <c r="E579" s="203">
        <v>45657</v>
      </c>
      <c r="F579" s="208">
        <v>352100</v>
      </c>
      <c r="G579" s="192"/>
      <c r="H579" s="209"/>
      <c r="I579" s="194" t="s">
        <v>4187</v>
      </c>
      <c r="J579" s="193" t="s">
        <v>2696</v>
      </c>
      <c r="K579" s="194" t="s">
        <v>4188</v>
      </c>
    </row>
    <row r="580" spans="1:11" ht="58.15" customHeight="1" x14ac:dyDescent="0.35">
      <c r="A580" s="192">
        <v>579</v>
      </c>
      <c r="B580" s="205" t="s">
        <v>4366</v>
      </c>
      <c r="C580" s="193" t="s">
        <v>4367</v>
      </c>
      <c r="D580" s="202" t="s">
        <v>4368</v>
      </c>
      <c r="E580" s="203">
        <v>45657</v>
      </c>
      <c r="F580" s="208">
        <v>126100</v>
      </c>
      <c r="G580" s="192"/>
      <c r="H580" s="209"/>
      <c r="I580" s="194" t="s">
        <v>4369</v>
      </c>
      <c r="J580" s="193" t="s">
        <v>2696</v>
      </c>
      <c r="K580" s="194" t="s">
        <v>4158</v>
      </c>
    </row>
    <row r="581" spans="1:11" ht="58.15" customHeight="1" x14ac:dyDescent="0.35">
      <c r="A581" s="192">
        <v>580</v>
      </c>
      <c r="B581" s="205" t="s">
        <v>4370</v>
      </c>
      <c r="C581" s="193" t="s">
        <v>4371</v>
      </c>
      <c r="D581" s="202" t="s">
        <v>4372</v>
      </c>
      <c r="E581" s="203">
        <v>45657</v>
      </c>
      <c r="F581" s="208">
        <v>79900</v>
      </c>
      <c r="G581" s="192"/>
      <c r="H581" s="209"/>
      <c r="I581" s="194" t="s">
        <v>4373</v>
      </c>
      <c r="J581" s="193" t="s">
        <v>2696</v>
      </c>
      <c r="K581" s="194" t="s">
        <v>1235</v>
      </c>
    </row>
    <row r="582" spans="1:11" ht="58.15" customHeight="1" x14ac:dyDescent="0.35">
      <c r="A582" s="192">
        <v>581</v>
      </c>
      <c r="B582" s="205" t="s">
        <v>4374</v>
      </c>
      <c r="C582" s="193" t="s">
        <v>4375</v>
      </c>
      <c r="D582" s="202" t="s">
        <v>4376</v>
      </c>
      <c r="E582" s="203">
        <v>45657</v>
      </c>
      <c r="F582" s="208">
        <v>394100</v>
      </c>
      <c r="G582" s="192"/>
      <c r="H582" s="209"/>
      <c r="I582" s="194" t="s">
        <v>4253</v>
      </c>
      <c r="J582" s="193" t="s">
        <v>2696</v>
      </c>
      <c r="K582" s="194" t="s">
        <v>2700</v>
      </c>
    </row>
    <row r="583" spans="1:11" ht="58.15" customHeight="1" x14ac:dyDescent="0.35">
      <c r="A583" s="192">
        <v>582</v>
      </c>
      <c r="B583" s="205" t="s">
        <v>4377</v>
      </c>
      <c r="C583" s="193" t="s">
        <v>4378</v>
      </c>
      <c r="D583" s="202" t="s">
        <v>4379</v>
      </c>
      <c r="E583" s="203">
        <v>45657</v>
      </c>
      <c r="F583" s="208">
        <v>420400</v>
      </c>
      <c r="G583" s="192"/>
      <c r="H583" s="209"/>
      <c r="I583" s="194" t="s">
        <v>4204</v>
      </c>
      <c r="J583" s="193" t="s">
        <v>2696</v>
      </c>
      <c r="K583" s="194" t="s">
        <v>4205</v>
      </c>
    </row>
    <row r="584" spans="1:11" ht="58.15" customHeight="1" x14ac:dyDescent="0.35">
      <c r="A584" s="192">
        <v>583</v>
      </c>
      <c r="B584" s="205" t="s">
        <v>4380</v>
      </c>
      <c r="C584" s="193" t="s">
        <v>4381</v>
      </c>
      <c r="D584" s="202" t="s">
        <v>4382</v>
      </c>
      <c r="E584" s="203">
        <v>45657</v>
      </c>
      <c r="F584" s="208">
        <v>63100</v>
      </c>
      <c r="G584" s="192"/>
      <c r="H584" s="209"/>
      <c r="I584" s="194" t="s">
        <v>2914</v>
      </c>
      <c r="J584" s="193" t="s">
        <v>2696</v>
      </c>
      <c r="K584" s="194" t="s">
        <v>2915</v>
      </c>
    </row>
    <row r="585" spans="1:11" ht="58.15" customHeight="1" x14ac:dyDescent="0.35">
      <c r="A585" s="192">
        <v>584</v>
      </c>
      <c r="B585" s="205" t="s">
        <v>4383</v>
      </c>
      <c r="C585" s="193" t="s">
        <v>4384</v>
      </c>
      <c r="D585" s="202" t="s">
        <v>4385</v>
      </c>
      <c r="E585" s="203">
        <v>45657</v>
      </c>
      <c r="F585" s="208">
        <v>194400</v>
      </c>
      <c r="G585" s="192"/>
      <c r="H585" s="209"/>
      <c r="I585" s="194" t="s">
        <v>4386</v>
      </c>
      <c r="J585" s="193" t="s">
        <v>2696</v>
      </c>
      <c r="K585" s="194" t="s">
        <v>4362</v>
      </c>
    </row>
    <row r="586" spans="1:11" ht="58.15" customHeight="1" x14ac:dyDescent="0.35">
      <c r="A586" s="192">
        <v>585</v>
      </c>
      <c r="B586" s="205" t="s">
        <v>4387</v>
      </c>
      <c r="C586" s="193" t="s">
        <v>4388</v>
      </c>
      <c r="D586" s="202" t="s">
        <v>4389</v>
      </c>
      <c r="E586" s="203">
        <v>45657</v>
      </c>
      <c r="F586" s="208">
        <v>173400</v>
      </c>
      <c r="G586" s="192"/>
      <c r="H586" s="209"/>
      <c r="I586" s="194" t="s">
        <v>4157</v>
      </c>
      <c r="J586" s="193" t="s">
        <v>2696</v>
      </c>
      <c r="K586" s="194" t="s">
        <v>4390</v>
      </c>
    </row>
    <row r="587" spans="1:11" ht="58.15" customHeight="1" x14ac:dyDescent="0.35">
      <c r="A587" s="192">
        <v>586</v>
      </c>
      <c r="B587" s="205" t="s">
        <v>4391</v>
      </c>
      <c r="C587" s="193" t="s">
        <v>4392</v>
      </c>
      <c r="D587" s="202" t="s">
        <v>4393</v>
      </c>
      <c r="E587" s="203">
        <v>45657</v>
      </c>
      <c r="F587" s="208">
        <v>70900</v>
      </c>
      <c r="G587" s="192"/>
      <c r="H587" s="209"/>
      <c r="I587" s="194" t="s">
        <v>4204</v>
      </c>
      <c r="J587" s="193" t="s">
        <v>2696</v>
      </c>
      <c r="K587" s="194" t="s">
        <v>4205</v>
      </c>
    </row>
    <row r="588" spans="1:11" ht="58.15" customHeight="1" x14ac:dyDescent="0.35">
      <c r="A588" s="192">
        <v>587</v>
      </c>
      <c r="B588" s="205" t="s">
        <v>4394</v>
      </c>
      <c r="C588" s="193" t="s">
        <v>4395</v>
      </c>
      <c r="D588" s="202" t="s">
        <v>4396</v>
      </c>
      <c r="E588" s="203">
        <v>45657</v>
      </c>
      <c r="F588" s="208">
        <v>583300</v>
      </c>
      <c r="G588" s="192"/>
      <c r="H588" s="209"/>
      <c r="I588" s="194" t="s">
        <v>4397</v>
      </c>
      <c r="J588" s="193" t="s">
        <v>2696</v>
      </c>
      <c r="K588" s="194" t="s">
        <v>2695</v>
      </c>
    </row>
    <row r="589" spans="1:11" ht="58.15" customHeight="1" x14ac:dyDescent="0.35">
      <c r="A589" s="192">
        <v>588</v>
      </c>
      <c r="B589" s="205" t="s">
        <v>4398</v>
      </c>
      <c r="C589" s="193" t="s">
        <v>4399</v>
      </c>
      <c r="D589" s="202" t="s">
        <v>4400</v>
      </c>
      <c r="E589" s="203">
        <v>45657</v>
      </c>
      <c r="F589" s="208">
        <v>49900</v>
      </c>
      <c r="G589" s="192"/>
      <c r="H589" s="209"/>
      <c r="I589" s="194" t="s">
        <v>4192</v>
      </c>
      <c r="J589" s="193" t="s">
        <v>2696</v>
      </c>
      <c r="K589" s="194" t="s">
        <v>4193</v>
      </c>
    </row>
    <row r="590" spans="1:11" ht="58.15" customHeight="1" x14ac:dyDescent="0.35">
      <c r="A590" s="192">
        <v>589</v>
      </c>
      <c r="B590" s="205" t="s">
        <v>4401</v>
      </c>
      <c r="C590" s="193" t="s">
        <v>4402</v>
      </c>
      <c r="D590" s="202" t="s">
        <v>4403</v>
      </c>
      <c r="E590" s="203">
        <v>45657</v>
      </c>
      <c r="F590" s="208">
        <v>115600</v>
      </c>
      <c r="G590" s="192"/>
      <c r="H590" s="209"/>
      <c r="I590" s="194" t="s">
        <v>2914</v>
      </c>
      <c r="J590" s="193" t="s">
        <v>2696</v>
      </c>
      <c r="K590" s="194" t="s">
        <v>2915</v>
      </c>
    </row>
    <row r="591" spans="1:11" ht="58.15" customHeight="1" x14ac:dyDescent="0.35">
      <c r="A591" s="192">
        <v>590</v>
      </c>
      <c r="B591" s="205" t="s">
        <v>4404</v>
      </c>
      <c r="C591" s="193" t="s">
        <v>4405</v>
      </c>
      <c r="D591" s="202" t="s">
        <v>4406</v>
      </c>
      <c r="E591" s="203">
        <v>45657</v>
      </c>
      <c r="F591" s="208">
        <v>105100</v>
      </c>
      <c r="G591" s="192"/>
      <c r="H591" s="209"/>
      <c r="I591" s="194" t="s">
        <v>4157</v>
      </c>
      <c r="J591" s="193" t="s">
        <v>2696</v>
      </c>
      <c r="K591" s="194" t="s">
        <v>4158</v>
      </c>
    </row>
    <row r="592" spans="1:11" ht="58.15" customHeight="1" x14ac:dyDescent="0.35">
      <c r="A592" s="192">
        <v>591</v>
      </c>
      <c r="B592" s="205" t="s">
        <v>4407</v>
      </c>
      <c r="C592" s="193" t="s">
        <v>4408</v>
      </c>
      <c r="D592" s="202" t="s">
        <v>4409</v>
      </c>
      <c r="E592" s="203">
        <v>45657</v>
      </c>
      <c r="F592" s="208">
        <v>105100</v>
      </c>
      <c r="G592" s="192"/>
      <c r="H592" s="209"/>
      <c r="I592" s="194" t="s">
        <v>4157</v>
      </c>
      <c r="J592" s="193" t="s">
        <v>2696</v>
      </c>
      <c r="K592" s="194" t="s">
        <v>4410</v>
      </c>
    </row>
    <row r="593" spans="1:11" ht="58.15" customHeight="1" x14ac:dyDescent="0.35">
      <c r="A593" s="192">
        <v>592</v>
      </c>
      <c r="B593" s="205" t="s">
        <v>4411</v>
      </c>
      <c r="C593" s="193" t="s">
        <v>4412</v>
      </c>
      <c r="D593" s="202" t="s">
        <v>4413</v>
      </c>
      <c r="E593" s="203">
        <v>45657</v>
      </c>
      <c r="F593" s="208">
        <v>105100</v>
      </c>
      <c r="G593" s="192"/>
      <c r="H593" s="209"/>
      <c r="I593" s="194" t="s">
        <v>4157</v>
      </c>
      <c r="J593" s="193" t="s">
        <v>2696</v>
      </c>
      <c r="K593" s="194" t="s">
        <v>4324</v>
      </c>
    </row>
    <row r="594" spans="1:11" ht="58.15" customHeight="1" x14ac:dyDescent="0.35">
      <c r="A594" s="192">
        <v>593</v>
      </c>
      <c r="B594" s="205" t="s">
        <v>4414</v>
      </c>
      <c r="C594" s="193" t="s">
        <v>4415</v>
      </c>
      <c r="D594" s="202" t="s">
        <v>4416</v>
      </c>
      <c r="E594" s="203">
        <v>45657</v>
      </c>
      <c r="F594" s="208">
        <v>105100</v>
      </c>
      <c r="G594" s="192"/>
      <c r="H594" s="209"/>
      <c r="I594" s="194" t="s">
        <v>4157</v>
      </c>
      <c r="J594" s="193" t="s">
        <v>2696</v>
      </c>
      <c r="K594" s="194" t="s">
        <v>4324</v>
      </c>
    </row>
    <row r="595" spans="1:11" ht="58.15" customHeight="1" x14ac:dyDescent="0.35">
      <c r="A595" s="192">
        <v>594</v>
      </c>
      <c r="B595" s="205" t="s">
        <v>4417</v>
      </c>
      <c r="C595" s="193" t="s">
        <v>4418</v>
      </c>
      <c r="D595" s="202" t="s">
        <v>4419</v>
      </c>
      <c r="E595" s="203">
        <v>45657</v>
      </c>
      <c r="F595" s="208">
        <v>294300</v>
      </c>
      <c r="G595" s="192"/>
      <c r="H595" s="209"/>
      <c r="I595" s="194" t="s">
        <v>2914</v>
      </c>
      <c r="J595" s="193" t="s">
        <v>2696</v>
      </c>
      <c r="K595" s="194" t="s">
        <v>2915</v>
      </c>
    </row>
    <row r="596" spans="1:11" ht="58.15" customHeight="1" x14ac:dyDescent="0.35">
      <c r="A596" s="192">
        <v>595</v>
      </c>
      <c r="B596" s="205" t="s">
        <v>4420</v>
      </c>
      <c r="C596" s="193" t="s">
        <v>4421</v>
      </c>
      <c r="D596" s="202" t="s">
        <v>4422</v>
      </c>
      <c r="E596" s="203">
        <v>45657</v>
      </c>
      <c r="F596" s="208">
        <v>105100</v>
      </c>
      <c r="G596" s="192"/>
      <c r="H596" s="209"/>
      <c r="I596" s="194" t="s">
        <v>4423</v>
      </c>
      <c r="J596" s="193" t="s">
        <v>2696</v>
      </c>
      <c r="K596" s="194" t="s">
        <v>4193</v>
      </c>
    </row>
    <row r="597" spans="1:11" ht="58.15" customHeight="1" x14ac:dyDescent="0.35">
      <c r="A597" s="192">
        <v>596</v>
      </c>
      <c r="B597" s="205" t="s">
        <v>4424</v>
      </c>
      <c r="C597" s="193" t="s">
        <v>4425</v>
      </c>
      <c r="D597" s="202" t="s">
        <v>4426</v>
      </c>
      <c r="E597" s="203">
        <v>45657</v>
      </c>
      <c r="F597" s="208">
        <v>88000</v>
      </c>
      <c r="G597" s="192"/>
      <c r="H597" s="209"/>
      <c r="I597" s="194" t="s">
        <v>4157</v>
      </c>
      <c r="J597" s="193" t="s">
        <v>2696</v>
      </c>
      <c r="K597" s="194" t="s">
        <v>4158</v>
      </c>
    </row>
    <row r="598" spans="1:11" ht="58.15" customHeight="1" x14ac:dyDescent="0.35">
      <c r="A598" s="192">
        <v>597</v>
      </c>
      <c r="B598" s="205" t="s">
        <v>4427</v>
      </c>
      <c r="C598" s="193" t="s">
        <v>4428</v>
      </c>
      <c r="D598" s="202" t="s">
        <v>4429</v>
      </c>
      <c r="E598" s="203">
        <v>45657</v>
      </c>
      <c r="F598" s="208">
        <v>89300</v>
      </c>
      <c r="G598" s="192"/>
      <c r="H598" s="209"/>
      <c r="I598" s="194" t="s">
        <v>4430</v>
      </c>
      <c r="J598" s="193" t="s">
        <v>2696</v>
      </c>
      <c r="K598" s="194" t="s">
        <v>4205</v>
      </c>
    </row>
    <row r="599" spans="1:11" ht="58.15" customHeight="1" x14ac:dyDescent="0.35">
      <c r="A599" s="192">
        <v>598</v>
      </c>
      <c r="B599" s="205" t="s">
        <v>4431</v>
      </c>
      <c r="C599" s="193" t="s">
        <v>4432</v>
      </c>
      <c r="D599" s="202" t="s">
        <v>4433</v>
      </c>
      <c r="E599" s="203">
        <v>45657</v>
      </c>
      <c r="F599" s="208">
        <v>49900</v>
      </c>
      <c r="G599" s="192"/>
      <c r="H599" s="209"/>
      <c r="I599" s="194" t="s">
        <v>4157</v>
      </c>
      <c r="J599" s="193" t="s">
        <v>2696</v>
      </c>
      <c r="K599" s="194" t="s">
        <v>4158</v>
      </c>
    </row>
    <row r="600" spans="1:11" ht="58.15" customHeight="1" x14ac:dyDescent="0.35">
      <c r="A600" s="192">
        <v>599</v>
      </c>
      <c r="B600" s="205" t="s">
        <v>4434</v>
      </c>
      <c r="C600" s="193" t="s">
        <v>4435</v>
      </c>
      <c r="D600" s="202" t="s">
        <v>4436</v>
      </c>
      <c r="E600" s="203">
        <v>45657</v>
      </c>
      <c r="F600" s="208">
        <v>136600</v>
      </c>
      <c r="G600" s="192"/>
      <c r="H600" s="209"/>
      <c r="I600" s="194" t="s">
        <v>4157</v>
      </c>
      <c r="J600" s="193" t="s">
        <v>2696</v>
      </c>
      <c r="K600" s="194" t="s">
        <v>4158</v>
      </c>
    </row>
    <row r="601" spans="1:11" ht="58.15" customHeight="1" x14ac:dyDescent="0.35">
      <c r="A601" s="192">
        <v>600</v>
      </c>
      <c r="B601" s="205" t="s">
        <v>4437</v>
      </c>
      <c r="C601" s="193" t="s">
        <v>4438</v>
      </c>
      <c r="D601" s="202" t="s">
        <v>4439</v>
      </c>
      <c r="E601" s="203">
        <v>45657</v>
      </c>
      <c r="F601" s="208">
        <v>49900</v>
      </c>
      <c r="G601" s="192"/>
      <c r="H601" s="209"/>
      <c r="I601" s="194" t="s">
        <v>4233</v>
      </c>
      <c r="J601" s="193" t="s">
        <v>2696</v>
      </c>
      <c r="K601" s="194" t="s">
        <v>4234</v>
      </c>
    </row>
    <row r="602" spans="1:11" ht="58.15" customHeight="1" x14ac:dyDescent="0.35">
      <c r="A602" s="192">
        <v>601</v>
      </c>
      <c r="B602" s="205" t="s">
        <v>4440</v>
      </c>
      <c r="C602" s="193" t="s">
        <v>4441</v>
      </c>
      <c r="D602" s="202" t="s">
        <v>4442</v>
      </c>
      <c r="E602" s="203">
        <v>45657</v>
      </c>
      <c r="F602" s="208">
        <v>63100</v>
      </c>
      <c r="G602" s="192"/>
      <c r="H602" s="209"/>
      <c r="I602" s="194" t="s">
        <v>2914</v>
      </c>
      <c r="J602" s="193" t="s">
        <v>2696</v>
      </c>
      <c r="K602" s="194" t="s">
        <v>2915</v>
      </c>
    </row>
    <row r="603" spans="1:11" ht="58.15" customHeight="1" x14ac:dyDescent="0.35">
      <c r="A603" s="192">
        <v>602</v>
      </c>
      <c r="B603" s="205" t="s">
        <v>4443</v>
      </c>
      <c r="C603" s="193" t="s">
        <v>4444</v>
      </c>
      <c r="D603" s="202" t="s">
        <v>4445</v>
      </c>
      <c r="E603" s="203">
        <v>45657</v>
      </c>
      <c r="F603" s="208">
        <v>330500</v>
      </c>
      <c r="G603" s="192"/>
      <c r="H603" s="209"/>
      <c r="I603" s="194" t="s">
        <v>4204</v>
      </c>
      <c r="J603" s="193" t="s">
        <v>2696</v>
      </c>
      <c r="K603" s="194" t="s">
        <v>4205</v>
      </c>
    </row>
    <row r="604" spans="1:11" ht="58.15" customHeight="1" x14ac:dyDescent="0.35">
      <c r="A604" s="192">
        <v>603</v>
      </c>
      <c r="B604" s="205" t="s">
        <v>4446</v>
      </c>
      <c r="C604" s="193" t="s">
        <v>4447</v>
      </c>
      <c r="D604" s="202" t="s">
        <v>4448</v>
      </c>
      <c r="E604" s="203">
        <v>45657</v>
      </c>
      <c r="F604" s="208">
        <v>254900</v>
      </c>
      <c r="G604" s="192"/>
      <c r="H604" s="209"/>
      <c r="I604" s="194" t="s">
        <v>4157</v>
      </c>
      <c r="J604" s="193" t="s">
        <v>2696</v>
      </c>
      <c r="K604" s="194" t="s">
        <v>4158</v>
      </c>
    </row>
    <row r="605" spans="1:11" ht="58.15" customHeight="1" x14ac:dyDescent="0.35">
      <c r="A605" s="192">
        <v>604</v>
      </c>
      <c r="B605" s="205" t="s">
        <v>4449</v>
      </c>
      <c r="C605" s="193" t="s">
        <v>4450</v>
      </c>
      <c r="D605" s="202" t="s">
        <v>4451</v>
      </c>
      <c r="E605" s="203">
        <v>45657</v>
      </c>
      <c r="F605" s="208">
        <v>52300</v>
      </c>
      <c r="G605" s="192"/>
      <c r="H605" s="209"/>
      <c r="I605" s="194" t="s">
        <v>4157</v>
      </c>
      <c r="J605" s="193" t="s">
        <v>2696</v>
      </c>
      <c r="K605" s="194" t="s">
        <v>4158</v>
      </c>
    </row>
    <row r="606" spans="1:11" ht="58.15" customHeight="1" x14ac:dyDescent="0.35">
      <c r="A606" s="192">
        <v>605</v>
      </c>
      <c r="B606" s="205" t="s">
        <v>4452</v>
      </c>
      <c r="C606" s="193" t="s">
        <v>4453</v>
      </c>
      <c r="D606" s="202" t="s">
        <v>4454</v>
      </c>
      <c r="E606" s="203">
        <v>45657</v>
      </c>
      <c r="F606" s="208">
        <v>303400</v>
      </c>
      <c r="G606" s="192"/>
      <c r="H606" s="209"/>
      <c r="I606" s="194" t="s">
        <v>2914</v>
      </c>
      <c r="J606" s="193" t="s">
        <v>2696</v>
      </c>
      <c r="K606" s="194" t="s">
        <v>2915</v>
      </c>
    </row>
    <row r="607" spans="1:11" ht="58.15" customHeight="1" x14ac:dyDescent="0.35">
      <c r="A607" s="192">
        <v>606</v>
      </c>
      <c r="B607" s="205" t="s">
        <v>4455</v>
      </c>
      <c r="C607" s="193" t="s">
        <v>4456</v>
      </c>
      <c r="D607" s="202" t="s">
        <v>4457</v>
      </c>
      <c r="E607" s="203">
        <v>45657</v>
      </c>
      <c r="F607" s="208">
        <v>136000</v>
      </c>
      <c r="G607" s="192"/>
      <c r="H607" s="209"/>
      <c r="I607" s="194" t="s">
        <v>2914</v>
      </c>
      <c r="J607" s="193" t="s">
        <v>2696</v>
      </c>
      <c r="K607" s="194" t="s">
        <v>2915</v>
      </c>
    </row>
    <row r="608" spans="1:11" ht="58.15" customHeight="1" x14ac:dyDescent="0.35">
      <c r="A608" s="192">
        <v>607</v>
      </c>
      <c r="B608" s="205" t="s">
        <v>4458</v>
      </c>
      <c r="C608" s="193" t="s">
        <v>4459</v>
      </c>
      <c r="D608" s="202" t="s">
        <v>4460</v>
      </c>
      <c r="E608" s="203">
        <v>45657</v>
      </c>
      <c r="F608" s="208">
        <v>621200</v>
      </c>
      <c r="G608" s="192"/>
      <c r="H608" s="209"/>
      <c r="I608" s="194" t="s">
        <v>4152</v>
      </c>
      <c r="J608" s="193" t="s">
        <v>2696</v>
      </c>
      <c r="K608" s="194" t="s">
        <v>1266</v>
      </c>
    </row>
    <row r="609" spans="1:11" ht="58.15" customHeight="1" x14ac:dyDescent="0.35">
      <c r="A609" s="192">
        <v>608</v>
      </c>
      <c r="B609" s="205" t="s">
        <v>4461</v>
      </c>
      <c r="C609" s="193" t="s">
        <v>4462</v>
      </c>
      <c r="D609" s="202" t="s">
        <v>4463</v>
      </c>
      <c r="E609" s="203">
        <v>45657</v>
      </c>
      <c r="F609" s="208">
        <v>162200</v>
      </c>
      <c r="G609" s="192"/>
      <c r="H609" s="209"/>
      <c r="I609" s="194" t="s">
        <v>4157</v>
      </c>
      <c r="J609" s="193" t="s">
        <v>2696</v>
      </c>
      <c r="K609" s="194" t="s">
        <v>4158</v>
      </c>
    </row>
    <row r="610" spans="1:11" ht="58.15" customHeight="1" x14ac:dyDescent="0.35">
      <c r="A610" s="192">
        <v>609</v>
      </c>
      <c r="B610" s="205" t="s">
        <v>4464</v>
      </c>
      <c r="C610" s="193" t="s">
        <v>4465</v>
      </c>
      <c r="D610" s="202" t="s">
        <v>4466</v>
      </c>
      <c r="E610" s="203">
        <v>45657</v>
      </c>
      <c r="F610" s="208">
        <v>52300</v>
      </c>
      <c r="G610" s="192"/>
      <c r="H610" s="209"/>
      <c r="I610" s="194" t="s">
        <v>4204</v>
      </c>
      <c r="J610" s="193" t="s">
        <v>2696</v>
      </c>
      <c r="K610" s="194" t="s">
        <v>4205</v>
      </c>
    </row>
    <row r="611" spans="1:11" ht="58.15" customHeight="1" x14ac:dyDescent="0.35">
      <c r="A611" s="192">
        <v>610</v>
      </c>
      <c r="B611" s="205" t="s">
        <v>4467</v>
      </c>
      <c r="C611" s="193" t="s">
        <v>4468</v>
      </c>
      <c r="D611" s="202" t="s">
        <v>4469</v>
      </c>
      <c r="E611" s="203">
        <v>45657</v>
      </c>
      <c r="F611" s="208">
        <f>164300/2</f>
        <v>82150</v>
      </c>
      <c r="G611" s="192"/>
      <c r="H611" s="209"/>
      <c r="I611" s="194" t="s">
        <v>4273</v>
      </c>
      <c r="J611" s="193" t="s">
        <v>2696</v>
      </c>
      <c r="K611" s="194" t="s">
        <v>4274</v>
      </c>
    </row>
    <row r="612" spans="1:11" ht="58.15" customHeight="1" x14ac:dyDescent="0.35">
      <c r="A612" s="192">
        <v>611</v>
      </c>
      <c r="B612" s="205" t="s">
        <v>4467</v>
      </c>
      <c r="C612" s="193" t="s">
        <v>4468</v>
      </c>
      <c r="D612" s="202" t="s">
        <v>4470</v>
      </c>
      <c r="E612" s="203">
        <v>45657</v>
      </c>
      <c r="F612" s="208">
        <f>164300/2</f>
        <v>82150</v>
      </c>
      <c r="G612" s="192"/>
      <c r="H612" s="209"/>
      <c r="I612" s="194" t="s">
        <v>4273</v>
      </c>
      <c r="J612" s="193" t="s">
        <v>2696</v>
      </c>
      <c r="K612" s="194" t="s">
        <v>4274</v>
      </c>
    </row>
    <row r="613" spans="1:11" ht="58.15" customHeight="1" x14ac:dyDescent="0.35">
      <c r="A613" s="192">
        <v>612</v>
      </c>
      <c r="B613" s="205" t="s">
        <v>4471</v>
      </c>
      <c r="C613" s="193" t="s">
        <v>4472</v>
      </c>
      <c r="D613" s="202" t="s">
        <v>4473</v>
      </c>
      <c r="E613" s="203">
        <v>45657</v>
      </c>
      <c r="F613" s="208">
        <v>89500</v>
      </c>
      <c r="G613" s="192"/>
      <c r="H613" s="209"/>
      <c r="I613" s="194" t="s">
        <v>4474</v>
      </c>
      <c r="J613" s="193" t="s">
        <v>2696</v>
      </c>
      <c r="K613" s="194" t="s">
        <v>4205</v>
      </c>
    </row>
    <row r="614" spans="1:11" ht="58.15" customHeight="1" x14ac:dyDescent="0.35">
      <c r="A614" s="192">
        <v>613</v>
      </c>
      <c r="B614" s="205" t="s">
        <v>4475</v>
      </c>
      <c r="C614" s="193" t="s">
        <v>4476</v>
      </c>
      <c r="D614" s="202" t="s">
        <v>4477</v>
      </c>
      <c r="E614" s="203">
        <v>45657</v>
      </c>
      <c r="F614" s="208">
        <v>23000</v>
      </c>
      <c r="G614" s="192"/>
      <c r="H614" s="209"/>
      <c r="I614" s="194" t="s">
        <v>2914</v>
      </c>
      <c r="J614" s="193" t="s">
        <v>2696</v>
      </c>
      <c r="K614" s="194" t="s">
        <v>2915</v>
      </c>
    </row>
    <row r="615" spans="1:11" ht="58.15" customHeight="1" x14ac:dyDescent="0.35">
      <c r="A615" s="192">
        <v>614</v>
      </c>
      <c r="B615" s="205" t="s">
        <v>4478</v>
      </c>
      <c r="C615" s="193" t="s">
        <v>4479</v>
      </c>
      <c r="D615" s="202" t="s">
        <v>4480</v>
      </c>
      <c r="E615" s="203">
        <v>45657</v>
      </c>
      <c r="F615" s="208">
        <v>426400</v>
      </c>
      <c r="G615" s="192"/>
      <c r="H615" s="209"/>
      <c r="I615" s="194" t="s">
        <v>4204</v>
      </c>
      <c r="J615" s="193" t="s">
        <v>2696</v>
      </c>
      <c r="K615" s="194" t="s">
        <v>4205</v>
      </c>
    </row>
    <row r="616" spans="1:11" ht="58.15" customHeight="1" x14ac:dyDescent="0.35">
      <c r="A616" s="192">
        <v>615</v>
      </c>
      <c r="B616" s="205" t="s">
        <v>4481</v>
      </c>
      <c r="C616" s="193" t="s">
        <v>4482</v>
      </c>
      <c r="D616" s="202" t="s">
        <v>4483</v>
      </c>
      <c r="E616" s="203">
        <v>45657</v>
      </c>
      <c r="F616" s="208">
        <v>109900</v>
      </c>
      <c r="G616" s="192"/>
      <c r="H616" s="209"/>
      <c r="I616" s="194" t="s">
        <v>2914</v>
      </c>
      <c r="J616" s="193" t="s">
        <v>2696</v>
      </c>
      <c r="K616" s="194" t="s">
        <v>2915</v>
      </c>
    </row>
    <row r="617" spans="1:11" ht="58.15" customHeight="1" x14ac:dyDescent="0.35">
      <c r="A617" s="192">
        <v>616</v>
      </c>
      <c r="B617" s="205" t="s">
        <v>4484</v>
      </c>
      <c r="C617" s="193" t="s">
        <v>4485</v>
      </c>
      <c r="D617" s="202" t="s">
        <v>4486</v>
      </c>
      <c r="E617" s="203">
        <v>45657</v>
      </c>
      <c r="F617" s="208">
        <v>502300</v>
      </c>
      <c r="G617" s="192"/>
      <c r="H617" s="209"/>
      <c r="I617" s="194" t="s">
        <v>4487</v>
      </c>
      <c r="J617" s="193" t="s">
        <v>2696</v>
      </c>
      <c r="K617" s="194" t="s">
        <v>4488</v>
      </c>
    </row>
    <row r="618" spans="1:11" ht="58.15" customHeight="1" x14ac:dyDescent="0.35">
      <c r="A618" s="192">
        <v>617</v>
      </c>
      <c r="B618" s="205" t="s">
        <v>4489</v>
      </c>
      <c r="C618" s="193" t="s">
        <v>4490</v>
      </c>
      <c r="D618" s="202" t="s">
        <v>4491</v>
      </c>
      <c r="E618" s="203">
        <v>45657</v>
      </c>
      <c r="F618" s="208">
        <v>163200</v>
      </c>
      <c r="G618" s="192"/>
      <c r="H618" s="209"/>
      <c r="I618" s="194" t="s">
        <v>4492</v>
      </c>
      <c r="J618" s="193" t="s">
        <v>2696</v>
      </c>
      <c r="K618" s="194" t="s">
        <v>4493</v>
      </c>
    </row>
    <row r="619" spans="1:11" ht="58.15" customHeight="1" x14ac:dyDescent="0.35">
      <c r="A619" s="192">
        <v>618</v>
      </c>
      <c r="B619" s="205" t="s">
        <v>4489</v>
      </c>
      <c r="C619" s="193" t="s">
        <v>4494</v>
      </c>
      <c r="D619" s="202" t="s">
        <v>4495</v>
      </c>
      <c r="E619" s="203">
        <v>45657</v>
      </c>
      <c r="F619" s="208">
        <v>163200</v>
      </c>
      <c r="G619" s="192"/>
      <c r="H619" s="209"/>
      <c r="I619" s="194" t="s">
        <v>4492</v>
      </c>
      <c r="J619" s="193" t="s">
        <v>2696</v>
      </c>
      <c r="K619" s="194" t="s">
        <v>4493</v>
      </c>
    </row>
    <row r="620" spans="1:11" ht="58.15" customHeight="1" x14ac:dyDescent="0.35">
      <c r="A620" s="192">
        <v>619</v>
      </c>
      <c r="B620" s="205" t="s">
        <v>4496</v>
      </c>
      <c r="C620" s="193" t="s">
        <v>4497</v>
      </c>
      <c r="D620" s="202" t="s">
        <v>4498</v>
      </c>
      <c r="E620" s="203">
        <v>45657</v>
      </c>
      <c r="F620" s="208">
        <v>156800</v>
      </c>
      <c r="G620" s="192"/>
      <c r="H620" s="209"/>
      <c r="I620" s="194" t="s">
        <v>2914</v>
      </c>
      <c r="J620" s="193" t="s">
        <v>2696</v>
      </c>
      <c r="K620" s="194" t="s">
        <v>2915</v>
      </c>
    </row>
    <row r="621" spans="1:11" ht="58.15" customHeight="1" x14ac:dyDescent="0.35">
      <c r="A621" s="192">
        <v>620</v>
      </c>
      <c r="B621" s="205" t="s">
        <v>4500</v>
      </c>
      <c r="C621" s="193" t="s">
        <v>4501</v>
      </c>
      <c r="D621" s="202" t="s">
        <v>4502</v>
      </c>
      <c r="E621" s="203">
        <v>45657</v>
      </c>
      <c r="F621" s="208">
        <v>374900</v>
      </c>
      <c r="G621" s="192"/>
      <c r="H621" s="209"/>
      <c r="I621" s="194" t="s">
        <v>4157</v>
      </c>
      <c r="J621" s="193" t="s">
        <v>2696</v>
      </c>
      <c r="K621" s="194" t="s">
        <v>4158</v>
      </c>
    </row>
    <row r="622" spans="1:11" ht="58.15" customHeight="1" x14ac:dyDescent="0.35">
      <c r="A622" s="192">
        <v>621</v>
      </c>
      <c r="B622" s="205" t="s">
        <v>4503</v>
      </c>
      <c r="C622" s="193" t="s">
        <v>4504</v>
      </c>
      <c r="D622" s="202" t="s">
        <v>4505</v>
      </c>
      <c r="E622" s="203">
        <v>45657</v>
      </c>
      <c r="F622" s="208">
        <v>122400</v>
      </c>
      <c r="G622" s="192"/>
      <c r="H622" s="209"/>
      <c r="I622" s="194" t="s">
        <v>4506</v>
      </c>
      <c r="J622" s="193" t="s">
        <v>2696</v>
      </c>
      <c r="K622" s="194" t="s">
        <v>4158</v>
      </c>
    </row>
    <row r="623" spans="1:11" ht="58.15" customHeight="1" x14ac:dyDescent="0.35">
      <c r="A623" s="192">
        <v>622</v>
      </c>
      <c r="B623" s="205" t="s">
        <v>4507</v>
      </c>
      <c r="C623" s="193" t="s">
        <v>4508</v>
      </c>
      <c r="D623" s="202" t="s">
        <v>4509</v>
      </c>
      <c r="E623" s="203">
        <v>45657</v>
      </c>
      <c r="F623" s="208">
        <v>90600</v>
      </c>
      <c r="G623" s="192"/>
      <c r="H623" s="209"/>
      <c r="I623" s="194" t="s">
        <v>4157</v>
      </c>
      <c r="J623" s="193" t="s">
        <v>2696</v>
      </c>
      <c r="K623" s="194" t="s">
        <v>2690</v>
      </c>
    </row>
    <row r="624" spans="1:11" ht="58.15" customHeight="1" x14ac:dyDescent="0.35">
      <c r="A624" s="192">
        <v>623</v>
      </c>
      <c r="B624" s="205" t="s">
        <v>4510</v>
      </c>
      <c r="C624" s="193" t="s">
        <v>4511</v>
      </c>
      <c r="D624" s="202" t="s">
        <v>4512</v>
      </c>
      <c r="E624" s="203">
        <v>45657</v>
      </c>
      <c r="F624" s="208">
        <v>343800</v>
      </c>
      <c r="G624" s="192"/>
      <c r="H624" s="209"/>
      <c r="I624" s="194" t="s">
        <v>4513</v>
      </c>
      <c r="J624" s="193" t="s">
        <v>2696</v>
      </c>
      <c r="K624" s="194" t="s">
        <v>1266</v>
      </c>
    </row>
    <row r="625" spans="1:11" ht="58.15" customHeight="1" x14ac:dyDescent="0.35">
      <c r="A625" s="192">
        <v>624</v>
      </c>
      <c r="B625" s="205" t="s">
        <v>4514</v>
      </c>
      <c r="C625" s="193" t="s">
        <v>4515</v>
      </c>
      <c r="D625" s="202" t="s">
        <v>4516</v>
      </c>
      <c r="E625" s="203">
        <v>45657</v>
      </c>
      <c r="F625" s="208">
        <f>908900/3</f>
        <v>302966.66666666669</v>
      </c>
      <c r="G625" s="192"/>
      <c r="H625" s="209"/>
      <c r="I625" s="194" t="s">
        <v>4517</v>
      </c>
      <c r="J625" s="193" t="s">
        <v>2696</v>
      </c>
      <c r="K625" s="194" t="s">
        <v>2690</v>
      </c>
    </row>
    <row r="626" spans="1:11" ht="58.15" customHeight="1" x14ac:dyDescent="0.35">
      <c r="A626" s="192">
        <v>625</v>
      </c>
      <c r="B626" s="205" t="s">
        <v>4514</v>
      </c>
      <c r="C626" s="193" t="s">
        <v>4515</v>
      </c>
      <c r="D626" s="202" t="s">
        <v>4518</v>
      </c>
      <c r="E626" s="203">
        <v>45657</v>
      </c>
      <c r="F626" s="208">
        <f t="shared" ref="F626:F627" si="17">908900/3</f>
        <v>302966.66666666669</v>
      </c>
      <c r="G626" s="192"/>
      <c r="H626" s="209"/>
      <c r="I626" s="194" t="s">
        <v>4517</v>
      </c>
      <c r="J626" s="193" t="s">
        <v>2696</v>
      </c>
      <c r="K626" s="194" t="s">
        <v>2690</v>
      </c>
    </row>
    <row r="627" spans="1:11" ht="58.15" customHeight="1" x14ac:dyDescent="0.35">
      <c r="A627" s="192">
        <v>626</v>
      </c>
      <c r="B627" s="205" t="s">
        <v>4514</v>
      </c>
      <c r="C627" s="193" t="s">
        <v>4515</v>
      </c>
      <c r="D627" s="202" t="s">
        <v>4519</v>
      </c>
      <c r="E627" s="203">
        <v>45657</v>
      </c>
      <c r="F627" s="208">
        <f t="shared" si="17"/>
        <v>302966.66666666669</v>
      </c>
      <c r="G627" s="192"/>
      <c r="H627" s="209"/>
      <c r="I627" s="194" t="s">
        <v>4517</v>
      </c>
      <c r="J627" s="193" t="s">
        <v>2696</v>
      </c>
      <c r="K627" s="194" t="s">
        <v>2690</v>
      </c>
    </row>
    <row r="628" spans="1:11" ht="58.15" customHeight="1" x14ac:dyDescent="0.35">
      <c r="A628" s="192">
        <v>627</v>
      </c>
      <c r="B628" s="205" t="s">
        <v>4520</v>
      </c>
      <c r="C628" s="193" t="s">
        <v>4521</v>
      </c>
      <c r="D628" s="202" t="s">
        <v>4522</v>
      </c>
      <c r="E628" s="203">
        <v>45657</v>
      </c>
      <c r="F628" s="208">
        <f>2474000/7</f>
        <v>353428.57142857142</v>
      </c>
      <c r="G628" s="192"/>
      <c r="H628" s="209"/>
      <c r="I628" s="194" t="s">
        <v>4523</v>
      </c>
      <c r="J628" s="193" t="s">
        <v>2696</v>
      </c>
      <c r="K628" s="194" t="s">
        <v>4390</v>
      </c>
    </row>
    <row r="629" spans="1:11" ht="58.15" customHeight="1" x14ac:dyDescent="0.35">
      <c r="A629" s="192">
        <v>628</v>
      </c>
      <c r="B629" s="205" t="s">
        <v>4520</v>
      </c>
      <c r="C629" s="193" t="s">
        <v>4521</v>
      </c>
      <c r="D629" s="202" t="s">
        <v>4524</v>
      </c>
      <c r="E629" s="203">
        <v>45657</v>
      </c>
      <c r="F629" s="208">
        <f t="shared" ref="F629:F634" si="18">2474000/7</f>
        <v>353428.57142857142</v>
      </c>
      <c r="G629" s="192"/>
      <c r="H629" s="209"/>
      <c r="I629" s="194" t="s">
        <v>4523</v>
      </c>
      <c r="J629" s="193" t="s">
        <v>2696</v>
      </c>
      <c r="K629" s="194" t="s">
        <v>4390</v>
      </c>
    </row>
    <row r="630" spans="1:11" ht="58.15" customHeight="1" x14ac:dyDescent="0.35">
      <c r="A630" s="192">
        <v>629</v>
      </c>
      <c r="B630" s="205" t="s">
        <v>4520</v>
      </c>
      <c r="C630" s="193" t="s">
        <v>4521</v>
      </c>
      <c r="D630" s="202" t="s">
        <v>4525</v>
      </c>
      <c r="E630" s="203">
        <v>45657</v>
      </c>
      <c r="F630" s="208">
        <f t="shared" si="18"/>
        <v>353428.57142857142</v>
      </c>
      <c r="G630" s="192"/>
      <c r="H630" s="209"/>
      <c r="I630" s="194" t="s">
        <v>4523</v>
      </c>
      <c r="J630" s="193" t="s">
        <v>2696</v>
      </c>
      <c r="K630" s="194" t="s">
        <v>4390</v>
      </c>
    </row>
    <row r="631" spans="1:11" ht="58.15" customHeight="1" x14ac:dyDescent="0.35">
      <c r="A631" s="192">
        <v>630</v>
      </c>
      <c r="B631" s="205" t="s">
        <v>4520</v>
      </c>
      <c r="C631" s="193" t="s">
        <v>4521</v>
      </c>
      <c r="D631" s="202" t="s">
        <v>4526</v>
      </c>
      <c r="E631" s="203">
        <v>45657</v>
      </c>
      <c r="F631" s="208">
        <f t="shared" si="18"/>
        <v>353428.57142857142</v>
      </c>
      <c r="G631" s="192"/>
      <c r="H631" s="209"/>
      <c r="I631" s="194" t="s">
        <v>4523</v>
      </c>
      <c r="J631" s="193" t="s">
        <v>2696</v>
      </c>
      <c r="K631" s="194" t="s">
        <v>4390</v>
      </c>
    </row>
    <row r="632" spans="1:11" ht="58.15" customHeight="1" x14ac:dyDescent="0.35">
      <c r="A632" s="192">
        <v>631</v>
      </c>
      <c r="B632" s="205" t="s">
        <v>4520</v>
      </c>
      <c r="C632" s="193" t="s">
        <v>4521</v>
      </c>
      <c r="D632" s="202" t="s">
        <v>4527</v>
      </c>
      <c r="E632" s="203">
        <v>45657</v>
      </c>
      <c r="F632" s="208">
        <f t="shared" si="18"/>
        <v>353428.57142857142</v>
      </c>
      <c r="G632" s="192"/>
      <c r="H632" s="209"/>
      <c r="I632" s="194" t="s">
        <v>4523</v>
      </c>
      <c r="J632" s="193" t="s">
        <v>2696</v>
      </c>
      <c r="K632" s="194" t="s">
        <v>4390</v>
      </c>
    </row>
    <row r="633" spans="1:11" ht="58.15" customHeight="1" x14ac:dyDescent="0.35">
      <c r="A633" s="192">
        <v>632</v>
      </c>
      <c r="B633" s="205" t="s">
        <v>4520</v>
      </c>
      <c r="C633" s="193" t="s">
        <v>4521</v>
      </c>
      <c r="D633" s="202" t="s">
        <v>4528</v>
      </c>
      <c r="E633" s="203">
        <v>45657</v>
      </c>
      <c r="F633" s="208">
        <f t="shared" si="18"/>
        <v>353428.57142857142</v>
      </c>
      <c r="G633" s="192"/>
      <c r="H633" s="209"/>
      <c r="I633" s="194" t="s">
        <v>4523</v>
      </c>
      <c r="J633" s="193" t="s">
        <v>2696</v>
      </c>
      <c r="K633" s="194" t="s">
        <v>4390</v>
      </c>
    </row>
    <row r="634" spans="1:11" ht="58.15" customHeight="1" x14ac:dyDescent="0.35">
      <c r="A634" s="192">
        <v>633</v>
      </c>
      <c r="B634" s="205" t="s">
        <v>4520</v>
      </c>
      <c r="C634" s="193" t="s">
        <v>4521</v>
      </c>
      <c r="D634" s="202" t="s">
        <v>4529</v>
      </c>
      <c r="E634" s="203">
        <v>45657</v>
      </c>
      <c r="F634" s="208">
        <f t="shared" si="18"/>
        <v>353428.57142857142</v>
      </c>
      <c r="G634" s="192"/>
      <c r="H634" s="209"/>
      <c r="I634" s="194" t="s">
        <v>4523</v>
      </c>
      <c r="J634" s="193" t="s">
        <v>2696</v>
      </c>
      <c r="K634" s="194" t="s">
        <v>4390</v>
      </c>
    </row>
    <row r="635" spans="1:11" ht="58.15" customHeight="1" x14ac:dyDescent="0.35">
      <c r="A635" s="192">
        <v>634</v>
      </c>
      <c r="B635" s="205" t="s">
        <v>4530</v>
      </c>
      <c r="C635" s="193" t="s">
        <v>4531</v>
      </c>
      <c r="D635" s="202" t="s">
        <v>4532</v>
      </c>
      <c r="E635" s="203">
        <v>45657</v>
      </c>
      <c r="F635" s="208">
        <v>260400</v>
      </c>
      <c r="G635" s="192"/>
      <c r="H635" s="209"/>
      <c r="I635" s="194" t="s">
        <v>4523</v>
      </c>
      <c r="J635" s="193" t="s">
        <v>2696</v>
      </c>
      <c r="K635" s="194" t="s">
        <v>4390</v>
      </c>
    </row>
    <row r="636" spans="1:11" ht="58.15" customHeight="1" x14ac:dyDescent="0.35">
      <c r="A636" s="192">
        <v>635</v>
      </c>
      <c r="B636" s="205" t="s">
        <v>4533</v>
      </c>
      <c r="C636" s="193" t="s">
        <v>4534</v>
      </c>
      <c r="D636" s="202" t="s">
        <v>4535</v>
      </c>
      <c r="E636" s="203">
        <v>45657</v>
      </c>
      <c r="F636" s="208">
        <v>187500</v>
      </c>
      <c r="G636" s="192"/>
      <c r="H636" s="209"/>
      <c r="I636" s="194" t="s">
        <v>4517</v>
      </c>
      <c r="J636" s="193" t="s">
        <v>2696</v>
      </c>
      <c r="K636" s="194" t="s">
        <v>2690</v>
      </c>
    </row>
    <row r="637" spans="1:11" ht="58.15" customHeight="1" x14ac:dyDescent="0.35">
      <c r="A637" s="192">
        <v>636</v>
      </c>
      <c r="B637" s="205" t="s">
        <v>4536</v>
      </c>
      <c r="C637" s="193" t="s">
        <v>4537</v>
      </c>
      <c r="D637" s="202" t="s">
        <v>4538</v>
      </c>
      <c r="E637" s="203">
        <v>45657</v>
      </c>
      <c r="F637" s="208">
        <v>240600</v>
      </c>
      <c r="G637" s="192"/>
      <c r="H637" s="209"/>
      <c r="I637" s="194" t="s">
        <v>4517</v>
      </c>
      <c r="J637" s="193" t="s">
        <v>2696</v>
      </c>
      <c r="K637" s="194" t="s">
        <v>2690</v>
      </c>
    </row>
    <row r="638" spans="1:11" ht="58.15" customHeight="1" x14ac:dyDescent="0.35">
      <c r="A638" s="192">
        <v>637</v>
      </c>
      <c r="B638" s="205" t="s">
        <v>4539</v>
      </c>
      <c r="C638" s="193" t="s">
        <v>4540</v>
      </c>
      <c r="D638" s="202" t="s">
        <v>4541</v>
      </c>
      <c r="E638" s="203">
        <v>45657</v>
      </c>
      <c r="F638" s="208">
        <v>171900</v>
      </c>
      <c r="G638" s="192"/>
      <c r="H638" s="209"/>
      <c r="I638" s="194" t="s">
        <v>4542</v>
      </c>
      <c r="J638" s="193" t="s">
        <v>2696</v>
      </c>
      <c r="K638" s="194" t="s">
        <v>4543</v>
      </c>
    </row>
    <row r="639" spans="1:11" ht="58.15" customHeight="1" x14ac:dyDescent="0.35">
      <c r="A639" s="192">
        <v>638</v>
      </c>
      <c r="B639" s="205" t="s">
        <v>4544</v>
      </c>
      <c r="C639" s="193" t="s">
        <v>4545</v>
      </c>
      <c r="D639" s="202" t="s">
        <v>4546</v>
      </c>
      <c r="E639" s="203">
        <v>45657</v>
      </c>
      <c r="F639" s="208">
        <f>921900/3</f>
        <v>307300</v>
      </c>
      <c r="G639" s="192"/>
      <c r="H639" s="209"/>
      <c r="I639" s="194" t="s">
        <v>4542</v>
      </c>
      <c r="J639" s="193" t="s">
        <v>2696</v>
      </c>
      <c r="K639" s="194" t="s">
        <v>4547</v>
      </c>
    </row>
    <row r="640" spans="1:11" ht="58.15" customHeight="1" x14ac:dyDescent="0.35">
      <c r="A640" s="192">
        <v>639</v>
      </c>
      <c r="B640" s="205" t="s">
        <v>4544</v>
      </c>
      <c r="C640" s="193" t="s">
        <v>4545</v>
      </c>
      <c r="D640" s="202" t="s">
        <v>4548</v>
      </c>
      <c r="E640" s="203">
        <v>45657</v>
      </c>
      <c r="F640" s="208">
        <f t="shared" ref="F640:F641" si="19">921900/3</f>
        <v>307300</v>
      </c>
      <c r="G640" s="192"/>
      <c r="H640" s="209"/>
      <c r="I640" s="194" t="s">
        <v>4542</v>
      </c>
      <c r="J640" s="193" t="s">
        <v>2696</v>
      </c>
      <c r="K640" s="194" t="s">
        <v>4547</v>
      </c>
    </row>
    <row r="641" spans="1:11" ht="58.15" customHeight="1" x14ac:dyDescent="0.35">
      <c r="A641" s="192">
        <v>640</v>
      </c>
      <c r="B641" s="205" t="s">
        <v>4544</v>
      </c>
      <c r="C641" s="193" t="s">
        <v>4545</v>
      </c>
      <c r="D641" s="202" t="s">
        <v>4549</v>
      </c>
      <c r="E641" s="203">
        <v>45657</v>
      </c>
      <c r="F641" s="208">
        <f t="shared" si="19"/>
        <v>307300</v>
      </c>
      <c r="G641" s="192"/>
      <c r="H641" s="209"/>
      <c r="I641" s="194" t="s">
        <v>4542</v>
      </c>
      <c r="J641" s="193" t="s">
        <v>2696</v>
      </c>
      <c r="K641" s="194" t="s">
        <v>4547</v>
      </c>
    </row>
    <row r="642" spans="1:11" ht="58.15" customHeight="1" x14ac:dyDescent="0.35">
      <c r="A642" s="192">
        <v>641</v>
      </c>
      <c r="B642" s="205" t="s">
        <v>4550</v>
      </c>
      <c r="C642" s="193" t="s">
        <v>4551</v>
      </c>
      <c r="D642" s="202" t="s">
        <v>4552</v>
      </c>
      <c r="E642" s="203">
        <v>45657</v>
      </c>
      <c r="F642" s="208">
        <f>2187600/5</f>
        <v>437520</v>
      </c>
      <c r="G642" s="192"/>
      <c r="H642" s="209"/>
      <c r="I642" s="194" t="s">
        <v>4517</v>
      </c>
      <c r="J642" s="193" t="s">
        <v>2696</v>
      </c>
      <c r="K642" s="194" t="s">
        <v>2690</v>
      </c>
    </row>
    <row r="643" spans="1:11" ht="58.15" customHeight="1" x14ac:dyDescent="0.35">
      <c r="A643" s="192">
        <v>642</v>
      </c>
      <c r="B643" s="205" t="s">
        <v>4550</v>
      </c>
      <c r="C643" s="193" t="s">
        <v>4551</v>
      </c>
      <c r="D643" s="202" t="s">
        <v>4553</v>
      </c>
      <c r="E643" s="203">
        <v>45657</v>
      </c>
      <c r="F643" s="208">
        <f t="shared" ref="F643:F646" si="20">2187600/5</f>
        <v>437520</v>
      </c>
      <c r="G643" s="192"/>
      <c r="H643" s="209"/>
      <c r="I643" s="194" t="s">
        <v>4517</v>
      </c>
      <c r="J643" s="193" t="s">
        <v>2696</v>
      </c>
      <c r="K643" s="194" t="s">
        <v>2690</v>
      </c>
    </row>
    <row r="644" spans="1:11" ht="58.15" customHeight="1" x14ac:dyDescent="0.35">
      <c r="A644" s="192">
        <v>643</v>
      </c>
      <c r="B644" s="205" t="s">
        <v>4550</v>
      </c>
      <c r="C644" s="193" t="s">
        <v>4551</v>
      </c>
      <c r="D644" s="202" t="s">
        <v>4554</v>
      </c>
      <c r="E644" s="203">
        <v>45657</v>
      </c>
      <c r="F644" s="208">
        <f t="shared" si="20"/>
        <v>437520</v>
      </c>
      <c r="G644" s="192"/>
      <c r="H644" s="209"/>
      <c r="I644" s="194" t="s">
        <v>4517</v>
      </c>
      <c r="J644" s="193" t="s">
        <v>2696</v>
      </c>
      <c r="K644" s="194" t="s">
        <v>2690</v>
      </c>
    </row>
    <row r="645" spans="1:11" ht="58.15" customHeight="1" x14ac:dyDescent="0.35">
      <c r="A645" s="192">
        <v>644</v>
      </c>
      <c r="B645" s="205" t="s">
        <v>4550</v>
      </c>
      <c r="C645" s="193" t="s">
        <v>4551</v>
      </c>
      <c r="D645" s="202" t="s">
        <v>4555</v>
      </c>
      <c r="E645" s="203">
        <v>45657</v>
      </c>
      <c r="F645" s="208">
        <f t="shared" si="20"/>
        <v>437520</v>
      </c>
      <c r="G645" s="192"/>
      <c r="H645" s="209"/>
      <c r="I645" s="194" t="s">
        <v>4517</v>
      </c>
      <c r="J645" s="193" t="s">
        <v>2696</v>
      </c>
      <c r="K645" s="194" t="s">
        <v>2690</v>
      </c>
    </row>
    <row r="646" spans="1:11" ht="58.15" customHeight="1" x14ac:dyDescent="0.35">
      <c r="A646" s="192">
        <v>645</v>
      </c>
      <c r="B646" s="205" t="s">
        <v>4550</v>
      </c>
      <c r="C646" s="193" t="s">
        <v>4551</v>
      </c>
      <c r="D646" s="202" t="s">
        <v>4556</v>
      </c>
      <c r="E646" s="203">
        <v>45657</v>
      </c>
      <c r="F646" s="208">
        <f t="shared" si="20"/>
        <v>437520</v>
      </c>
      <c r="G646" s="192"/>
      <c r="H646" s="209"/>
      <c r="I646" s="194" t="s">
        <v>4517</v>
      </c>
      <c r="J646" s="193" t="s">
        <v>2696</v>
      </c>
      <c r="K646" s="194" t="s">
        <v>2690</v>
      </c>
    </row>
    <row r="647" spans="1:11" ht="58.15" customHeight="1" x14ac:dyDescent="0.35">
      <c r="A647" s="192">
        <v>646</v>
      </c>
      <c r="B647" s="205" t="s">
        <v>4557</v>
      </c>
      <c r="C647" s="193" t="s">
        <v>4558</v>
      </c>
      <c r="D647" s="202" t="s">
        <v>4559</v>
      </c>
      <c r="E647" s="203">
        <v>45657</v>
      </c>
      <c r="F647" s="208">
        <v>140600</v>
      </c>
      <c r="G647" s="192"/>
      <c r="H647" s="209"/>
      <c r="I647" s="194"/>
      <c r="J647" s="193" t="s">
        <v>2696</v>
      </c>
      <c r="K647" s="194"/>
    </row>
    <row r="648" spans="1:11" ht="58.15" customHeight="1" x14ac:dyDescent="0.35">
      <c r="A648" s="192">
        <v>647</v>
      </c>
      <c r="B648" s="205" t="s">
        <v>4560</v>
      </c>
      <c r="C648" s="193" t="s">
        <v>4561</v>
      </c>
      <c r="D648" s="202" t="s">
        <v>4562</v>
      </c>
      <c r="E648" s="203">
        <v>45657</v>
      </c>
      <c r="F648" s="208">
        <v>140600</v>
      </c>
      <c r="G648" s="192"/>
      <c r="H648" s="209"/>
      <c r="I648" s="194" t="s">
        <v>4523</v>
      </c>
      <c r="J648" s="193" t="s">
        <v>2696</v>
      </c>
      <c r="K648" s="194" t="s">
        <v>4390</v>
      </c>
    </row>
    <row r="649" spans="1:11" ht="58.15" customHeight="1" x14ac:dyDescent="0.35">
      <c r="A649" s="192">
        <v>648</v>
      </c>
      <c r="B649" s="205" t="s">
        <v>4563</v>
      </c>
      <c r="C649" s="193" t="s">
        <v>4564</v>
      </c>
      <c r="D649" s="202" t="s">
        <v>4565</v>
      </c>
      <c r="E649" s="203">
        <v>45657</v>
      </c>
      <c r="F649" s="208">
        <v>390600</v>
      </c>
      <c r="G649" s="192"/>
      <c r="H649" s="209"/>
      <c r="I649" s="194" t="s">
        <v>4566</v>
      </c>
      <c r="J649" s="193" t="s">
        <v>2696</v>
      </c>
      <c r="K649" s="194" t="s">
        <v>2701</v>
      </c>
    </row>
    <row r="650" spans="1:11" ht="58.15" customHeight="1" x14ac:dyDescent="0.35">
      <c r="A650" s="192">
        <v>649</v>
      </c>
      <c r="B650" s="205" t="s">
        <v>4567</v>
      </c>
      <c r="C650" s="193" t="s">
        <v>4568</v>
      </c>
      <c r="D650" s="202" t="s">
        <v>4569</v>
      </c>
      <c r="E650" s="203">
        <v>45657</v>
      </c>
      <c r="F650" s="208">
        <v>323100</v>
      </c>
      <c r="G650" s="192"/>
      <c r="H650" s="209"/>
      <c r="I650" s="194" t="s">
        <v>4570</v>
      </c>
      <c r="J650" s="193" t="s">
        <v>2696</v>
      </c>
      <c r="K650" s="194" t="s">
        <v>4571</v>
      </c>
    </row>
    <row r="651" spans="1:11" ht="58.15" customHeight="1" x14ac:dyDescent="0.35">
      <c r="A651" s="192">
        <v>650</v>
      </c>
      <c r="B651" s="205" t="s">
        <v>4572</v>
      </c>
      <c r="C651" s="193" t="s">
        <v>4573</v>
      </c>
      <c r="D651" s="202" t="s">
        <v>4574</v>
      </c>
      <c r="E651" s="203">
        <v>45657</v>
      </c>
      <c r="F651" s="208">
        <f>718800/2</f>
        <v>359400</v>
      </c>
      <c r="G651" s="192"/>
      <c r="H651" s="209"/>
      <c r="I651" s="194" t="s">
        <v>4575</v>
      </c>
      <c r="J651" s="193" t="s">
        <v>2696</v>
      </c>
      <c r="K651" s="194" t="s">
        <v>4576</v>
      </c>
    </row>
    <row r="652" spans="1:11" ht="58.15" customHeight="1" x14ac:dyDescent="0.35">
      <c r="A652" s="192">
        <v>651</v>
      </c>
      <c r="B652" s="205" t="s">
        <v>4572</v>
      </c>
      <c r="C652" s="193" t="s">
        <v>4573</v>
      </c>
      <c r="D652" s="202" t="s">
        <v>4577</v>
      </c>
      <c r="E652" s="203">
        <v>45657</v>
      </c>
      <c r="F652" s="208">
        <f>718800/2</f>
        <v>359400</v>
      </c>
      <c r="G652" s="192"/>
      <c r="H652" s="209"/>
      <c r="I652" s="194" t="s">
        <v>4575</v>
      </c>
      <c r="J652" s="193" t="s">
        <v>2696</v>
      </c>
      <c r="K652" s="194" t="s">
        <v>4576</v>
      </c>
    </row>
    <row r="653" spans="1:11" ht="58.15" customHeight="1" x14ac:dyDescent="0.35">
      <c r="A653" s="192">
        <v>652</v>
      </c>
      <c r="B653" s="205" t="s">
        <v>4578</v>
      </c>
      <c r="C653" s="193" t="s">
        <v>4579</v>
      </c>
      <c r="D653" s="202" t="s">
        <v>4580</v>
      </c>
      <c r="E653" s="203">
        <v>45657</v>
      </c>
      <c r="F653" s="208">
        <v>218800</v>
      </c>
      <c r="G653" s="192"/>
      <c r="H653" s="209"/>
      <c r="I653" s="194" t="s">
        <v>4575</v>
      </c>
      <c r="J653" s="193" t="s">
        <v>2696</v>
      </c>
      <c r="K653" s="194" t="s">
        <v>4576</v>
      </c>
    </row>
    <row r="654" spans="1:11" ht="58.15" customHeight="1" x14ac:dyDescent="0.35">
      <c r="A654" s="192">
        <v>653</v>
      </c>
      <c r="B654" s="205" t="s">
        <v>4581</v>
      </c>
      <c r="C654" s="193" t="s">
        <v>4582</v>
      </c>
      <c r="D654" s="202" t="s">
        <v>4583</v>
      </c>
      <c r="E654" s="203">
        <v>45657</v>
      </c>
      <c r="F654" s="208">
        <v>89600</v>
      </c>
      <c r="G654" s="192"/>
      <c r="H654" s="209"/>
      <c r="I654" s="194" t="s">
        <v>4148</v>
      </c>
      <c r="J654" s="193" t="s">
        <v>2696</v>
      </c>
      <c r="K654" s="194" t="s">
        <v>2701</v>
      </c>
    </row>
    <row r="655" spans="1:11" ht="58.15" customHeight="1" x14ac:dyDescent="0.35">
      <c r="A655" s="192">
        <v>654</v>
      </c>
      <c r="B655" s="205" t="s">
        <v>4584</v>
      </c>
      <c r="C655" s="193" t="s">
        <v>4585</v>
      </c>
      <c r="D655" s="202" t="s">
        <v>4586</v>
      </c>
      <c r="E655" s="203">
        <v>45657</v>
      </c>
      <c r="F655" s="208">
        <v>312400</v>
      </c>
      <c r="G655" s="192"/>
      <c r="H655" s="209"/>
      <c r="I655" s="194" t="s">
        <v>4204</v>
      </c>
      <c r="J655" s="193" t="s">
        <v>2696</v>
      </c>
      <c r="K655" s="194" t="s">
        <v>4205</v>
      </c>
    </row>
    <row r="656" spans="1:11" ht="58.15" customHeight="1" x14ac:dyDescent="0.35">
      <c r="A656" s="192">
        <v>655</v>
      </c>
      <c r="B656" s="205" t="s">
        <v>4587</v>
      </c>
      <c r="C656" s="193" t="s">
        <v>4588</v>
      </c>
      <c r="D656" s="202" t="s">
        <v>4589</v>
      </c>
      <c r="E656" s="203">
        <v>45657</v>
      </c>
      <c r="F656" s="208">
        <v>406100</v>
      </c>
      <c r="G656" s="192"/>
      <c r="H656" s="209"/>
      <c r="I656" s="194" t="s">
        <v>4204</v>
      </c>
      <c r="J656" s="193" t="s">
        <v>2696</v>
      </c>
      <c r="K656" s="194" t="s">
        <v>4205</v>
      </c>
    </row>
    <row r="657" spans="1:11" ht="58.15" customHeight="1" x14ac:dyDescent="0.35">
      <c r="A657" s="192">
        <v>656</v>
      </c>
      <c r="B657" s="205" t="s">
        <v>4590</v>
      </c>
      <c r="C657" s="193" t="s">
        <v>4591</v>
      </c>
      <c r="D657" s="202" t="s">
        <v>4592</v>
      </c>
      <c r="E657" s="203">
        <v>45657</v>
      </c>
      <c r="F657" s="208">
        <f>531000/2</f>
        <v>265500</v>
      </c>
      <c r="G657" s="192"/>
      <c r="H657" s="209"/>
      <c r="I657" s="194" t="s">
        <v>4157</v>
      </c>
      <c r="J657" s="193" t="s">
        <v>2696</v>
      </c>
      <c r="K657" s="194" t="s">
        <v>4158</v>
      </c>
    </row>
    <row r="658" spans="1:11" ht="58.15" customHeight="1" x14ac:dyDescent="0.35">
      <c r="A658" s="192">
        <v>657</v>
      </c>
      <c r="B658" s="205" t="s">
        <v>4590</v>
      </c>
      <c r="C658" s="193" t="s">
        <v>4591</v>
      </c>
      <c r="D658" s="202" t="s">
        <v>4593</v>
      </c>
      <c r="E658" s="203">
        <v>45657</v>
      </c>
      <c r="F658" s="208">
        <f>531000/2</f>
        <v>265500</v>
      </c>
      <c r="G658" s="192"/>
      <c r="H658" s="209"/>
      <c r="I658" s="194" t="s">
        <v>4157</v>
      </c>
      <c r="J658" s="193" t="s">
        <v>2696</v>
      </c>
      <c r="K658" s="194" t="s">
        <v>4158</v>
      </c>
    </row>
    <row r="659" spans="1:11" ht="58.15" customHeight="1" x14ac:dyDescent="0.35">
      <c r="A659" s="192">
        <v>658</v>
      </c>
      <c r="B659" s="205" t="s">
        <v>4594</v>
      </c>
      <c r="C659" s="193" t="s">
        <v>4595</v>
      </c>
      <c r="D659" s="202" t="s">
        <v>4596</v>
      </c>
      <c r="E659" s="203">
        <v>45657</v>
      </c>
      <c r="F659" s="208">
        <v>145800</v>
      </c>
      <c r="G659" s="192"/>
      <c r="H659" s="209"/>
      <c r="I659" s="194" t="s">
        <v>4597</v>
      </c>
      <c r="J659" s="193" t="s">
        <v>2696</v>
      </c>
      <c r="K659" s="194" t="s">
        <v>2704</v>
      </c>
    </row>
    <row r="660" spans="1:11" ht="58.15" customHeight="1" x14ac:dyDescent="0.35">
      <c r="A660" s="192">
        <v>659</v>
      </c>
      <c r="B660" s="205" t="s">
        <v>4598</v>
      </c>
      <c r="C660" s="193" t="s">
        <v>4599</v>
      </c>
      <c r="D660" s="202" t="s">
        <v>4600</v>
      </c>
      <c r="E660" s="203">
        <v>45657</v>
      </c>
      <c r="F660" s="208">
        <v>182700</v>
      </c>
      <c r="G660" s="192"/>
      <c r="H660" s="209"/>
      <c r="I660" s="194" t="s">
        <v>4601</v>
      </c>
      <c r="J660" s="193" t="s">
        <v>2696</v>
      </c>
      <c r="K660" s="194" t="s">
        <v>2705</v>
      </c>
    </row>
    <row r="661" spans="1:11" ht="58.15" customHeight="1" x14ac:dyDescent="0.35">
      <c r="A661" s="192">
        <v>660</v>
      </c>
      <c r="B661" s="205" t="s">
        <v>4602</v>
      </c>
      <c r="C661" s="193" t="s">
        <v>4603</v>
      </c>
      <c r="D661" s="202" t="s">
        <v>4604</v>
      </c>
      <c r="E661" s="203">
        <v>45657</v>
      </c>
      <c r="F661" s="208">
        <v>275700</v>
      </c>
      <c r="G661" s="192"/>
      <c r="H661" s="209"/>
      <c r="I661" s="194" t="s">
        <v>2914</v>
      </c>
      <c r="J661" s="193" t="s">
        <v>2696</v>
      </c>
      <c r="K661" s="194" t="s">
        <v>2915</v>
      </c>
    </row>
    <row r="662" spans="1:11" ht="58.15" customHeight="1" x14ac:dyDescent="0.35">
      <c r="A662" s="192">
        <v>661</v>
      </c>
      <c r="B662" s="205" t="s">
        <v>4605</v>
      </c>
      <c r="C662" s="193" t="s">
        <v>4606</v>
      </c>
      <c r="D662" s="202" t="s">
        <v>4607</v>
      </c>
      <c r="E662" s="203">
        <v>45657</v>
      </c>
      <c r="F662" s="208">
        <v>122400</v>
      </c>
      <c r="G662" s="192"/>
      <c r="H662" s="209"/>
      <c r="I662" s="194" t="s">
        <v>2871</v>
      </c>
      <c r="J662" s="193" t="s">
        <v>2696</v>
      </c>
      <c r="K662" s="194" t="s">
        <v>1292</v>
      </c>
    </row>
    <row r="663" spans="1:11" ht="58.15" customHeight="1" x14ac:dyDescent="0.35">
      <c r="A663" s="192">
        <v>662</v>
      </c>
      <c r="B663" s="205" t="s">
        <v>4608</v>
      </c>
      <c r="C663" s="193" t="s">
        <v>4609</v>
      </c>
      <c r="D663" s="202" t="s">
        <v>4610</v>
      </c>
      <c r="E663" s="203">
        <v>45657</v>
      </c>
      <c r="F663" s="208">
        <v>490100</v>
      </c>
      <c r="G663" s="192"/>
      <c r="H663" s="209"/>
      <c r="I663" s="194" t="s">
        <v>4611</v>
      </c>
      <c r="J663" s="193" t="s">
        <v>2696</v>
      </c>
      <c r="K663" s="194" t="s">
        <v>4612</v>
      </c>
    </row>
    <row r="664" spans="1:11" ht="58.15" customHeight="1" x14ac:dyDescent="0.35">
      <c r="A664" s="192">
        <v>663</v>
      </c>
      <c r="B664" s="205" t="s">
        <v>4613</v>
      </c>
      <c r="C664" s="193" t="s">
        <v>4614</v>
      </c>
      <c r="D664" s="202" t="s">
        <v>4615</v>
      </c>
      <c r="E664" s="203">
        <v>45657</v>
      </c>
      <c r="F664" s="208">
        <v>525500</v>
      </c>
      <c r="G664" s="192"/>
      <c r="H664" s="209"/>
      <c r="I664" s="194" t="s">
        <v>4273</v>
      </c>
      <c r="J664" s="193" t="s">
        <v>2696</v>
      </c>
      <c r="K664" s="194" t="s">
        <v>4616</v>
      </c>
    </row>
    <row r="665" spans="1:11" ht="58.15" customHeight="1" x14ac:dyDescent="0.35">
      <c r="A665" s="192">
        <v>664</v>
      </c>
      <c r="B665" s="205" t="s">
        <v>4617</v>
      </c>
      <c r="C665" s="193" t="s">
        <v>4618</v>
      </c>
      <c r="D665" s="202" t="s">
        <v>4619</v>
      </c>
      <c r="E665" s="203">
        <v>45657</v>
      </c>
      <c r="F665" s="208">
        <v>551500</v>
      </c>
      <c r="G665" s="192"/>
      <c r="H665" s="209"/>
      <c r="I665" s="194" t="s">
        <v>4499</v>
      </c>
      <c r="J665" s="193" t="s">
        <v>2696</v>
      </c>
      <c r="K665" s="194" t="s">
        <v>3727</v>
      </c>
    </row>
    <row r="666" spans="1:11" ht="58.15" customHeight="1" x14ac:dyDescent="0.35">
      <c r="A666" s="192">
        <v>665</v>
      </c>
      <c r="B666" s="205" t="s">
        <v>4620</v>
      </c>
      <c r="C666" s="193" t="s">
        <v>4621</v>
      </c>
      <c r="D666" s="202" t="s">
        <v>4622</v>
      </c>
      <c r="E666" s="203">
        <v>45657</v>
      </c>
      <c r="F666" s="208">
        <v>520300</v>
      </c>
      <c r="G666" s="192"/>
      <c r="H666" s="209"/>
      <c r="I666" s="194" t="s">
        <v>4601</v>
      </c>
      <c r="J666" s="193" t="s">
        <v>2696</v>
      </c>
      <c r="K666" s="194" t="s">
        <v>4249</v>
      </c>
    </row>
    <row r="667" spans="1:11" ht="58.15" customHeight="1" x14ac:dyDescent="0.35">
      <c r="A667" s="192">
        <v>666</v>
      </c>
      <c r="B667" s="205" t="s">
        <v>4625</v>
      </c>
      <c r="C667" s="193" t="s">
        <v>4626</v>
      </c>
      <c r="D667" s="202" t="s">
        <v>4627</v>
      </c>
      <c r="E667" s="203">
        <v>45657</v>
      </c>
      <c r="F667" s="208">
        <v>567100</v>
      </c>
      <c r="G667" s="192"/>
      <c r="H667" s="209"/>
      <c r="I667" s="194" t="s">
        <v>4273</v>
      </c>
      <c r="J667" s="193" t="s">
        <v>2696</v>
      </c>
      <c r="K667" s="194" t="s">
        <v>4274</v>
      </c>
    </row>
    <row r="668" spans="1:11" ht="58.15" customHeight="1" x14ac:dyDescent="0.35">
      <c r="A668" s="192">
        <v>667</v>
      </c>
      <c r="B668" s="205" t="s">
        <v>4628</v>
      </c>
      <c r="C668" s="193" t="s">
        <v>4629</v>
      </c>
      <c r="D668" s="202" t="s">
        <v>4630</v>
      </c>
      <c r="E668" s="203">
        <v>45657</v>
      </c>
      <c r="F668" s="208">
        <v>156100</v>
      </c>
      <c r="G668" s="192"/>
      <c r="H668" s="209"/>
      <c r="I668" s="194" t="s">
        <v>4631</v>
      </c>
      <c r="J668" s="193" t="s">
        <v>2696</v>
      </c>
      <c r="K668" s="194" t="s">
        <v>1635</v>
      </c>
    </row>
    <row r="669" spans="1:11" ht="58.15" customHeight="1" x14ac:dyDescent="0.35">
      <c r="A669" s="192">
        <v>668</v>
      </c>
      <c r="B669" s="205" t="s">
        <v>4632</v>
      </c>
      <c r="C669" s="193" t="s">
        <v>4633</v>
      </c>
      <c r="D669" s="202" t="s">
        <v>4634</v>
      </c>
      <c r="E669" s="203">
        <v>45657</v>
      </c>
      <c r="F669" s="208">
        <v>535900</v>
      </c>
      <c r="G669" s="192"/>
      <c r="H669" s="209"/>
      <c r="I669" s="194" t="s">
        <v>2708</v>
      </c>
      <c r="J669" s="193" t="s">
        <v>2696</v>
      </c>
      <c r="K669" s="194" t="s">
        <v>4635</v>
      </c>
    </row>
    <row r="670" spans="1:11" ht="58.15" customHeight="1" x14ac:dyDescent="0.35">
      <c r="A670" s="192">
        <v>669</v>
      </c>
      <c r="B670" s="205" t="s">
        <v>4636</v>
      </c>
      <c r="C670" s="193" t="s">
        <v>4637</v>
      </c>
      <c r="D670" s="202" t="s">
        <v>4638</v>
      </c>
      <c r="E670" s="203">
        <v>45657</v>
      </c>
      <c r="F670" s="208">
        <v>296000</v>
      </c>
      <c r="G670" s="192"/>
      <c r="H670" s="209"/>
      <c r="I670" s="194" t="s">
        <v>4204</v>
      </c>
      <c r="J670" s="193" t="s">
        <v>2696</v>
      </c>
      <c r="K670" s="194" t="s">
        <v>2701</v>
      </c>
    </row>
    <row r="671" spans="1:11" ht="58.15" customHeight="1" x14ac:dyDescent="0.35">
      <c r="A671" s="192">
        <v>670</v>
      </c>
      <c r="B671" s="205" t="s">
        <v>4639</v>
      </c>
      <c r="C671" s="193" t="s">
        <v>4640</v>
      </c>
      <c r="D671" s="202" t="s">
        <v>4641</v>
      </c>
      <c r="E671" s="203">
        <v>45657</v>
      </c>
      <c r="F671" s="208">
        <v>291500</v>
      </c>
      <c r="G671" s="192"/>
      <c r="H671" s="209"/>
      <c r="I671" s="194" t="s">
        <v>4204</v>
      </c>
      <c r="J671" s="193" t="s">
        <v>2696</v>
      </c>
      <c r="K671" s="194" t="s">
        <v>2701</v>
      </c>
    </row>
    <row r="672" spans="1:11" ht="58.15" customHeight="1" x14ac:dyDescent="0.35">
      <c r="A672" s="192">
        <v>671</v>
      </c>
      <c r="B672" s="205" t="s">
        <v>4642</v>
      </c>
      <c r="C672" s="193" t="s">
        <v>4643</v>
      </c>
      <c r="D672" s="202" t="s">
        <v>4644</v>
      </c>
      <c r="E672" s="203">
        <v>45657</v>
      </c>
      <c r="F672" s="208">
        <v>157900</v>
      </c>
      <c r="G672" s="192"/>
      <c r="H672" s="209"/>
      <c r="I672" s="194" t="s">
        <v>2914</v>
      </c>
      <c r="J672" s="193" t="s">
        <v>2696</v>
      </c>
      <c r="K672" s="194" t="s">
        <v>2915</v>
      </c>
    </row>
    <row r="673" spans="1:11" ht="58.15" customHeight="1" x14ac:dyDescent="0.35">
      <c r="A673" s="192">
        <v>672</v>
      </c>
      <c r="B673" s="205" t="s">
        <v>4647</v>
      </c>
      <c r="C673" s="193" t="s">
        <v>4648</v>
      </c>
      <c r="D673" s="202" t="s">
        <v>4649</v>
      </c>
      <c r="E673" s="203">
        <v>45657</v>
      </c>
      <c r="F673" s="208">
        <v>72700</v>
      </c>
      <c r="G673" s="192"/>
      <c r="H673" s="209"/>
      <c r="I673" s="194" t="s">
        <v>4204</v>
      </c>
      <c r="J673" s="193" t="s">
        <v>2696</v>
      </c>
      <c r="K673" s="194" t="s">
        <v>4205</v>
      </c>
    </row>
    <row r="674" spans="1:11" ht="58.15" customHeight="1" x14ac:dyDescent="0.35">
      <c r="A674" s="192">
        <v>673</v>
      </c>
      <c r="B674" s="205" t="s">
        <v>4650</v>
      </c>
      <c r="C674" s="193" t="s">
        <v>4651</v>
      </c>
      <c r="D674" s="202" t="s">
        <v>4652</v>
      </c>
      <c r="E674" s="203">
        <v>45657</v>
      </c>
      <c r="F674" s="208">
        <v>233800</v>
      </c>
      <c r="G674" s="192"/>
      <c r="H674" s="209"/>
      <c r="I674" s="194" t="s">
        <v>4653</v>
      </c>
      <c r="J674" s="193" t="s">
        <v>2696</v>
      </c>
      <c r="K674" s="194" t="s">
        <v>2707</v>
      </c>
    </row>
    <row r="675" spans="1:11" ht="58.15" customHeight="1" x14ac:dyDescent="0.35">
      <c r="A675" s="192">
        <v>674</v>
      </c>
      <c r="B675" s="205" t="s">
        <v>4654</v>
      </c>
      <c r="C675" s="193" t="s">
        <v>4655</v>
      </c>
      <c r="D675" s="202" t="s">
        <v>4656</v>
      </c>
      <c r="E675" s="203">
        <v>45657</v>
      </c>
      <c r="F675" s="208">
        <v>187100</v>
      </c>
      <c r="G675" s="192"/>
      <c r="H675" s="209"/>
      <c r="I675" s="194" t="s">
        <v>2926</v>
      </c>
      <c r="J675" s="193" t="s">
        <v>2696</v>
      </c>
      <c r="K675" s="194" t="s">
        <v>1235</v>
      </c>
    </row>
    <row r="676" spans="1:11" ht="58.15" customHeight="1" x14ac:dyDescent="0.35">
      <c r="A676" s="192">
        <v>675</v>
      </c>
      <c r="B676" s="205" t="s">
        <v>4657</v>
      </c>
      <c r="C676" s="193" t="s">
        <v>4658</v>
      </c>
      <c r="D676" s="202" t="s">
        <v>4659</v>
      </c>
      <c r="E676" s="203">
        <v>45657</v>
      </c>
      <c r="F676" s="208">
        <v>382200</v>
      </c>
      <c r="G676" s="192"/>
      <c r="H676" s="209"/>
      <c r="I676" s="194" t="s">
        <v>4157</v>
      </c>
      <c r="J676" s="193" t="s">
        <v>2696</v>
      </c>
      <c r="K676" s="194" t="s">
        <v>4324</v>
      </c>
    </row>
    <row r="677" spans="1:11" ht="58.15" customHeight="1" x14ac:dyDescent="0.35">
      <c r="A677" s="192">
        <v>676</v>
      </c>
      <c r="B677" s="205" t="s">
        <v>4660</v>
      </c>
      <c r="C677" s="193" t="s">
        <v>4661</v>
      </c>
      <c r="D677" s="202" t="s">
        <v>4662</v>
      </c>
      <c r="E677" s="203">
        <v>45657</v>
      </c>
      <c r="F677" s="208">
        <f>956100/2</f>
        <v>478050</v>
      </c>
      <c r="G677" s="192"/>
      <c r="H677" s="209"/>
      <c r="I677" s="194" t="s">
        <v>4623</v>
      </c>
      <c r="J677" s="193" t="s">
        <v>2696</v>
      </c>
      <c r="K677" s="194" t="s">
        <v>4624</v>
      </c>
    </row>
    <row r="678" spans="1:11" ht="58.15" customHeight="1" x14ac:dyDescent="0.35">
      <c r="A678" s="192">
        <v>677</v>
      </c>
      <c r="B678" s="205" t="s">
        <v>4660</v>
      </c>
      <c r="C678" s="193" t="s">
        <v>4661</v>
      </c>
      <c r="D678" s="202" t="s">
        <v>4663</v>
      </c>
      <c r="E678" s="203">
        <v>45657</v>
      </c>
      <c r="F678" s="208">
        <f>956100/2</f>
        <v>478050</v>
      </c>
      <c r="G678" s="192"/>
      <c r="H678" s="209"/>
      <c r="I678" s="194" t="s">
        <v>4623</v>
      </c>
      <c r="J678" s="193" t="s">
        <v>2696</v>
      </c>
      <c r="K678" s="194" t="s">
        <v>4624</v>
      </c>
    </row>
    <row r="679" spans="1:11" ht="58.15" customHeight="1" x14ac:dyDescent="0.35">
      <c r="A679" s="192">
        <v>678</v>
      </c>
      <c r="B679" s="205" t="s">
        <v>4664</v>
      </c>
      <c r="C679" s="193" t="s">
        <v>4665</v>
      </c>
      <c r="D679" s="202" t="s">
        <v>4666</v>
      </c>
      <c r="E679" s="203">
        <v>45657</v>
      </c>
      <c r="F679" s="208">
        <v>228600</v>
      </c>
      <c r="G679" s="192"/>
      <c r="H679" s="209"/>
      <c r="I679" s="194" t="s">
        <v>2926</v>
      </c>
      <c r="J679" s="193" t="s">
        <v>2696</v>
      </c>
      <c r="K679" s="194" t="s">
        <v>1235</v>
      </c>
    </row>
    <row r="680" spans="1:11" ht="58.15" customHeight="1" x14ac:dyDescent="0.35">
      <c r="A680" s="192">
        <v>679</v>
      </c>
      <c r="B680" s="205" t="s">
        <v>4667</v>
      </c>
      <c r="C680" s="193" t="s">
        <v>4668</v>
      </c>
      <c r="D680" s="202" t="s">
        <v>4669</v>
      </c>
      <c r="E680" s="203">
        <v>45657</v>
      </c>
      <c r="F680" s="208">
        <v>519600</v>
      </c>
      <c r="G680" s="192"/>
      <c r="H680" s="209"/>
      <c r="I680" s="194" t="s">
        <v>4350</v>
      </c>
      <c r="J680" s="193" t="s">
        <v>2696</v>
      </c>
      <c r="K680" s="194" t="s">
        <v>4351</v>
      </c>
    </row>
    <row r="681" spans="1:11" ht="58.15" customHeight="1" x14ac:dyDescent="0.35">
      <c r="A681" s="192">
        <v>680</v>
      </c>
      <c r="B681" s="205" t="s">
        <v>4670</v>
      </c>
      <c r="C681" s="193" t="s">
        <v>4671</v>
      </c>
      <c r="D681" s="202" t="s">
        <v>4672</v>
      </c>
      <c r="E681" s="203">
        <v>45657</v>
      </c>
      <c r="F681" s="208">
        <v>335100</v>
      </c>
      <c r="G681" s="192"/>
      <c r="H681" s="209"/>
      <c r="I681" s="194" t="s">
        <v>4517</v>
      </c>
      <c r="J681" s="193" t="s">
        <v>2696</v>
      </c>
      <c r="K681" s="194" t="s">
        <v>2690</v>
      </c>
    </row>
    <row r="682" spans="1:11" ht="58.15" customHeight="1" x14ac:dyDescent="0.35">
      <c r="A682" s="192">
        <v>681</v>
      </c>
      <c r="B682" s="205" t="s">
        <v>4673</v>
      </c>
      <c r="C682" s="193" t="s">
        <v>4674</v>
      </c>
      <c r="D682" s="202" t="s">
        <v>4675</v>
      </c>
      <c r="E682" s="203">
        <v>45657</v>
      </c>
      <c r="F682" s="208">
        <v>340900</v>
      </c>
      <c r="G682" s="192"/>
      <c r="H682" s="209"/>
      <c r="I682" s="194" t="s">
        <v>4645</v>
      </c>
      <c r="J682" s="193" t="s">
        <v>2696</v>
      </c>
      <c r="K682" s="194" t="s">
        <v>4646</v>
      </c>
    </row>
    <row r="683" spans="1:11" ht="58.15" customHeight="1" x14ac:dyDescent="0.35">
      <c r="A683" s="192">
        <v>682</v>
      </c>
      <c r="B683" s="205" t="s">
        <v>4676</v>
      </c>
      <c r="C683" s="193" t="s">
        <v>4677</v>
      </c>
      <c r="D683" s="202" t="s">
        <v>4678</v>
      </c>
      <c r="E683" s="203">
        <v>45657</v>
      </c>
      <c r="F683" s="208">
        <v>509200</v>
      </c>
      <c r="G683" s="192"/>
      <c r="H683" s="209"/>
      <c r="I683" s="194" t="s">
        <v>2871</v>
      </c>
      <c r="J683" s="193" t="s">
        <v>2696</v>
      </c>
      <c r="K683" s="194" t="s">
        <v>1292</v>
      </c>
    </row>
    <row r="684" spans="1:11" ht="58.15" customHeight="1" x14ac:dyDescent="0.35">
      <c r="A684" s="192">
        <v>683</v>
      </c>
      <c r="B684" s="205" t="s">
        <v>4679</v>
      </c>
      <c r="C684" s="193" t="s">
        <v>4680</v>
      </c>
      <c r="D684" s="202" t="s">
        <v>4681</v>
      </c>
      <c r="E684" s="203">
        <v>45657</v>
      </c>
      <c r="F684" s="208">
        <v>415700</v>
      </c>
      <c r="G684" s="192"/>
      <c r="H684" s="209"/>
      <c r="I684" s="194" t="s">
        <v>4273</v>
      </c>
      <c r="J684" s="193" t="s">
        <v>2696</v>
      </c>
      <c r="K684" s="194" t="s">
        <v>4274</v>
      </c>
    </row>
    <row r="685" spans="1:11" ht="58.15" customHeight="1" x14ac:dyDescent="0.35">
      <c r="A685" s="192">
        <v>684</v>
      </c>
      <c r="B685" s="205" t="s">
        <v>4682</v>
      </c>
      <c r="C685" s="193" t="s">
        <v>4683</v>
      </c>
      <c r="D685" s="202" t="s">
        <v>4684</v>
      </c>
      <c r="E685" s="203">
        <v>45657</v>
      </c>
      <c r="F685" s="208">
        <f>845800/2</f>
        <v>422900</v>
      </c>
      <c r="G685" s="192"/>
      <c r="H685" s="209"/>
      <c r="I685" s="194" t="s">
        <v>4523</v>
      </c>
      <c r="J685" s="193" t="s">
        <v>2696</v>
      </c>
      <c r="K685" s="194" t="s">
        <v>4390</v>
      </c>
    </row>
    <row r="686" spans="1:11" ht="58.15" customHeight="1" x14ac:dyDescent="0.35">
      <c r="A686" s="192">
        <v>685</v>
      </c>
      <c r="B686" s="205" t="s">
        <v>4682</v>
      </c>
      <c r="C686" s="193" t="s">
        <v>4683</v>
      </c>
      <c r="D686" s="202" t="s">
        <v>4685</v>
      </c>
      <c r="E686" s="203">
        <v>45657</v>
      </c>
      <c r="F686" s="208">
        <f>845800/2</f>
        <v>422900</v>
      </c>
      <c r="G686" s="192"/>
      <c r="H686" s="209"/>
      <c r="I686" s="194" t="s">
        <v>4523</v>
      </c>
      <c r="J686" s="193" t="s">
        <v>2696</v>
      </c>
      <c r="K686" s="194" t="s">
        <v>4390</v>
      </c>
    </row>
    <row r="687" spans="1:11" ht="58.15" customHeight="1" x14ac:dyDescent="0.35">
      <c r="A687" s="192">
        <v>686</v>
      </c>
      <c r="B687" s="205" t="s">
        <v>4686</v>
      </c>
      <c r="C687" s="193" t="s">
        <v>4687</v>
      </c>
      <c r="D687" s="202" t="s">
        <v>4688</v>
      </c>
      <c r="E687" s="203">
        <v>45657</v>
      </c>
      <c r="F687" s="208">
        <v>509200</v>
      </c>
      <c r="G687" s="192"/>
      <c r="H687" s="209"/>
      <c r="I687" s="194" t="s">
        <v>4273</v>
      </c>
      <c r="J687" s="193" t="s">
        <v>2696</v>
      </c>
      <c r="K687" s="194" t="s">
        <v>4274</v>
      </c>
    </row>
    <row r="688" spans="1:11" ht="58.15" customHeight="1" x14ac:dyDescent="0.35">
      <c r="A688" s="192">
        <v>687</v>
      </c>
      <c r="B688" s="205" t="s">
        <v>4689</v>
      </c>
      <c r="C688" s="193" t="s">
        <v>4690</v>
      </c>
      <c r="D688" s="202" t="s">
        <v>4691</v>
      </c>
      <c r="E688" s="203">
        <v>45657</v>
      </c>
      <c r="F688" s="208">
        <v>228600</v>
      </c>
      <c r="G688" s="192"/>
      <c r="H688" s="209"/>
      <c r="I688" s="194" t="s">
        <v>4157</v>
      </c>
      <c r="J688" s="193" t="s">
        <v>2696</v>
      </c>
      <c r="K688" s="194" t="s">
        <v>4158</v>
      </c>
    </row>
    <row r="689" spans="1:11" ht="58.15" customHeight="1" x14ac:dyDescent="0.35">
      <c r="A689" s="192">
        <v>688</v>
      </c>
      <c r="B689" s="205" t="s">
        <v>4692</v>
      </c>
      <c r="C689" s="193" t="s">
        <v>4693</v>
      </c>
      <c r="D689" s="202" t="s">
        <v>4694</v>
      </c>
      <c r="E689" s="203">
        <v>45657</v>
      </c>
      <c r="F689" s="208">
        <v>434400</v>
      </c>
      <c r="G689" s="192"/>
      <c r="H689" s="209"/>
      <c r="I689" s="194" t="s">
        <v>2914</v>
      </c>
      <c r="J689" s="193" t="s">
        <v>2696</v>
      </c>
      <c r="K689" s="194" t="s">
        <v>2915</v>
      </c>
    </row>
    <row r="690" spans="1:11" ht="58.15" customHeight="1" x14ac:dyDescent="0.35">
      <c r="A690" s="192">
        <v>689</v>
      </c>
      <c r="B690" s="205" t="s">
        <v>4695</v>
      </c>
      <c r="C690" s="193" t="s">
        <v>4696</v>
      </c>
      <c r="D690" s="202" t="s">
        <v>4697</v>
      </c>
      <c r="E690" s="203">
        <v>45657</v>
      </c>
      <c r="F690" s="208">
        <v>145500</v>
      </c>
      <c r="G690" s="192"/>
      <c r="H690" s="209"/>
      <c r="I690" s="194" t="s">
        <v>4430</v>
      </c>
      <c r="J690" s="193" t="s">
        <v>2696</v>
      </c>
      <c r="K690" s="194" t="s">
        <v>2701</v>
      </c>
    </row>
    <row r="691" spans="1:11" ht="58.15" customHeight="1" x14ac:dyDescent="0.35">
      <c r="A691" s="192">
        <v>690</v>
      </c>
      <c r="B691" s="205" t="s">
        <v>4698</v>
      </c>
      <c r="C691" s="193" t="s">
        <v>4699</v>
      </c>
      <c r="D691" s="202" t="s">
        <v>4700</v>
      </c>
      <c r="E691" s="203">
        <v>45657</v>
      </c>
      <c r="F691" s="208">
        <v>207800</v>
      </c>
      <c r="G691" s="192"/>
      <c r="H691" s="209"/>
      <c r="I691" s="194" t="s">
        <v>2695</v>
      </c>
      <c r="J691" s="193" t="s">
        <v>2696</v>
      </c>
      <c r="K691" s="194" t="s">
        <v>2695</v>
      </c>
    </row>
    <row r="692" spans="1:11" ht="58.15" customHeight="1" x14ac:dyDescent="0.35">
      <c r="A692" s="192">
        <v>691</v>
      </c>
      <c r="B692" s="205" t="s">
        <v>4701</v>
      </c>
      <c r="C692" s="193" t="s">
        <v>4702</v>
      </c>
      <c r="D692" s="202" t="s">
        <v>4703</v>
      </c>
      <c r="E692" s="203">
        <v>45657</v>
      </c>
      <c r="F692" s="208">
        <f>731600/2</f>
        <v>365800</v>
      </c>
      <c r="G692" s="192"/>
      <c r="H692" s="209"/>
      <c r="I692" s="194" t="s">
        <v>2695</v>
      </c>
      <c r="J692" s="193" t="s">
        <v>2696</v>
      </c>
      <c r="K692" s="194" t="s">
        <v>2697</v>
      </c>
    </row>
    <row r="693" spans="1:11" ht="58.15" customHeight="1" x14ac:dyDescent="0.35">
      <c r="A693" s="192">
        <v>692</v>
      </c>
      <c r="B693" s="205" t="s">
        <v>4701</v>
      </c>
      <c r="C693" s="193" t="s">
        <v>4702</v>
      </c>
      <c r="D693" s="202" t="s">
        <v>4704</v>
      </c>
      <c r="E693" s="203">
        <v>45657</v>
      </c>
      <c r="F693" s="208">
        <f>731600/2</f>
        <v>365800</v>
      </c>
      <c r="G693" s="192"/>
      <c r="H693" s="209"/>
      <c r="I693" s="194" t="s">
        <v>2695</v>
      </c>
      <c r="J693" s="193" t="s">
        <v>2696</v>
      </c>
      <c r="K693" s="194" t="s">
        <v>2697</v>
      </c>
    </row>
    <row r="694" spans="1:11" ht="58.15" customHeight="1" x14ac:dyDescent="0.35">
      <c r="A694" s="192">
        <v>693</v>
      </c>
      <c r="B694" s="205" t="s">
        <v>4705</v>
      </c>
      <c r="C694" s="193" t="s">
        <v>4706</v>
      </c>
      <c r="D694" s="202" t="s">
        <v>4707</v>
      </c>
      <c r="E694" s="203">
        <v>45657</v>
      </c>
      <c r="F694" s="208">
        <v>486900</v>
      </c>
      <c r="G694" s="192"/>
      <c r="H694" s="209"/>
      <c r="I694" s="194" t="s">
        <v>4623</v>
      </c>
      <c r="J694" s="193" t="s">
        <v>2696</v>
      </c>
      <c r="K694" s="194" t="s">
        <v>4624</v>
      </c>
    </row>
    <row r="695" spans="1:11" ht="58.15" customHeight="1" x14ac:dyDescent="0.35">
      <c r="A695" s="192">
        <v>694</v>
      </c>
      <c r="B695" s="205" t="s">
        <v>4710</v>
      </c>
      <c r="C695" s="193" t="s">
        <v>4711</v>
      </c>
      <c r="D695" s="202" t="s">
        <v>4712</v>
      </c>
      <c r="E695" s="203">
        <v>45657</v>
      </c>
      <c r="F695" s="208">
        <v>557100</v>
      </c>
      <c r="G695" s="192"/>
      <c r="H695" s="209"/>
      <c r="I695" s="194" t="s">
        <v>2871</v>
      </c>
      <c r="J695" s="193" t="s">
        <v>2696</v>
      </c>
      <c r="K695" s="194" t="s">
        <v>1292</v>
      </c>
    </row>
    <row r="696" spans="1:11" ht="58.15" customHeight="1" x14ac:dyDescent="0.35">
      <c r="A696" s="192">
        <v>695</v>
      </c>
      <c r="B696" s="205" t="s">
        <v>4713</v>
      </c>
      <c r="C696" s="193" t="s">
        <v>4714</v>
      </c>
      <c r="D696" s="202" t="s">
        <v>4715</v>
      </c>
      <c r="E696" s="203">
        <v>45657</v>
      </c>
      <c r="F696" s="208">
        <v>580400</v>
      </c>
      <c r="G696" s="192"/>
      <c r="H696" s="209"/>
      <c r="I696" s="194" t="s">
        <v>4708</v>
      </c>
      <c r="J696" s="193" t="s">
        <v>2696</v>
      </c>
      <c r="K696" s="194" t="s">
        <v>2695</v>
      </c>
    </row>
    <row r="697" spans="1:11" ht="58.15" customHeight="1" x14ac:dyDescent="0.35">
      <c r="A697" s="192">
        <v>696</v>
      </c>
      <c r="B697" s="205" t="s">
        <v>4716</v>
      </c>
      <c r="C697" s="193" t="s">
        <v>4717</v>
      </c>
      <c r="D697" s="202" t="s">
        <v>4718</v>
      </c>
      <c r="E697" s="203">
        <v>45657</v>
      </c>
      <c r="F697" s="208">
        <v>293800</v>
      </c>
      <c r="G697" s="192"/>
      <c r="H697" s="209"/>
      <c r="I697" s="194" t="s">
        <v>4506</v>
      </c>
      <c r="J697" s="193" t="s">
        <v>2696</v>
      </c>
      <c r="K697" s="194" t="s">
        <v>4158</v>
      </c>
    </row>
    <row r="698" spans="1:11" ht="58.15" customHeight="1" x14ac:dyDescent="0.35">
      <c r="A698" s="192">
        <v>697</v>
      </c>
      <c r="B698" s="205" t="s">
        <v>4719</v>
      </c>
      <c r="C698" s="193" t="s">
        <v>4720</v>
      </c>
      <c r="D698" s="202" t="s">
        <v>4721</v>
      </c>
      <c r="E698" s="203">
        <v>45657</v>
      </c>
      <c r="F698" s="208">
        <v>186900</v>
      </c>
      <c r="G698" s="192"/>
      <c r="H698" s="209"/>
      <c r="I698" s="194" t="s">
        <v>4273</v>
      </c>
      <c r="J698" s="193" t="s">
        <v>2696</v>
      </c>
      <c r="K698" s="194" t="s">
        <v>4722</v>
      </c>
    </row>
    <row r="699" spans="1:11" ht="58.15" customHeight="1" x14ac:dyDescent="0.35">
      <c r="A699" s="192">
        <v>698</v>
      </c>
      <c r="B699" s="205" t="s">
        <v>4723</v>
      </c>
      <c r="C699" s="193" t="s">
        <v>4724</v>
      </c>
      <c r="D699" s="202" t="s">
        <v>4725</v>
      </c>
      <c r="E699" s="203">
        <v>45657</v>
      </c>
      <c r="F699" s="208">
        <f>1003900/3</f>
        <v>334633.33333333331</v>
      </c>
      <c r="G699" s="192"/>
      <c r="H699" s="209"/>
      <c r="I699" s="194" t="s">
        <v>4726</v>
      </c>
      <c r="J699" s="193" t="s">
        <v>2696</v>
      </c>
      <c r="K699" s="194" t="s">
        <v>4727</v>
      </c>
    </row>
    <row r="700" spans="1:11" ht="58.15" customHeight="1" x14ac:dyDescent="0.35">
      <c r="A700" s="192">
        <v>699</v>
      </c>
      <c r="B700" s="205" t="s">
        <v>4723</v>
      </c>
      <c r="C700" s="193" t="s">
        <v>4724</v>
      </c>
      <c r="D700" s="202" t="s">
        <v>4728</v>
      </c>
      <c r="E700" s="203">
        <v>45657</v>
      </c>
      <c r="F700" s="208">
        <f t="shared" ref="F700:F701" si="21">1003900/3</f>
        <v>334633.33333333331</v>
      </c>
      <c r="G700" s="192"/>
      <c r="H700" s="209"/>
      <c r="I700" s="194" t="s">
        <v>4726</v>
      </c>
      <c r="J700" s="193" t="s">
        <v>2696</v>
      </c>
      <c r="K700" s="194" t="s">
        <v>4727</v>
      </c>
    </row>
    <row r="701" spans="1:11" ht="58.15" customHeight="1" x14ac:dyDescent="0.35">
      <c r="A701" s="192">
        <v>700</v>
      </c>
      <c r="B701" s="205" t="s">
        <v>4723</v>
      </c>
      <c r="C701" s="193" t="s">
        <v>4724</v>
      </c>
      <c r="D701" s="202" t="s">
        <v>4729</v>
      </c>
      <c r="E701" s="203">
        <v>45657</v>
      </c>
      <c r="F701" s="208">
        <f t="shared" si="21"/>
        <v>334633.33333333331</v>
      </c>
      <c r="G701" s="192"/>
      <c r="H701" s="209"/>
      <c r="I701" s="194" t="s">
        <v>4726</v>
      </c>
      <c r="J701" s="193" t="s">
        <v>2696</v>
      </c>
      <c r="K701" s="194" t="s">
        <v>4727</v>
      </c>
    </row>
    <row r="702" spans="1:11" ht="58.15" customHeight="1" x14ac:dyDescent="0.35">
      <c r="A702" s="192">
        <v>701</v>
      </c>
      <c r="B702" s="205" t="s">
        <v>4730</v>
      </c>
      <c r="C702" s="193" t="s">
        <v>4731</v>
      </c>
      <c r="D702" s="202" t="s">
        <v>4732</v>
      </c>
      <c r="E702" s="203">
        <v>45657</v>
      </c>
      <c r="F702" s="208">
        <v>181400</v>
      </c>
      <c r="G702" s="192"/>
      <c r="H702" s="209"/>
      <c r="I702" s="194" t="s">
        <v>2926</v>
      </c>
      <c r="J702" s="193" t="s">
        <v>2696</v>
      </c>
      <c r="K702" s="194" t="s">
        <v>4733</v>
      </c>
    </row>
    <row r="703" spans="1:11" ht="58.15" customHeight="1" x14ac:dyDescent="0.35">
      <c r="A703" s="192">
        <v>702</v>
      </c>
      <c r="B703" s="205" t="s">
        <v>4734</v>
      </c>
      <c r="C703" s="193" t="s">
        <v>4735</v>
      </c>
      <c r="D703" s="202" t="s">
        <v>4736</v>
      </c>
      <c r="E703" s="203">
        <v>45657</v>
      </c>
      <c r="F703" s="208">
        <f>388700/2</f>
        <v>194350</v>
      </c>
      <c r="G703" s="192"/>
      <c r="H703" s="209"/>
      <c r="I703" s="194"/>
      <c r="J703" s="193" t="s">
        <v>2696</v>
      </c>
      <c r="K703" s="194"/>
    </row>
    <row r="704" spans="1:11" ht="58.15" customHeight="1" x14ac:dyDescent="0.35">
      <c r="A704" s="192">
        <v>703</v>
      </c>
      <c r="B704" s="205" t="s">
        <v>4734</v>
      </c>
      <c r="C704" s="193" t="s">
        <v>4735</v>
      </c>
      <c r="D704" s="202" t="s">
        <v>4737</v>
      </c>
      <c r="E704" s="203">
        <v>45657</v>
      </c>
      <c r="F704" s="208">
        <f>388700/2</f>
        <v>194350</v>
      </c>
      <c r="G704" s="192"/>
      <c r="H704" s="209"/>
      <c r="I704" s="194"/>
      <c r="J704" s="193" t="s">
        <v>2696</v>
      </c>
      <c r="K704" s="194"/>
    </row>
    <row r="705" spans="1:11" ht="58.15" customHeight="1" x14ac:dyDescent="0.35">
      <c r="A705" s="192">
        <v>704</v>
      </c>
      <c r="B705" s="205" t="s">
        <v>4738</v>
      </c>
      <c r="C705" s="193" t="s">
        <v>4739</v>
      </c>
      <c r="D705" s="202" t="s">
        <v>4740</v>
      </c>
      <c r="E705" s="203">
        <v>45657</v>
      </c>
      <c r="F705" s="208">
        <v>559700</v>
      </c>
      <c r="G705" s="192"/>
      <c r="H705" s="209"/>
      <c r="I705" s="194" t="s">
        <v>4741</v>
      </c>
      <c r="J705" s="193" t="s">
        <v>2696</v>
      </c>
      <c r="K705" s="194" t="s">
        <v>1635</v>
      </c>
    </row>
    <row r="706" spans="1:11" ht="58.15" customHeight="1" x14ac:dyDescent="0.35">
      <c r="A706" s="192">
        <v>705</v>
      </c>
      <c r="B706" s="205" t="s">
        <v>4742</v>
      </c>
      <c r="C706" s="193" t="s">
        <v>4743</v>
      </c>
      <c r="D706" s="202" t="s">
        <v>4744</v>
      </c>
      <c r="E706" s="203">
        <v>45657</v>
      </c>
      <c r="F706" s="208">
        <v>113000</v>
      </c>
      <c r="G706" s="192"/>
      <c r="H706" s="209"/>
      <c r="I706" s="194" t="s">
        <v>4231</v>
      </c>
      <c r="J706" s="193" t="s">
        <v>2696</v>
      </c>
      <c r="K706" s="194" t="s">
        <v>4232</v>
      </c>
    </row>
    <row r="707" spans="1:11" ht="58.15" customHeight="1" x14ac:dyDescent="0.35">
      <c r="A707" s="192">
        <v>706</v>
      </c>
      <c r="B707" s="205" t="s">
        <v>4745</v>
      </c>
      <c r="C707" s="193" t="s">
        <v>4746</v>
      </c>
      <c r="D707" s="202" t="s">
        <v>4747</v>
      </c>
      <c r="E707" s="203">
        <v>45657</v>
      </c>
      <c r="F707" s="208">
        <v>286100</v>
      </c>
      <c r="G707" s="192"/>
      <c r="H707" s="209"/>
      <c r="I707" s="194" t="s">
        <v>4748</v>
      </c>
      <c r="J707" s="193" t="s">
        <v>2696</v>
      </c>
      <c r="K707" s="194" t="s">
        <v>4158</v>
      </c>
    </row>
    <row r="708" spans="1:11" ht="58.15" customHeight="1" x14ac:dyDescent="0.35">
      <c r="A708" s="192">
        <v>707</v>
      </c>
      <c r="B708" s="205" t="s">
        <v>4749</v>
      </c>
      <c r="C708" s="193" t="s">
        <v>4750</v>
      </c>
      <c r="D708" s="202" t="s">
        <v>4751</v>
      </c>
      <c r="E708" s="203">
        <v>45657</v>
      </c>
      <c r="F708" s="208">
        <v>121900</v>
      </c>
      <c r="G708" s="192"/>
      <c r="H708" s="209"/>
      <c r="I708" s="194" t="s">
        <v>4752</v>
      </c>
      <c r="J708" s="193" t="s">
        <v>2696</v>
      </c>
      <c r="K708" s="194" t="s">
        <v>4753</v>
      </c>
    </row>
    <row r="709" spans="1:11" ht="58.15" customHeight="1" x14ac:dyDescent="0.35">
      <c r="A709" s="192">
        <v>708</v>
      </c>
      <c r="B709" s="205" t="s">
        <v>4754</v>
      </c>
      <c r="C709" s="193" t="s">
        <v>4755</v>
      </c>
      <c r="D709" s="202" t="s">
        <v>4756</v>
      </c>
      <c r="E709" s="203">
        <v>45657</v>
      </c>
      <c r="F709" s="208">
        <v>163200</v>
      </c>
      <c r="G709" s="192"/>
      <c r="H709" s="209"/>
      <c r="I709" s="194" t="s">
        <v>4757</v>
      </c>
      <c r="J709" s="193" t="s">
        <v>2696</v>
      </c>
      <c r="K709" s="194" t="s">
        <v>4758</v>
      </c>
    </row>
    <row r="710" spans="1:11" ht="58.15" customHeight="1" x14ac:dyDescent="0.35">
      <c r="A710" s="192">
        <v>709</v>
      </c>
      <c r="B710" s="205" t="s">
        <v>4759</v>
      </c>
      <c r="C710" s="193" t="s">
        <v>4760</v>
      </c>
      <c r="D710" s="202" t="s">
        <v>4761</v>
      </c>
      <c r="E710" s="203">
        <v>45657</v>
      </c>
      <c r="F710" s="208">
        <v>321300</v>
      </c>
      <c r="G710" s="192"/>
      <c r="H710" s="209"/>
      <c r="I710" s="194" t="s">
        <v>4273</v>
      </c>
      <c r="J710" s="193" t="s">
        <v>2696</v>
      </c>
      <c r="K710" s="194" t="s">
        <v>4274</v>
      </c>
    </row>
    <row r="711" spans="1:11" ht="58.15" customHeight="1" x14ac:dyDescent="0.35">
      <c r="A711" s="192">
        <v>710</v>
      </c>
      <c r="B711" s="205" t="s">
        <v>4763</v>
      </c>
      <c r="C711" s="193" t="s">
        <v>4764</v>
      </c>
      <c r="D711" s="202" t="s">
        <v>4765</v>
      </c>
      <c r="E711" s="203">
        <v>45657</v>
      </c>
      <c r="F711" s="208">
        <v>377800</v>
      </c>
      <c r="G711" s="192"/>
      <c r="H711" s="209"/>
      <c r="I711" s="194" t="s">
        <v>4623</v>
      </c>
      <c r="J711" s="193" t="s">
        <v>2696</v>
      </c>
      <c r="K711" s="194" t="s">
        <v>4624</v>
      </c>
    </row>
    <row r="712" spans="1:11" ht="58.15" customHeight="1" x14ac:dyDescent="0.35">
      <c r="A712" s="192">
        <v>711</v>
      </c>
      <c r="B712" s="205" t="s">
        <v>4766</v>
      </c>
      <c r="C712" s="193" t="s">
        <v>4767</v>
      </c>
      <c r="D712" s="202" t="s">
        <v>4768</v>
      </c>
      <c r="E712" s="203">
        <v>45657</v>
      </c>
      <c r="F712" s="208">
        <v>186600</v>
      </c>
      <c r="G712" s="192"/>
      <c r="H712" s="209"/>
      <c r="I712" s="194" t="s">
        <v>4631</v>
      </c>
      <c r="J712" s="193" t="s">
        <v>2696</v>
      </c>
      <c r="K712" s="194" t="s">
        <v>1635</v>
      </c>
    </row>
    <row r="713" spans="1:11" ht="58.15" customHeight="1" x14ac:dyDescent="0.35">
      <c r="A713" s="192">
        <v>712</v>
      </c>
      <c r="B713" s="205" t="s">
        <v>4769</v>
      </c>
      <c r="C713" s="193" t="s">
        <v>4770</v>
      </c>
      <c r="D713" s="202" t="s">
        <v>4771</v>
      </c>
      <c r="E713" s="203">
        <v>45657</v>
      </c>
      <c r="F713" s="208">
        <v>310700</v>
      </c>
      <c r="G713" s="192"/>
      <c r="H713" s="209"/>
      <c r="I713" s="194" t="s">
        <v>4273</v>
      </c>
      <c r="J713" s="193" t="s">
        <v>2696</v>
      </c>
      <c r="K713" s="194" t="s">
        <v>4727</v>
      </c>
    </row>
    <row r="714" spans="1:11" ht="58.15" customHeight="1" x14ac:dyDescent="0.35">
      <c r="A714" s="192">
        <v>713</v>
      </c>
      <c r="B714" s="205" t="s">
        <v>4772</v>
      </c>
      <c r="C714" s="193" t="s">
        <v>4773</v>
      </c>
      <c r="D714" s="202" t="s">
        <v>4774</v>
      </c>
      <c r="E714" s="203">
        <v>45657</v>
      </c>
      <c r="F714" s="208">
        <v>259100</v>
      </c>
      <c r="G714" s="192"/>
      <c r="H714" s="209"/>
      <c r="I714" s="194" t="s">
        <v>2914</v>
      </c>
      <c r="J714" s="193" t="s">
        <v>2696</v>
      </c>
      <c r="K714" s="194" t="s">
        <v>2915</v>
      </c>
    </row>
    <row r="715" spans="1:11" ht="58.15" customHeight="1" x14ac:dyDescent="0.35">
      <c r="A715" s="192">
        <v>714</v>
      </c>
      <c r="B715" s="205" t="s">
        <v>4775</v>
      </c>
      <c r="C715" s="193" t="s">
        <v>4776</v>
      </c>
      <c r="D715" s="202" t="s">
        <v>4777</v>
      </c>
      <c r="E715" s="203">
        <v>45657</v>
      </c>
      <c r="F715" s="208">
        <v>427600</v>
      </c>
      <c r="G715" s="192"/>
      <c r="H715" s="209"/>
      <c r="I715" s="194" t="s">
        <v>4623</v>
      </c>
      <c r="J715" s="193" t="s">
        <v>2696</v>
      </c>
      <c r="K715" s="194" t="s">
        <v>4624</v>
      </c>
    </row>
    <row r="716" spans="1:11" ht="58.15" customHeight="1" x14ac:dyDescent="0.35">
      <c r="A716" s="192">
        <v>715</v>
      </c>
      <c r="B716" s="205" t="s">
        <v>4778</v>
      </c>
      <c r="C716" s="193" t="s">
        <v>4779</v>
      </c>
      <c r="D716" s="202" t="s">
        <v>4780</v>
      </c>
      <c r="E716" s="203">
        <v>45657</v>
      </c>
      <c r="F716" s="208">
        <v>445700</v>
      </c>
      <c r="G716" s="192"/>
      <c r="H716" s="209"/>
      <c r="I716" s="194" t="s">
        <v>4631</v>
      </c>
      <c r="J716" s="193" t="s">
        <v>2696</v>
      </c>
      <c r="K716" s="194" t="s">
        <v>4781</v>
      </c>
    </row>
    <row r="717" spans="1:11" ht="58.15" customHeight="1" x14ac:dyDescent="0.35">
      <c r="A717" s="192">
        <v>716</v>
      </c>
      <c r="B717" s="205" t="s">
        <v>4782</v>
      </c>
      <c r="C717" s="193" t="s">
        <v>4783</v>
      </c>
      <c r="D717" s="202" t="s">
        <v>4784</v>
      </c>
      <c r="E717" s="203">
        <v>45657</v>
      </c>
      <c r="F717" s="208">
        <v>181400</v>
      </c>
      <c r="G717" s="192"/>
      <c r="H717" s="209"/>
      <c r="I717" s="194" t="s">
        <v>2914</v>
      </c>
      <c r="J717" s="193" t="s">
        <v>2696</v>
      </c>
      <c r="K717" s="194" t="s">
        <v>2915</v>
      </c>
    </row>
    <row r="718" spans="1:11" ht="58.15" customHeight="1" x14ac:dyDescent="0.35">
      <c r="A718" s="192">
        <v>717</v>
      </c>
      <c r="B718" s="205" t="s">
        <v>4785</v>
      </c>
      <c r="C718" s="193" t="s">
        <v>4786</v>
      </c>
      <c r="D718" s="202" t="s">
        <v>4787</v>
      </c>
      <c r="E718" s="203">
        <v>45657</v>
      </c>
      <c r="F718" s="208">
        <v>314500</v>
      </c>
      <c r="G718" s="192"/>
      <c r="H718" s="209"/>
      <c r="I718" s="194"/>
      <c r="J718" s="193" t="s">
        <v>2696</v>
      </c>
      <c r="K718" s="194"/>
    </row>
    <row r="719" spans="1:11" ht="58.15" customHeight="1" x14ac:dyDescent="0.35">
      <c r="A719" s="192">
        <v>718</v>
      </c>
      <c r="B719" s="205" t="s">
        <v>4788</v>
      </c>
      <c r="C719" s="193" t="s">
        <v>4789</v>
      </c>
      <c r="D719" s="202" t="s">
        <v>4790</v>
      </c>
      <c r="E719" s="203">
        <v>45657</v>
      </c>
      <c r="F719" s="208">
        <v>246200</v>
      </c>
      <c r="G719" s="192"/>
      <c r="H719" s="209"/>
      <c r="I719" s="194" t="s">
        <v>4645</v>
      </c>
      <c r="J719" s="193" t="s">
        <v>2696</v>
      </c>
      <c r="K719" s="194" t="s">
        <v>4646</v>
      </c>
    </row>
    <row r="720" spans="1:11" ht="58.15" customHeight="1" x14ac:dyDescent="0.35">
      <c r="A720" s="192">
        <v>719</v>
      </c>
      <c r="B720" s="205" t="s">
        <v>4791</v>
      </c>
      <c r="C720" s="193" t="s">
        <v>4792</v>
      </c>
      <c r="D720" s="202" t="s">
        <v>4793</v>
      </c>
      <c r="E720" s="203">
        <v>45657</v>
      </c>
      <c r="F720" s="208">
        <v>181400</v>
      </c>
      <c r="G720" s="192"/>
      <c r="H720" s="209"/>
      <c r="I720" s="194" t="s">
        <v>2914</v>
      </c>
      <c r="J720" s="193" t="s">
        <v>2696</v>
      </c>
      <c r="K720" s="194" t="s">
        <v>2915</v>
      </c>
    </row>
    <row r="721" spans="1:11" ht="58.15" customHeight="1" x14ac:dyDescent="0.35">
      <c r="A721" s="192">
        <v>720</v>
      </c>
      <c r="B721" s="205" t="s">
        <v>4794</v>
      </c>
      <c r="C721" s="193" t="s">
        <v>4795</v>
      </c>
      <c r="D721" s="202" t="s">
        <v>4796</v>
      </c>
      <c r="E721" s="203">
        <v>45657</v>
      </c>
      <c r="F721" s="208">
        <v>440500</v>
      </c>
      <c r="G721" s="192"/>
      <c r="H721" s="209"/>
      <c r="I721" s="194" t="s">
        <v>2914</v>
      </c>
      <c r="J721" s="193" t="s">
        <v>2696</v>
      </c>
      <c r="K721" s="194" t="s">
        <v>2915</v>
      </c>
    </row>
    <row r="722" spans="1:11" ht="58.15" customHeight="1" x14ac:dyDescent="0.35">
      <c r="A722" s="192">
        <v>721</v>
      </c>
      <c r="B722" s="205" t="s">
        <v>4797</v>
      </c>
      <c r="C722" s="193" t="s">
        <v>4798</v>
      </c>
      <c r="D722" s="202" t="s">
        <v>4799</v>
      </c>
      <c r="E722" s="203">
        <v>45657</v>
      </c>
      <c r="F722" s="208">
        <v>160700</v>
      </c>
      <c r="G722" s="192"/>
      <c r="H722" s="209"/>
      <c r="I722" s="194" t="s">
        <v>2871</v>
      </c>
      <c r="J722" s="193" t="s">
        <v>2696</v>
      </c>
      <c r="K722" s="194" t="s">
        <v>1292</v>
      </c>
    </row>
    <row r="723" spans="1:11" ht="58.15" customHeight="1" x14ac:dyDescent="0.35">
      <c r="A723" s="192">
        <v>722</v>
      </c>
      <c r="B723" s="205" t="s">
        <v>4800</v>
      </c>
      <c r="C723" s="193" t="s">
        <v>4801</v>
      </c>
      <c r="D723" s="202" t="s">
        <v>4802</v>
      </c>
      <c r="E723" s="203">
        <v>45657</v>
      </c>
      <c r="F723" s="208">
        <v>209900</v>
      </c>
      <c r="G723" s="192"/>
      <c r="H723" s="209"/>
      <c r="I723" s="194"/>
      <c r="J723" s="193" t="s">
        <v>2696</v>
      </c>
      <c r="K723" s="194"/>
    </row>
    <row r="724" spans="1:11" ht="58.15" customHeight="1" x14ac:dyDescent="0.35">
      <c r="A724" s="192">
        <v>723</v>
      </c>
      <c r="B724" s="205" t="s">
        <v>4803</v>
      </c>
      <c r="C724" s="193" t="s">
        <v>4804</v>
      </c>
      <c r="D724" s="202" t="s">
        <v>4805</v>
      </c>
      <c r="E724" s="203">
        <v>45657</v>
      </c>
      <c r="F724" s="208">
        <v>466300</v>
      </c>
      <c r="G724" s="192"/>
      <c r="H724" s="209"/>
      <c r="I724" s="194" t="s">
        <v>4806</v>
      </c>
      <c r="J724" s="193" t="s">
        <v>2696</v>
      </c>
      <c r="K724" s="194" t="s">
        <v>4249</v>
      </c>
    </row>
    <row r="725" spans="1:11" ht="58.15" customHeight="1" x14ac:dyDescent="0.35">
      <c r="A725" s="192">
        <v>724</v>
      </c>
      <c r="B725" s="205" t="s">
        <v>4807</v>
      </c>
      <c r="C725" s="193" t="s">
        <v>4808</v>
      </c>
      <c r="D725" s="202" t="s">
        <v>4809</v>
      </c>
      <c r="E725" s="203">
        <v>45657</v>
      </c>
      <c r="F725" s="208">
        <f>375700/2</f>
        <v>187850</v>
      </c>
      <c r="G725" s="192"/>
      <c r="H725" s="209"/>
      <c r="I725" s="194" t="s">
        <v>2914</v>
      </c>
      <c r="J725" s="193" t="s">
        <v>2696</v>
      </c>
      <c r="K725" s="194" t="s">
        <v>2915</v>
      </c>
    </row>
    <row r="726" spans="1:11" ht="58.15" customHeight="1" x14ac:dyDescent="0.35">
      <c r="A726" s="192">
        <v>725</v>
      </c>
      <c r="B726" s="205" t="s">
        <v>4807</v>
      </c>
      <c r="C726" s="193" t="s">
        <v>4808</v>
      </c>
      <c r="D726" s="202" t="s">
        <v>4810</v>
      </c>
      <c r="E726" s="203">
        <v>45657</v>
      </c>
      <c r="F726" s="208">
        <f>375700/2</f>
        <v>187850</v>
      </c>
      <c r="G726" s="192"/>
      <c r="H726" s="209"/>
      <c r="I726" s="194" t="s">
        <v>2914</v>
      </c>
      <c r="J726" s="193" t="s">
        <v>2696</v>
      </c>
      <c r="K726" s="194" t="s">
        <v>2915</v>
      </c>
    </row>
    <row r="727" spans="1:11" ht="58.15" customHeight="1" x14ac:dyDescent="0.35">
      <c r="A727" s="192">
        <v>726</v>
      </c>
      <c r="B727" s="205" t="s">
        <v>4811</v>
      </c>
      <c r="C727" s="193" t="s">
        <v>4812</v>
      </c>
      <c r="D727" s="202" t="s">
        <v>4813</v>
      </c>
      <c r="E727" s="203">
        <v>45657</v>
      </c>
      <c r="F727" s="208">
        <v>150300</v>
      </c>
      <c r="G727" s="192"/>
      <c r="H727" s="209"/>
      <c r="I727" s="194" t="s">
        <v>2871</v>
      </c>
      <c r="J727" s="193" t="s">
        <v>2696</v>
      </c>
      <c r="K727" s="194" t="s">
        <v>1292</v>
      </c>
    </row>
    <row r="728" spans="1:11" ht="58.15" customHeight="1" x14ac:dyDescent="0.35">
      <c r="A728" s="192">
        <v>727</v>
      </c>
      <c r="B728" s="205" t="s">
        <v>4814</v>
      </c>
      <c r="C728" s="193" t="s">
        <v>4815</v>
      </c>
      <c r="D728" s="202" t="s">
        <v>4816</v>
      </c>
      <c r="E728" s="203">
        <v>45657</v>
      </c>
      <c r="F728" s="208">
        <v>82900</v>
      </c>
      <c r="G728" s="192"/>
      <c r="H728" s="209"/>
      <c r="I728" s="194" t="s">
        <v>4817</v>
      </c>
      <c r="J728" s="193" t="s">
        <v>2696</v>
      </c>
      <c r="K728" s="194" t="s">
        <v>1235</v>
      </c>
    </row>
    <row r="729" spans="1:11" ht="58.15" customHeight="1" x14ac:dyDescent="0.35">
      <c r="A729" s="192">
        <v>728</v>
      </c>
      <c r="B729" s="205" t="s">
        <v>4818</v>
      </c>
      <c r="C729" s="193" t="s">
        <v>4819</v>
      </c>
      <c r="D729" s="202" t="s">
        <v>4820</v>
      </c>
      <c r="E729" s="203">
        <v>45657</v>
      </c>
      <c r="F729" s="208">
        <v>77700</v>
      </c>
      <c r="G729" s="192"/>
      <c r="H729" s="209"/>
      <c r="I729" s="194" t="s">
        <v>4575</v>
      </c>
      <c r="J729" s="193" t="s">
        <v>2696</v>
      </c>
      <c r="K729" s="194" t="s">
        <v>4576</v>
      </c>
    </row>
    <row r="730" spans="1:11" ht="58.15" customHeight="1" x14ac:dyDescent="0.35">
      <c r="A730" s="192">
        <v>729</v>
      </c>
      <c r="B730" s="205" t="s">
        <v>4821</v>
      </c>
      <c r="C730" s="193" t="s">
        <v>4822</v>
      </c>
      <c r="D730" s="202" t="s">
        <v>4823</v>
      </c>
      <c r="E730" s="203">
        <v>45657</v>
      </c>
      <c r="F730" s="208">
        <v>85500</v>
      </c>
      <c r="G730" s="192"/>
      <c r="H730" s="209"/>
      <c r="I730" s="194" t="s">
        <v>4273</v>
      </c>
      <c r="J730" s="193" t="s">
        <v>2696</v>
      </c>
      <c r="K730" s="194" t="s">
        <v>4274</v>
      </c>
    </row>
    <row r="731" spans="1:11" ht="58.15" customHeight="1" x14ac:dyDescent="0.35">
      <c r="A731" s="192">
        <v>730</v>
      </c>
      <c r="B731" s="205" t="s">
        <v>4824</v>
      </c>
      <c r="C731" s="193" t="s">
        <v>4825</v>
      </c>
      <c r="D731" s="202" t="s">
        <v>4826</v>
      </c>
      <c r="E731" s="203">
        <v>45657</v>
      </c>
      <c r="F731" s="208">
        <v>401600</v>
      </c>
      <c r="G731" s="192"/>
      <c r="H731" s="209"/>
      <c r="I731" s="194" t="s">
        <v>2914</v>
      </c>
      <c r="J731" s="193" t="s">
        <v>2696</v>
      </c>
      <c r="K731" s="194" t="s">
        <v>3742</v>
      </c>
    </row>
    <row r="732" spans="1:11" ht="58.15" customHeight="1" x14ac:dyDescent="0.35">
      <c r="A732" s="192">
        <v>731</v>
      </c>
      <c r="B732" s="205" t="s">
        <v>4827</v>
      </c>
      <c r="C732" s="193" t="s">
        <v>4828</v>
      </c>
      <c r="D732" s="202" t="s">
        <v>4829</v>
      </c>
      <c r="E732" s="203">
        <v>45657</v>
      </c>
      <c r="F732" s="208">
        <v>505100</v>
      </c>
      <c r="G732" s="192"/>
      <c r="H732" s="209"/>
      <c r="I732" s="194" t="s">
        <v>4762</v>
      </c>
      <c r="J732" s="193" t="s">
        <v>2696</v>
      </c>
      <c r="K732" s="194" t="s">
        <v>1266</v>
      </c>
    </row>
    <row r="733" spans="1:11" ht="58.15" customHeight="1" x14ac:dyDescent="0.35">
      <c r="A733" s="192">
        <v>732</v>
      </c>
      <c r="B733" s="205" t="s">
        <v>4830</v>
      </c>
      <c r="C733" s="193" t="s">
        <v>4831</v>
      </c>
      <c r="D733" s="202" t="s">
        <v>4832</v>
      </c>
      <c r="E733" s="203">
        <v>45657</v>
      </c>
      <c r="F733" s="208">
        <v>285000</v>
      </c>
      <c r="G733" s="192"/>
      <c r="H733" s="209"/>
      <c r="I733" s="194" t="s">
        <v>4601</v>
      </c>
      <c r="J733" s="193" t="s">
        <v>2696</v>
      </c>
      <c r="K733" s="194" t="s">
        <v>4249</v>
      </c>
    </row>
    <row r="734" spans="1:11" ht="58.15" customHeight="1" x14ac:dyDescent="0.35">
      <c r="A734" s="192">
        <v>733</v>
      </c>
      <c r="B734" s="205" t="s">
        <v>4833</v>
      </c>
      <c r="C734" s="193" t="s">
        <v>4834</v>
      </c>
      <c r="D734" s="202" t="s">
        <v>4835</v>
      </c>
      <c r="E734" s="203">
        <v>45657</v>
      </c>
      <c r="F734" s="208">
        <v>458600</v>
      </c>
      <c r="G734" s="192"/>
      <c r="H734" s="209"/>
      <c r="I734" s="194" t="s">
        <v>4645</v>
      </c>
      <c r="J734" s="193" t="s">
        <v>2696</v>
      </c>
      <c r="K734" s="194" t="s">
        <v>4646</v>
      </c>
    </row>
    <row r="735" spans="1:11" ht="58.15" customHeight="1" x14ac:dyDescent="0.35">
      <c r="A735" s="192">
        <v>734</v>
      </c>
      <c r="B735" s="205" t="s">
        <v>4836</v>
      </c>
      <c r="C735" s="193" t="s">
        <v>4837</v>
      </c>
      <c r="D735" s="202" t="s">
        <v>4838</v>
      </c>
      <c r="E735" s="203">
        <v>45657</v>
      </c>
      <c r="F735" s="208">
        <v>310100</v>
      </c>
      <c r="G735" s="192"/>
      <c r="H735" s="209"/>
      <c r="I735" s="194" t="s">
        <v>2871</v>
      </c>
      <c r="J735" s="193" t="s">
        <v>2696</v>
      </c>
      <c r="K735" s="194" t="s">
        <v>1292</v>
      </c>
    </row>
    <row r="736" spans="1:11" ht="58.15" customHeight="1" x14ac:dyDescent="0.35">
      <c r="A736" s="192">
        <v>735</v>
      </c>
      <c r="B736" s="205" t="s">
        <v>4839</v>
      </c>
      <c r="C736" s="193" t="s">
        <v>4840</v>
      </c>
      <c r="D736" s="202" t="s">
        <v>4841</v>
      </c>
      <c r="E736" s="203">
        <v>45657</v>
      </c>
      <c r="F736" s="208">
        <v>320900</v>
      </c>
      <c r="G736" s="192"/>
      <c r="H736" s="209"/>
      <c r="I736" s="194"/>
      <c r="J736" s="193" t="s">
        <v>2696</v>
      </c>
      <c r="K736" s="194"/>
    </row>
    <row r="737" spans="1:11" ht="58.15" customHeight="1" x14ac:dyDescent="0.35">
      <c r="A737" s="192">
        <v>736</v>
      </c>
      <c r="B737" s="205" t="s">
        <v>4842</v>
      </c>
      <c r="C737" s="193" t="s">
        <v>4843</v>
      </c>
      <c r="D737" s="202" t="s">
        <v>4844</v>
      </c>
      <c r="E737" s="203">
        <v>45657</v>
      </c>
      <c r="F737" s="208">
        <f>1178400/3</f>
        <v>392800</v>
      </c>
      <c r="G737" s="192"/>
      <c r="H737" s="209"/>
      <c r="I737" s="194" t="s">
        <v>4645</v>
      </c>
      <c r="J737" s="193" t="s">
        <v>2696</v>
      </c>
      <c r="K737" s="194" t="s">
        <v>4646</v>
      </c>
    </row>
    <row r="738" spans="1:11" ht="58.15" customHeight="1" x14ac:dyDescent="0.35">
      <c r="A738" s="192">
        <v>737</v>
      </c>
      <c r="B738" s="205" t="s">
        <v>4842</v>
      </c>
      <c r="C738" s="193" t="s">
        <v>4843</v>
      </c>
      <c r="D738" s="202" t="s">
        <v>4845</v>
      </c>
      <c r="E738" s="203">
        <v>45657</v>
      </c>
      <c r="F738" s="208">
        <f t="shared" ref="F738:F739" si="22">1178400/3</f>
        <v>392800</v>
      </c>
      <c r="G738" s="192"/>
      <c r="H738" s="209"/>
      <c r="I738" s="194" t="s">
        <v>4645</v>
      </c>
      <c r="J738" s="193" t="s">
        <v>2696</v>
      </c>
      <c r="K738" s="194" t="s">
        <v>4646</v>
      </c>
    </row>
    <row r="739" spans="1:11" ht="58.15" customHeight="1" x14ac:dyDescent="0.35">
      <c r="A739" s="192">
        <v>738</v>
      </c>
      <c r="B739" s="205" t="s">
        <v>4842</v>
      </c>
      <c r="C739" s="193" t="s">
        <v>4843</v>
      </c>
      <c r="D739" s="202" t="s">
        <v>4846</v>
      </c>
      <c r="E739" s="203">
        <v>45657</v>
      </c>
      <c r="F739" s="208">
        <f t="shared" si="22"/>
        <v>392800</v>
      </c>
      <c r="G739" s="192"/>
      <c r="H739" s="209"/>
      <c r="I739" s="194" t="s">
        <v>4645</v>
      </c>
      <c r="J739" s="193" t="s">
        <v>2696</v>
      </c>
      <c r="K739" s="194" t="s">
        <v>4646</v>
      </c>
    </row>
    <row r="740" spans="1:11" ht="58.15" customHeight="1" x14ac:dyDescent="0.35">
      <c r="A740" s="192">
        <v>739</v>
      </c>
      <c r="B740" s="205" t="s">
        <v>4847</v>
      </c>
      <c r="C740" s="193" t="s">
        <v>4848</v>
      </c>
      <c r="D740" s="202" t="s">
        <v>4849</v>
      </c>
      <c r="E740" s="203">
        <v>45657</v>
      </c>
      <c r="F740" s="208">
        <v>430300</v>
      </c>
      <c r="G740" s="192"/>
      <c r="H740" s="209"/>
      <c r="I740" s="194"/>
      <c r="J740" s="193" t="s">
        <v>2696</v>
      </c>
      <c r="K740" s="194"/>
    </row>
    <row r="741" spans="1:11" ht="58.15" customHeight="1" x14ac:dyDescent="0.35">
      <c r="A741" s="192">
        <v>740</v>
      </c>
      <c r="B741" s="205" t="s">
        <v>4850</v>
      </c>
      <c r="C741" s="193" t="s">
        <v>4851</v>
      </c>
      <c r="D741" s="202" t="s">
        <v>4852</v>
      </c>
      <c r="E741" s="203">
        <v>45657</v>
      </c>
      <c r="F741" s="208">
        <v>124000</v>
      </c>
      <c r="G741" s="192"/>
      <c r="H741" s="209"/>
      <c r="I741" s="194" t="s">
        <v>4253</v>
      </c>
      <c r="J741" s="193" t="s">
        <v>2696</v>
      </c>
      <c r="K741" s="194" t="s">
        <v>2700</v>
      </c>
    </row>
    <row r="742" spans="1:11" ht="58.15" customHeight="1" x14ac:dyDescent="0.35">
      <c r="A742" s="192">
        <v>741</v>
      </c>
      <c r="B742" s="205" t="s">
        <v>4853</v>
      </c>
      <c r="C742" s="193" t="s">
        <v>4854</v>
      </c>
      <c r="D742" s="202" t="s">
        <v>4855</v>
      </c>
      <c r="E742" s="203">
        <v>45657</v>
      </c>
      <c r="F742" s="208">
        <v>441900</v>
      </c>
      <c r="G742" s="192"/>
      <c r="H742" s="209"/>
      <c r="I742" s="194" t="s">
        <v>4856</v>
      </c>
      <c r="J742" s="193" t="s">
        <v>2696</v>
      </c>
      <c r="K742" s="194" t="s">
        <v>4188</v>
      </c>
    </row>
    <row r="743" spans="1:11" ht="58.15" customHeight="1" x14ac:dyDescent="0.35">
      <c r="A743" s="192">
        <v>742</v>
      </c>
      <c r="B743" s="205" t="s">
        <v>4857</v>
      </c>
      <c r="C743" s="193" t="s">
        <v>4858</v>
      </c>
      <c r="D743" s="202" t="s">
        <v>4859</v>
      </c>
      <c r="E743" s="203">
        <v>45657</v>
      </c>
      <c r="F743" s="208">
        <v>465200</v>
      </c>
      <c r="G743" s="192"/>
      <c r="H743" s="209"/>
      <c r="I743" s="194" t="s">
        <v>4762</v>
      </c>
      <c r="J743" s="193" t="s">
        <v>2696</v>
      </c>
      <c r="K743" s="194" t="s">
        <v>4188</v>
      </c>
    </row>
    <row r="744" spans="1:11" ht="58.15" customHeight="1" x14ac:dyDescent="0.35">
      <c r="A744" s="192">
        <v>743</v>
      </c>
      <c r="B744" s="205" t="s">
        <v>4860</v>
      </c>
      <c r="C744" s="193" t="s">
        <v>4861</v>
      </c>
      <c r="D744" s="202" t="s">
        <v>4862</v>
      </c>
      <c r="E744" s="203">
        <v>45657</v>
      </c>
      <c r="F744" s="208">
        <v>418600</v>
      </c>
      <c r="G744" s="192"/>
      <c r="H744" s="209"/>
      <c r="I744" s="194" t="s">
        <v>4863</v>
      </c>
      <c r="J744" s="193" t="s">
        <v>2696</v>
      </c>
      <c r="K744" s="194" t="s">
        <v>4234</v>
      </c>
    </row>
    <row r="745" spans="1:11" ht="58.15" customHeight="1" x14ac:dyDescent="0.35">
      <c r="A745" s="192">
        <v>744</v>
      </c>
      <c r="B745" s="205" t="s">
        <v>4864</v>
      </c>
      <c r="C745" s="193" t="s">
        <v>4865</v>
      </c>
      <c r="D745" s="202" t="s">
        <v>4866</v>
      </c>
      <c r="E745" s="203">
        <v>45657</v>
      </c>
      <c r="F745" s="208">
        <v>356600</v>
      </c>
      <c r="G745" s="192"/>
      <c r="H745" s="209"/>
      <c r="I745" s="194" t="s">
        <v>2718</v>
      </c>
      <c r="J745" s="193" t="s">
        <v>2696</v>
      </c>
      <c r="K745" s="194" t="s">
        <v>2701</v>
      </c>
    </row>
    <row r="746" spans="1:11" ht="58.15" customHeight="1" x14ac:dyDescent="0.35">
      <c r="A746" s="192">
        <v>745</v>
      </c>
      <c r="B746" s="205" t="s">
        <v>4867</v>
      </c>
      <c r="C746" s="193" t="s">
        <v>4868</v>
      </c>
      <c r="D746" s="202" t="s">
        <v>4869</v>
      </c>
      <c r="E746" s="203">
        <v>45657</v>
      </c>
      <c r="F746" s="208">
        <v>546700</v>
      </c>
      <c r="G746" s="192"/>
      <c r="H746" s="209"/>
      <c r="I746" s="194" t="s">
        <v>4238</v>
      </c>
      <c r="J746" s="193" t="s">
        <v>2696</v>
      </c>
      <c r="K746" s="194" t="s">
        <v>1235</v>
      </c>
    </row>
    <row r="747" spans="1:11" ht="58.15" customHeight="1" x14ac:dyDescent="0.35">
      <c r="A747" s="192">
        <v>746</v>
      </c>
      <c r="B747" s="205" t="s">
        <v>4870</v>
      </c>
      <c r="C747" s="193" t="s">
        <v>4871</v>
      </c>
      <c r="D747" s="202" t="s">
        <v>4872</v>
      </c>
      <c r="E747" s="203">
        <v>45657</v>
      </c>
      <c r="F747" s="208">
        <v>480600</v>
      </c>
      <c r="G747" s="192"/>
      <c r="H747" s="209"/>
      <c r="I747" s="194" t="s">
        <v>4623</v>
      </c>
      <c r="J747" s="193" t="s">
        <v>2696</v>
      </c>
      <c r="K747" s="194" t="s">
        <v>4624</v>
      </c>
    </row>
    <row r="748" spans="1:11" ht="58.15" customHeight="1" x14ac:dyDescent="0.35">
      <c r="A748" s="192">
        <v>747</v>
      </c>
      <c r="B748" s="205" t="s">
        <v>4873</v>
      </c>
      <c r="C748" s="193" t="s">
        <v>4874</v>
      </c>
      <c r="D748" s="202" t="s">
        <v>4875</v>
      </c>
      <c r="E748" s="203">
        <v>45657</v>
      </c>
      <c r="F748" s="208">
        <f>868300/3</f>
        <v>289433.33333333331</v>
      </c>
      <c r="G748" s="192"/>
      <c r="H748" s="209"/>
      <c r="I748" s="194" t="s">
        <v>2914</v>
      </c>
      <c r="J748" s="193" t="s">
        <v>2696</v>
      </c>
      <c r="K748" s="194" t="s">
        <v>2915</v>
      </c>
    </row>
    <row r="749" spans="1:11" ht="58.15" customHeight="1" x14ac:dyDescent="0.35">
      <c r="A749" s="192">
        <v>748</v>
      </c>
      <c r="B749" s="205" t="s">
        <v>4873</v>
      </c>
      <c r="C749" s="193" t="s">
        <v>4874</v>
      </c>
      <c r="D749" s="202" t="s">
        <v>4876</v>
      </c>
      <c r="E749" s="203">
        <v>45657</v>
      </c>
      <c r="F749" s="208">
        <f t="shared" ref="F749:F750" si="23">868300/3</f>
        <v>289433.33333333331</v>
      </c>
      <c r="G749" s="192"/>
      <c r="H749" s="209"/>
      <c r="I749" s="194" t="s">
        <v>2914</v>
      </c>
      <c r="J749" s="193" t="s">
        <v>2696</v>
      </c>
      <c r="K749" s="194" t="s">
        <v>2915</v>
      </c>
    </row>
    <row r="750" spans="1:11" ht="58.15" customHeight="1" x14ac:dyDescent="0.35">
      <c r="A750" s="192">
        <v>749</v>
      </c>
      <c r="B750" s="205" t="s">
        <v>4873</v>
      </c>
      <c r="C750" s="193" t="s">
        <v>4874</v>
      </c>
      <c r="D750" s="202" t="s">
        <v>4877</v>
      </c>
      <c r="E750" s="203">
        <v>45657</v>
      </c>
      <c r="F750" s="208">
        <f t="shared" si="23"/>
        <v>289433.33333333331</v>
      </c>
      <c r="G750" s="192"/>
      <c r="H750" s="209"/>
      <c r="I750" s="194" t="s">
        <v>2914</v>
      </c>
      <c r="J750" s="193" t="s">
        <v>2696</v>
      </c>
      <c r="K750" s="194" t="s">
        <v>2915</v>
      </c>
    </row>
    <row r="751" spans="1:11" ht="58.15" customHeight="1" x14ac:dyDescent="0.35">
      <c r="A751" s="192">
        <v>750</v>
      </c>
      <c r="B751" s="205" t="s">
        <v>4878</v>
      </c>
      <c r="C751" s="193" t="s">
        <v>4879</v>
      </c>
      <c r="D751" s="202" t="s">
        <v>4880</v>
      </c>
      <c r="E751" s="203">
        <v>45657</v>
      </c>
      <c r="F751" s="208">
        <v>300600</v>
      </c>
      <c r="G751" s="192"/>
      <c r="H751" s="209"/>
      <c r="I751" s="194" t="s">
        <v>4623</v>
      </c>
      <c r="J751" s="193" t="s">
        <v>2696</v>
      </c>
      <c r="K751" s="194" t="s">
        <v>4624</v>
      </c>
    </row>
    <row r="752" spans="1:11" ht="58.15" customHeight="1" x14ac:dyDescent="0.35">
      <c r="A752" s="192">
        <v>751</v>
      </c>
      <c r="B752" s="205" t="s">
        <v>4881</v>
      </c>
      <c r="C752" s="193" t="s">
        <v>4882</v>
      </c>
      <c r="D752" s="202" t="s">
        <v>4883</v>
      </c>
      <c r="E752" s="203">
        <v>45657</v>
      </c>
      <c r="F752" s="208">
        <v>302300</v>
      </c>
      <c r="G752" s="192"/>
      <c r="H752" s="209"/>
      <c r="I752" s="194" t="s">
        <v>4884</v>
      </c>
      <c r="J752" s="193" t="s">
        <v>2696</v>
      </c>
      <c r="K752" s="194" t="s">
        <v>4234</v>
      </c>
    </row>
    <row r="753" spans="1:11" ht="58.15" customHeight="1" x14ac:dyDescent="0.35">
      <c r="A753" s="192">
        <v>752</v>
      </c>
      <c r="B753" s="205" t="s">
        <v>4885</v>
      </c>
      <c r="C753" s="193" t="s">
        <v>4886</v>
      </c>
      <c r="D753" s="202" t="s">
        <v>4887</v>
      </c>
      <c r="E753" s="203">
        <v>45657</v>
      </c>
      <c r="F753" s="208">
        <v>356300</v>
      </c>
      <c r="G753" s="192"/>
      <c r="H753" s="209"/>
      <c r="I753" s="194" t="s">
        <v>4888</v>
      </c>
      <c r="J753" s="193" t="s">
        <v>2696</v>
      </c>
      <c r="K753" s="194" t="s">
        <v>4888</v>
      </c>
    </row>
    <row r="754" spans="1:11" ht="58.15" customHeight="1" x14ac:dyDescent="0.35">
      <c r="A754" s="192">
        <v>753</v>
      </c>
      <c r="B754" s="205" t="s">
        <v>4889</v>
      </c>
      <c r="C754" s="193" t="s">
        <v>4890</v>
      </c>
      <c r="D754" s="202" t="s">
        <v>4891</v>
      </c>
      <c r="E754" s="203">
        <v>45657</v>
      </c>
      <c r="F754" s="208">
        <v>543300</v>
      </c>
      <c r="G754" s="192"/>
      <c r="H754" s="209"/>
      <c r="I754" s="194" t="s">
        <v>4204</v>
      </c>
      <c r="J754" s="193" t="s">
        <v>2696</v>
      </c>
      <c r="K754" s="194" t="s">
        <v>4205</v>
      </c>
    </row>
    <row r="755" spans="1:11" ht="58.15" customHeight="1" x14ac:dyDescent="0.35">
      <c r="A755" s="192">
        <v>754</v>
      </c>
      <c r="B755" s="205" t="s">
        <v>4892</v>
      </c>
      <c r="C755" s="193" t="s">
        <v>4893</v>
      </c>
      <c r="D755" s="202" t="s">
        <v>4894</v>
      </c>
      <c r="E755" s="203">
        <v>45657</v>
      </c>
      <c r="F755" s="208">
        <v>372100</v>
      </c>
      <c r="G755" s="192"/>
      <c r="H755" s="209"/>
      <c r="I755" s="194" t="s">
        <v>4631</v>
      </c>
      <c r="J755" s="193" t="s">
        <v>2696</v>
      </c>
      <c r="K755" s="194" t="s">
        <v>1635</v>
      </c>
    </row>
    <row r="756" spans="1:11" ht="58.15" customHeight="1" x14ac:dyDescent="0.35">
      <c r="A756" s="192">
        <v>755</v>
      </c>
      <c r="B756" s="205" t="s">
        <v>4895</v>
      </c>
      <c r="C756" s="193" t="s">
        <v>4896</v>
      </c>
      <c r="D756" s="202" t="s">
        <v>4897</v>
      </c>
      <c r="E756" s="203">
        <v>45657</v>
      </c>
      <c r="F756" s="208">
        <v>472900</v>
      </c>
      <c r="G756" s="192"/>
      <c r="H756" s="209"/>
      <c r="I756" s="194" t="s">
        <v>2871</v>
      </c>
      <c r="J756" s="193" t="s">
        <v>2696</v>
      </c>
      <c r="K756" s="194" t="s">
        <v>1292</v>
      </c>
    </row>
    <row r="757" spans="1:11" ht="58.15" customHeight="1" x14ac:dyDescent="0.35">
      <c r="A757" s="192">
        <v>756</v>
      </c>
      <c r="B757" s="205" t="s">
        <v>4898</v>
      </c>
      <c r="C757" s="193" t="s">
        <v>4899</v>
      </c>
      <c r="D757" s="202" t="s">
        <v>4900</v>
      </c>
      <c r="E757" s="203">
        <v>45657</v>
      </c>
      <c r="F757" s="208">
        <f>680000/4</f>
        <v>170000</v>
      </c>
      <c r="G757" s="192"/>
      <c r="H757" s="209"/>
      <c r="I757" s="194" t="s">
        <v>2914</v>
      </c>
      <c r="J757" s="193" t="s">
        <v>2696</v>
      </c>
      <c r="K757" s="194" t="s">
        <v>2915</v>
      </c>
    </row>
    <row r="758" spans="1:11" ht="58.15" customHeight="1" x14ac:dyDescent="0.35">
      <c r="A758" s="192">
        <v>757</v>
      </c>
      <c r="B758" s="205" t="s">
        <v>4898</v>
      </c>
      <c r="C758" s="193" t="s">
        <v>4899</v>
      </c>
      <c r="D758" s="202" t="s">
        <v>4901</v>
      </c>
      <c r="E758" s="203">
        <v>45657</v>
      </c>
      <c r="F758" s="208">
        <f t="shared" ref="F758:F760" si="24">680000/4</f>
        <v>170000</v>
      </c>
      <c r="G758" s="192"/>
      <c r="H758" s="209"/>
      <c r="I758" s="194" t="s">
        <v>2914</v>
      </c>
      <c r="J758" s="193" t="s">
        <v>2696</v>
      </c>
      <c r="K758" s="194" t="s">
        <v>2915</v>
      </c>
    </row>
    <row r="759" spans="1:11" ht="58.15" customHeight="1" x14ac:dyDescent="0.35">
      <c r="A759" s="192">
        <v>758</v>
      </c>
      <c r="B759" s="205" t="s">
        <v>4898</v>
      </c>
      <c r="C759" s="193" t="s">
        <v>4899</v>
      </c>
      <c r="D759" s="202" t="s">
        <v>4902</v>
      </c>
      <c r="E759" s="203">
        <v>45657</v>
      </c>
      <c r="F759" s="208">
        <f t="shared" si="24"/>
        <v>170000</v>
      </c>
      <c r="G759" s="192"/>
      <c r="H759" s="209"/>
      <c r="I759" s="194" t="s">
        <v>2914</v>
      </c>
      <c r="J759" s="193" t="s">
        <v>2696</v>
      </c>
      <c r="K759" s="194" t="s">
        <v>2915</v>
      </c>
    </row>
    <row r="760" spans="1:11" ht="58.15" customHeight="1" x14ac:dyDescent="0.35">
      <c r="A760" s="192">
        <v>759</v>
      </c>
      <c r="B760" s="205" t="s">
        <v>4898</v>
      </c>
      <c r="C760" s="193" t="s">
        <v>4899</v>
      </c>
      <c r="D760" s="202" t="s">
        <v>4903</v>
      </c>
      <c r="E760" s="203">
        <v>45657</v>
      </c>
      <c r="F760" s="208">
        <f t="shared" si="24"/>
        <v>170000</v>
      </c>
      <c r="G760" s="192"/>
      <c r="H760" s="209"/>
      <c r="I760" s="194" t="s">
        <v>2914</v>
      </c>
      <c r="J760" s="193" t="s">
        <v>2696</v>
      </c>
      <c r="K760" s="194" t="s">
        <v>2915</v>
      </c>
    </row>
    <row r="761" spans="1:11" ht="58.15" customHeight="1" x14ac:dyDescent="0.35">
      <c r="A761" s="192">
        <v>760</v>
      </c>
      <c r="B761" s="205" t="s">
        <v>4904</v>
      </c>
      <c r="C761" s="193" t="s">
        <v>4905</v>
      </c>
      <c r="D761" s="202" t="s">
        <v>4906</v>
      </c>
      <c r="E761" s="203">
        <v>45657</v>
      </c>
      <c r="F761" s="208">
        <f>700400/2</f>
        <v>350200</v>
      </c>
      <c r="G761" s="192"/>
      <c r="H761" s="209"/>
      <c r="I761" s="194" t="s">
        <v>2695</v>
      </c>
      <c r="J761" s="193" t="s">
        <v>2696</v>
      </c>
      <c r="K761" s="194" t="s">
        <v>4907</v>
      </c>
    </row>
    <row r="762" spans="1:11" ht="58.15" customHeight="1" x14ac:dyDescent="0.35">
      <c r="A762" s="192">
        <v>761</v>
      </c>
      <c r="B762" s="205" t="s">
        <v>4904</v>
      </c>
      <c r="C762" s="193" t="s">
        <v>4905</v>
      </c>
      <c r="D762" s="202" t="s">
        <v>4908</v>
      </c>
      <c r="E762" s="203">
        <v>45657</v>
      </c>
      <c r="F762" s="208">
        <f>700400/2</f>
        <v>350200</v>
      </c>
      <c r="G762" s="192"/>
      <c r="H762" s="209"/>
      <c r="I762" s="194" t="s">
        <v>2695</v>
      </c>
      <c r="J762" s="193" t="s">
        <v>2696</v>
      </c>
      <c r="K762" s="194" t="s">
        <v>4907</v>
      </c>
    </row>
    <row r="763" spans="1:11" ht="58.15" customHeight="1" x14ac:dyDescent="0.35">
      <c r="A763" s="192">
        <v>762</v>
      </c>
      <c r="B763" s="205" t="s">
        <v>4909</v>
      </c>
      <c r="C763" s="193" t="s">
        <v>4910</v>
      </c>
      <c r="D763" s="202" t="s">
        <v>4911</v>
      </c>
      <c r="E763" s="203">
        <v>45657</v>
      </c>
      <c r="F763" s="208">
        <v>370900</v>
      </c>
      <c r="G763" s="192"/>
      <c r="H763" s="209"/>
      <c r="I763" s="194"/>
      <c r="J763" s="193" t="s">
        <v>2696</v>
      </c>
      <c r="K763" s="194" t="s">
        <v>4912</v>
      </c>
    </row>
    <row r="764" spans="1:11" ht="58.15" customHeight="1" x14ac:dyDescent="0.35">
      <c r="A764" s="192">
        <v>763</v>
      </c>
      <c r="B764" s="205" t="s">
        <v>4913</v>
      </c>
      <c r="C764" s="193" t="s">
        <v>4914</v>
      </c>
      <c r="D764" s="202" t="s">
        <v>4915</v>
      </c>
      <c r="E764" s="203">
        <v>45657</v>
      </c>
      <c r="F764" s="208">
        <v>417100</v>
      </c>
      <c r="G764" s="192"/>
      <c r="H764" s="209"/>
      <c r="I764" s="194"/>
      <c r="J764" s="193" t="s">
        <v>2696</v>
      </c>
      <c r="K764" s="194"/>
    </row>
    <row r="765" spans="1:11" ht="58.15" customHeight="1" x14ac:dyDescent="0.35">
      <c r="A765" s="192">
        <v>764</v>
      </c>
      <c r="B765" s="205" t="s">
        <v>4917</v>
      </c>
      <c r="C765" s="193" t="s">
        <v>4918</v>
      </c>
      <c r="D765" s="202" t="s">
        <v>4919</v>
      </c>
      <c r="E765" s="203">
        <v>45657</v>
      </c>
      <c r="F765" s="208">
        <v>510600</v>
      </c>
      <c r="G765" s="192"/>
      <c r="H765" s="209"/>
      <c r="I765" s="194" t="s">
        <v>4920</v>
      </c>
      <c r="J765" s="193" t="s">
        <v>2696</v>
      </c>
      <c r="K765" s="194" t="s">
        <v>4921</v>
      </c>
    </row>
    <row r="766" spans="1:11" ht="58.15" customHeight="1" x14ac:dyDescent="0.35">
      <c r="A766" s="192">
        <v>765</v>
      </c>
      <c r="B766" s="205" t="s">
        <v>4101</v>
      </c>
      <c r="C766" s="193" t="s">
        <v>4922</v>
      </c>
      <c r="D766" s="202" t="s">
        <v>4923</v>
      </c>
      <c r="E766" s="203">
        <v>45657</v>
      </c>
      <c r="F766" s="208">
        <v>432500</v>
      </c>
      <c r="G766" s="192"/>
      <c r="H766" s="209"/>
      <c r="I766" s="194" t="s">
        <v>4226</v>
      </c>
      <c r="J766" s="193" t="s">
        <v>2696</v>
      </c>
      <c r="K766" s="194" t="s">
        <v>4227</v>
      </c>
    </row>
    <row r="767" spans="1:11" ht="58.15" customHeight="1" x14ac:dyDescent="0.35">
      <c r="A767" s="192">
        <v>766</v>
      </c>
      <c r="B767" s="205" t="s">
        <v>4924</v>
      </c>
      <c r="C767" s="193" t="s">
        <v>4925</v>
      </c>
      <c r="D767" s="202" t="s">
        <v>4926</v>
      </c>
      <c r="E767" s="203">
        <v>45657</v>
      </c>
      <c r="F767" s="208">
        <v>494200</v>
      </c>
      <c r="G767" s="192"/>
      <c r="H767" s="209"/>
      <c r="I767" s="194" t="s">
        <v>4182</v>
      </c>
      <c r="J767" s="193" t="s">
        <v>2696</v>
      </c>
      <c r="K767" s="194" t="s">
        <v>4183</v>
      </c>
    </row>
    <row r="768" spans="1:11" ht="58.15" customHeight="1" x14ac:dyDescent="0.35">
      <c r="A768" s="192">
        <v>767</v>
      </c>
      <c r="B768" s="205" t="s">
        <v>4927</v>
      </c>
      <c r="C768" s="193" t="s">
        <v>4928</v>
      </c>
      <c r="D768" s="202" t="s">
        <v>4929</v>
      </c>
      <c r="E768" s="203">
        <v>45657</v>
      </c>
      <c r="F768" s="208">
        <v>388600</v>
      </c>
      <c r="G768" s="192"/>
      <c r="H768" s="209"/>
      <c r="I768" s="194" t="s">
        <v>4930</v>
      </c>
      <c r="J768" s="193" t="s">
        <v>2696</v>
      </c>
      <c r="K768" s="194" t="s">
        <v>4576</v>
      </c>
    </row>
    <row r="769" spans="1:11" ht="58.15" customHeight="1" x14ac:dyDescent="0.35">
      <c r="A769" s="192">
        <v>768</v>
      </c>
      <c r="B769" s="205" t="s">
        <v>4931</v>
      </c>
      <c r="C769" s="193" t="s">
        <v>4932</v>
      </c>
      <c r="D769" s="202" t="s">
        <v>4933</v>
      </c>
      <c r="E769" s="203">
        <v>45657</v>
      </c>
      <c r="F769" s="208">
        <v>453100</v>
      </c>
      <c r="G769" s="192"/>
      <c r="H769" s="209"/>
      <c r="I769" s="194" t="s">
        <v>4934</v>
      </c>
      <c r="J769" s="193" t="s">
        <v>2696</v>
      </c>
      <c r="K769" s="194" t="s">
        <v>4935</v>
      </c>
    </row>
    <row r="770" spans="1:11" ht="58.15" customHeight="1" x14ac:dyDescent="0.35">
      <c r="A770" s="192">
        <v>769</v>
      </c>
      <c r="B770" s="205" t="s">
        <v>4936</v>
      </c>
      <c r="C770" s="193" t="s">
        <v>4937</v>
      </c>
      <c r="D770" s="202" t="s">
        <v>4938</v>
      </c>
      <c r="E770" s="203">
        <v>45657</v>
      </c>
      <c r="F770" s="208">
        <v>453100</v>
      </c>
      <c r="G770" s="192"/>
      <c r="H770" s="209"/>
      <c r="I770" s="194" t="s">
        <v>4423</v>
      </c>
      <c r="J770" s="193" t="s">
        <v>2696</v>
      </c>
      <c r="K770" s="194" t="s">
        <v>4193</v>
      </c>
    </row>
    <row r="771" spans="1:11" ht="58.15" customHeight="1" x14ac:dyDescent="0.35">
      <c r="A771" s="192">
        <v>770</v>
      </c>
      <c r="B771" s="205" t="s">
        <v>4939</v>
      </c>
      <c r="C771" s="193" t="s">
        <v>4940</v>
      </c>
      <c r="D771" s="202" t="s">
        <v>4941</v>
      </c>
      <c r="E771" s="203">
        <v>45657</v>
      </c>
      <c r="F771" s="208">
        <v>288300</v>
      </c>
      <c r="G771" s="192"/>
      <c r="H771" s="209"/>
      <c r="I771" s="194" t="s">
        <v>4942</v>
      </c>
      <c r="J771" s="193" t="s">
        <v>2696</v>
      </c>
      <c r="K771" s="194" t="s">
        <v>1292</v>
      </c>
    </row>
    <row r="772" spans="1:11" ht="58.15" customHeight="1" x14ac:dyDescent="0.35">
      <c r="A772" s="192">
        <v>771</v>
      </c>
      <c r="B772" s="205" t="s">
        <v>4944</v>
      </c>
      <c r="C772" s="193" t="s">
        <v>4945</v>
      </c>
      <c r="D772" s="202" t="s">
        <v>4946</v>
      </c>
      <c r="E772" s="203">
        <v>45657</v>
      </c>
      <c r="F772" s="208">
        <v>494200</v>
      </c>
      <c r="G772" s="192"/>
      <c r="H772" s="209"/>
      <c r="I772" s="194" t="s">
        <v>4947</v>
      </c>
      <c r="J772" s="193" t="s">
        <v>2696</v>
      </c>
      <c r="K772" s="194" t="s">
        <v>2700</v>
      </c>
    </row>
    <row r="773" spans="1:11" ht="58.15" customHeight="1" x14ac:dyDescent="0.35">
      <c r="A773" s="192">
        <v>772</v>
      </c>
      <c r="B773" s="205" t="s">
        <v>4948</v>
      </c>
      <c r="C773" s="193" t="s">
        <v>4949</v>
      </c>
      <c r="D773" s="202" t="s">
        <v>4950</v>
      </c>
      <c r="E773" s="203">
        <v>45657</v>
      </c>
      <c r="F773" s="208">
        <v>391300</v>
      </c>
      <c r="G773" s="192"/>
      <c r="H773" s="209"/>
      <c r="I773" s="194" t="s">
        <v>4741</v>
      </c>
      <c r="J773" s="193" t="s">
        <v>2696</v>
      </c>
      <c r="K773" s="194" t="s">
        <v>1635</v>
      </c>
    </row>
    <row r="774" spans="1:11" ht="58.15" customHeight="1" x14ac:dyDescent="0.35">
      <c r="A774" s="192">
        <v>773</v>
      </c>
      <c r="B774" s="205" t="s">
        <v>4951</v>
      </c>
      <c r="C774" s="193" t="s">
        <v>4952</v>
      </c>
      <c r="D774" s="202" t="s">
        <v>4953</v>
      </c>
      <c r="E774" s="203">
        <v>45657</v>
      </c>
      <c r="F774" s="208">
        <v>549200</v>
      </c>
      <c r="G774" s="192"/>
      <c r="H774" s="209"/>
      <c r="I774" s="194" t="s">
        <v>2914</v>
      </c>
      <c r="J774" s="193" t="s">
        <v>2696</v>
      </c>
      <c r="K774" s="194" t="s">
        <v>2915</v>
      </c>
    </row>
    <row r="775" spans="1:11" ht="58.15" customHeight="1" x14ac:dyDescent="0.35">
      <c r="A775" s="192">
        <v>774</v>
      </c>
      <c r="B775" s="205" t="s">
        <v>4954</v>
      </c>
      <c r="C775" s="193" t="s">
        <v>4955</v>
      </c>
      <c r="D775" s="202" t="s">
        <v>4956</v>
      </c>
      <c r="E775" s="203">
        <v>45657</v>
      </c>
      <c r="F775" s="208">
        <v>472200</v>
      </c>
      <c r="G775" s="192"/>
      <c r="H775" s="209"/>
      <c r="I775" s="194"/>
      <c r="J775" s="193" t="s">
        <v>2696</v>
      </c>
      <c r="K775" s="194"/>
    </row>
    <row r="776" spans="1:11" ht="58.15" customHeight="1" x14ac:dyDescent="0.35">
      <c r="A776" s="192">
        <v>775</v>
      </c>
      <c r="B776" s="205" t="s">
        <v>4957</v>
      </c>
      <c r="C776" s="193" t="s">
        <v>4958</v>
      </c>
      <c r="D776" s="202" t="s">
        <v>4959</v>
      </c>
      <c r="E776" s="203">
        <v>45657</v>
      </c>
      <c r="F776" s="208">
        <v>242000</v>
      </c>
      <c r="G776" s="192"/>
      <c r="H776" s="209"/>
      <c r="I776" s="194" t="s">
        <v>2871</v>
      </c>
      <c r="J776" s="193" t="s">
        <v>2696</v>
      </c>
      <c r="K776" s="194" t="s">
        <v>1292</v>
      </c>
    </row>
    <row r="777" spans="1:11" ht="58.15" customHeight="1" x14ac:dyDescent="0.35">
      <c r="A777" s="192">
        <v>776</v>
      </c>
      <c r="B777" s="205" t="s">
        <v>4689</v>
      </c>
      <c r="C777" s="193" t="s">
        <v>4960</v>
      </c>
      <c r="D777" s="202" t="s">
        <v>4961</v>
      </c>
      <c r="E777" s="203">
        <v>45657</v>
      </c>
      <c r="F777" s="208">
        <v>453100</v>
      </c>
      <c r="G777" s="192"/>
      <c r="H777" s="209"/>
      <c r="I777" s="194" t="s">
        <v>4962</v>
      </c>
      <c r="J777" s="193" t="s">
        <v>2696</v>
      </c>
      <c r="K777" s="194" t="s">
        <v>4963</v>
      </c>
    </row>
    <row r="778" spans="1:11" ht="58.15" customHeight="1" x14ac:dyDescent="0.35">
      <c r="A778" s="192">
        <v>777</v>
      </c>
      <c r="B778" s="205" t="s">
        <v>4964</v>
      </c>
      <c r="C778" s="193" t="s">
        <v>4965</v>
      </c>
      <c r="D778" s="202" t="s">
        <v>4966</v>
      </c>
      <c r="E778" s="203">
        <v>45657</v>
      </c>
      <c r="F778" s="208">
        <v>576600</v>
      </c>
      <c r="G778" s="192"/>
      <c r="H778" s="209"/>
      <c r="I778" s="194" t="s">
        <v>4967</v>
      </c>
      <c r="J778" s="193" t="s">
        <v>2696</v>
      </c>
      <c r="K778" s="194" t="s">
        <v>4297</v>
      </c>
    </row>
    <row r="779" spans="1:11" ht="58.15" customHeight="1" x14ac:dyDescent="0.35">
      <c r="A779" s="192">
        <v>778</v>
      </c>
      <c r="B779" s="205" t="s">
        <v>4968</v>
      </c>
      <c r="C779" s="193" t="s">
        <v>4969</v>
      </c>
      <c r="D779" s="202" t="s">
        <v>4970</v>
      </c>
      <c r="E779" s="203">
        <v>45657</v>
      </c>
      <c r="F779" s="208">
        <v>453900</v>
      </c>
      <c r="G779" s="192"/>
      <c r="H779" s="209"/>
      <c r="I779" s="194" t="s">
        <v>4187</v>
      </c>
      <c r="J779" s="193" t="s">
        <v>2696</v>
      </c>
      <c r="K779" s="194" t="s">
        <v>4188</v>
      </c>
    </row>
    <row r="780" spans="1:11" ht="58.15" customHeight="1" x14ac:dyDescent="0.35">
      <c r="A780" s="192">
        <v>779</v>
      </c>
      <c r="B780" s="205" t="s">
        <v>4971</v>
      </c>
      <c r="C780" s="193" t="s">
        <v>4972</v>
      </c>
      <c r="D780" s="202" t="s">
        <v>4973</v>
      </c>
      <c r="E780" s="203">
        <v>45657</v>
      </c>
      <c r="F780" s="208">
        <v>205900</v>
      </c>
      <c r="G780" s="192"/>
      <c r="H780" s="209"/>
      <c r="I780" s="194" t="s">
        <v>4231</v>
      </c>
      <c r="J780" s="193" t="s">
        <v>2696</v>
      </c>
      <c r="K780" s="194" t="s">
        <v>4232</v>
      </c>
    </row>
    <row r="781" spans="1:11" ht="58.15" customHeight="1" x14ac:dyDescent="0.35">
      <c r="A781" s="192">
        <v>780</v>
      </c>
      <c r="B781" s="205" t="s">
        <v>4974</v>
      </c>
      <c r="C781" s="193" t="s">
        <v>4975</v>
      </c>
      <c r="D781" s="202" t="s">
        <v>4976</v>
      </c>
      <c r="E781" s="203">
        <v>45657</v>
      </c>
      <c r="F781" s="208">
        <v>453100</v>
      </c>
      <c r="G781" s="192"/>
      <c r="H781" s="209"/>
      <c r="I781" s="194" t="s">
        <v>4943</v>
      </c>
      <c r="J781" s="193" t="s">
        <v>2696</v>
      </c>
      <c r="K781" s="194" t="s">
        <v>4168</v>
      </c>
    </row>
    <row r="782" spans="1:11" ht="58.15" customHeight="1" x14ac:dyDescent="0.35">
      <c r="A782" s="192">
        <v>781</v>
      </c>
      <c r="B782" s="205" t="s">
        <v>4977</v>
      </c>
      <c r="C782" s="193" t="s">
        <v>4978</v>
      </c>
      <c r="D782" s="202" t="s">
        <v>4979</v>
      </c>
      <c r="E782" s="203">
        <v>45657</v>
      </c>
      <c r="F782" s="208">
        <v>351700</v>
      </c>
      <c r="G782" s="192"/>
      <c r="H782" s="209"/>
      <c r="I782" s="194" t="s">
        <v>4980</v>
      </c>
      <c r="J782" s="193" t="s">
        <v>2696</v>
      </c>
      <c r="K782" s="194" t="s">
        <v>1292</v>
      </c>
    </row>
    <row r="783" spans="1:11" ht="58.15" customHeight="1" x14ac:dyDescent="0.35">
      <c r="A783" s="192">
        <v>782</v>
      </c>
      <c r="B783" s="205" t="s">
        <v>2893</v>
      </c>
      <c r="C783" s="193" t="s">
        <v>4981</v>
      </c>
      <c r="D783" s="202" t="s">
        <v>4982</v>
      </c>
      <c r="E783" s="203">
        <v>45657</v>
      </c>
      <c r="F783" s="208">
        <v>388800</v>
      </c>
      <c r="G783" s="192"/>
      <c r="H783" s="209"/>
      <c r="I783" s="194" t="s">
        <v>4288</v>
      </c>
      <c r="J783" s="193" t="s">
        <v>2696</v>
      </c>
      <c r="K783" s="194" t="s">
        <v>4232</v>
      </c>
    </row>
    <row r="784" spans="1:11" ht="58.15" customHeight="1" x14ac:dyDescent="0.35">
      <c r="A784" s="192">
        <v>783</v>
      </c>
      <c r="B784" s="205" t="s">
        <v>4983</v>
      </c>
      <c r="C784" s="193" t="s">
        <v>4984</v>
      </c>
      <c r="D784" s="202" t="s">
        <v>4985</v>
      </c>
      <c r="E784" s="203">
        <v>45657</v>
      </c>
      <c r="F784" s="208">
        <v>616700</v>
      </c>
      <c r="G784" s="192"/>
      <c r="H784" s="209"/>
      <c r="I784" s="194"/>
      <c r="J784" s="193" t="s">
        <v>2696</v>
      </c>
      <c r="K784" s="194"/>
    </row>
    <row r="785" spans="1:11" ht="58.15" customHeight="1" x14ac:dyDescent="0.35">
      <c r="A785" s="192">
        <v>784</v>
      </c>
      <c r="B785" s="205" t="s">
        <v>4986</v>
      </c>
      <c r="C785" s="193" t="s">
        <v>4987</v>
      </c>
      <c r="D785" s="202" t="s">
        <v>4988</v>
      </c>
      <c r="E785" s="203">
        <v>45657</v>
      </c>
      <c r="F785" s="208">
        <v>467200</v>
      </c>
      <c r="G785" s="192"/>
      <c r="H785" s="209"/>
      <c r="I785" s="194" t="s">
        <v>4373</v>
      </c>
      <c r="J785" s="193" t="s">
        <v>2696</v>
      </c>
      <c r="K785" s="194" t="s">
        <v>1235</v>
      </c>
    </row>
    <row r="786" spans="1:11" ht="58.15" customHeight="1" x14ac:dyDescent="0.35">
      <c r="A786" s="192">
        <v>785</v>
      </c>
      <c r="B786" s="205" t="s">
        <v>4989</v>
      </c>
      <c r="C786" s="193" t="s">
        <v>4990</v>
      </c>
      <c r="D786" s="202" t="s">
        <v>4991</v>
      </c>
      <c r="E786" s="203">
        <v>45657</v>
      </c>
      <c r="F786" s="208">
        <v>399500</v>
      </c>
      <c r="G786" s="192"/>
      <c r="H786" s="209"/>
      <c r="I786" s="194" t="s">
        <v>4916</v>
      </c>
      <c r="J786" s="193" t="s">
        <v>2696</v>
      </c>
      <c r="K786" s="194" t="s">
        <v>3727</v>
      </c>
    </row>
    <row r="787" spans="1:11" ht="58.15" customHeight="1" x14ac:dyDescent="0.35">
      <c r="A787" s="192">
        <v>786</v>
      </c>
      <c r="B787" s="205" t="s">
        <v>4992</v>
      </c>
      <c r="C787" s="193" t="s">
        <v>4993</v>
      </c>
      <c r="D787" s="202" t="s">
        <v>4994</v>
      </c>
      <c r="E787" s="203">
        <v>45657</v>
      </c>
      <c r="F787" s="208">
        <v>396000</v>
      </c>
      <c r="G787" s="192"/>
      <c r="H787" s="209"/>
      <c r="I787" s="194" t="s">
        <v>4317</v>
      </c>
      <c r="J787" s="193" t="s">
        <v>2696</v>
      </c>
      <c r="K787" s="194" t="s">
        <v>4177</v>
      </c>
    </row>
    <row r="788" spans="1:11" ht="58.15" customHeight="1" x14ac:dyDescent="0.35">
      <c r="A788" s="192">
        <v>787</v>
      </c>
      <c r="B788" s="205" t="s">
        <v>4995</v>
      </c>
      <c r="C788" s="193" t="s">
        <v>4996</v>
      </c>
      <c r="D788" s="202" t="s">
        <v>4997</v>
      </c>
      <c r="E788" s="203">
        <v>45657</v>
      </c>
      <c r="F788" s="208">
        <v>539500</v>
      </c>
      <c r="G788" s="192"/>
      <c r="H788" s="209"/>
      <c r="I788" s="194" t="s">
        <v>4231</v>
      </c>
      <c r="J788" s="193" t="s">
        <v>2696</v>
      </c>
      <c r="K788" s="194" t="s">
        <v>4232</v>
      </c>
    </row>
    <row r="789" spans="1:11" ht="58.15" customHeight="1" x14ac:dyDescent="0.35">
      <c r="A789" s="192">
        <v>788</v>
      </c>
      <c r="B789" s="205" t="s">
        <v>3629</v>
      </c>
      <c r="C789" s="193" t="s">
        <v>4998</v>
      </c>
      <c r="D789" s="202" t="s">
        <v>4999</v>
      </c>
      <c r="E789" s="203">
        <v>45657</v>
      </c>
      <c r="F789" s="208">
        <v>517500</v>
      </c>
      <c r="G789" s="192"/>
      <c r="H789" s="209"/>
      <c r="I789" s="194" t="s">
        <v>2924</v>
      </c>
      <c r="J789" s="193" t="s">
        <v>2696</v>
      </c>
      <c r="K789" s="194" t="s">
        <v>2925</v>
      </c>
    </row>
    <row r="790" spans="1:11" ht="58.15" customHeight="1" x14ac:dyDescent="0.35">
      <c r="A790" s="192">
        <v>789</v>
      </c>
      <c r="B790" s="205" t="s">
        <v>5000</v>
      </c>
      <c r="C790" s="193" t="s">
        <v>5001</v>
      </c>
      <c r="D790" s="202" t="s">
        <v>5002</v>
      </c>
      <c r="E790" s="203">
        <v>45657</v>
      </c>
      <c r="F790" s="208">
        <v>466900</v>
      </c>
      <c r="G790" s="192"/>
      <c r="H790" s="209"/>
      <c r="I790" s="194" t="s">
        <v>4430</v>
      </c>
      <c r="J790" s="193" t="s">
        <v>2696</v>
      </c>
      <c r="K790" s="194" t="s">
        <v>4205</v>
      </c>
    </row>
    <row r="791" spans="1:11" ht="58.15" customHeight="1" x14ac:dyDescent="0.35">
      <c r="A791" s="192">
        <v>790</v>
      </c>
      <c r="B791" s="205" t="s">
        <v>5003</v>
      </c>
      <c r="C791" s="193" t="s">
        <v>5004</v>
      </c>
      <c r="D791" s="202" t="s">
        <v>5005</v>
      </c>
      <c r="E791" s="203">
        <v>45657</v>
      </c>
      <c r="F791" s="208">
        <v>556700</v>
      </c>
      <c r="G791" s="192"/>
      <c r="H791" s="209"/>
      <c r="I791" s="194" t="s">
        <v>4273</v>
      </c>
      <c r="J791" s="193" t="s">
        <v>2696</v>
      </c>
      <c r="K791" s="194" t="s">
        <v>4274</v>
      </c>
    </row>
    <row r="792" spans="1:11" ht="58.15" customHeight="1" x14ac:dyDescent="0.35">
      <c r="A792" s="192">
        <v>791</v>
      </c>
      <c r="B792" s="205" t="s">
        <v>5006</v>
      </c>
      <c r="C792" s="193" t="s">
        <v>5007</v>
      </c>
      <c r="D792" s="202" t="s">
        <v>5008</v>
      </c>
      <c r="E792" s="203">
        <v>45657</v>
      </c>
      <c r="F792" s="208">
        <v>284300</v>
      </c>
      <c r="G792" s="192"/>
      <c r="H792" s="209"/>
      <c r="I792" s="194"/>
      <c r="J792" s="193" t="s">
        <v>2696</v>
      </c>
      <c r="K792" s="194"/>
    </row>
    <row r="793" spans="1:11" ht="58.15" customHeight="1" x14ac:dyDescent="0.35">
      <c r="A793" s="192">
        <v>792</v>
      </c>
      <c r="B793" s="205" t="s">
        <v>5009</v>
      </c>
      <c r="C793" s="193" t="s">
        <v>5010</v>
      </c>
      <c r="D793" s="202" t="s">
        <v>5011</v>
      </c>
      <c r="E793" s="203">
        <v>45657</v>
      </c>
      <c r="F793" s="208">
        <v>227900</v>
      </c>
      <c r="G793" s="192"/>
      <c r="H793" s="209"/>
      <c r="I793" s="194" t="s">
        <v>5012</v>
      </c>
      <c r="J793" s="193" t="s">
        <v>2696</v>
      </c>
      <c r="K793" s="194" t="s">
        <v>2695</v>
      </c>
    </row>
    <row r="794" spans="1:11" ht="58.15" customHeight="1" x14ac:dyDescent="0.35">
      <c r="A794" s="192">
        <v>793</v>
      </c>
      <c r="B794" s="205" t="s">
        <v>5013</v>
      </c>
      <c r="C794" s="193" t="s">
        <v>5014</v>
      </c>
      <c r="D794" s="202" t="s">
        <v>5015</v>
      </c>
      <c r="E794" s="203">
        <v>45657</v>
      </c>
      <c r="F794" s="208">
        <v>128300</v>
      </c>
      <c r="G794" s="192"/>
      <c r="H794" s="209"/>
      <c r="I794" s="194"/>
      <c r="J794" s="193" t="s">
        <v>2696</v>
      </c>
      <c r="K794" s="194"/>
    </row>
    <row r="795" spans="1:11" ht="58.15" customHeight="1" x14ac:dyDescent="0.35">
      <c r="A795" s="192">
        <v>794</v>
      </c>
      <c r="B795" s="205" t="s">
        <v>5016</v>
      </c>
      <c r="C795" s="193" t="s">
        <v>5017</v>
      </c>
      <c r="D795" s="202" t="s">
        <v>5018</v>
      </c>
      <c r="E795" s="203">
        <v>45657</v>
      </c>
      <c r="F795" s="208">
        <v>545600</v>
      </c>
      <c r="G795" s="192"/>
      <c r="H795" s="209"/>
      <c r="I795" s="194" t="s">
        <v>4623</v>
      </c>
      <c r="J795" s="193" t="s">
        <v>2696</v>
      </c>
      <c r="K795" s="194" t="s">
        <v>4624</v>
      </c>
    </row>
    <row r="796" spans="1:11" ht="58.15" customHeight="1" x14ac:dyDescent="0.35">
      <c r="A796" s="192">
        <v>795</v>
      </c>
      <c r="B796" s="205" t="s">
        <v>5019</v>
      </c>
      <c r="C796" s="193" t="s">
        <v>5020</v>
      </c>
      <c r="D796" s="202" t="s">
        <v>5021</v>
      </c>
      <c r="E796" s="203">
        <v>45657</v>
      </c>
      <c r="F796" s="208">
        <v>476000</v>
      </c>
      <c r="G796" s="192"/>
      <c r="H796" s="209"/>
      <c r="I796" s="194" t="s">
        <v>4231</v>
      </c>
      <c r="J796" s="193" t="s">
        <v>2696</v>
      </c>
      <c r="K796" s="194" t="s">
        <v>4232</v>
      </c>
    </row>
    <row r="797" spans="1:11" ht="58.15" customHeight="1" x14ac:dyDescent="0.35">
      <c r="A797" s="192">
        <v>796</v>
      </c>
      <c r="B797" s="205" t="s">
        <v>5022</v>
      </c>
      <c r="C797" s="193" t="s">
        <v>5023</v>
      </c>
      <c r="D797" s="202" t="s">
        <v>5024</v>
      </c>
      <c r="E797" s="203">
        <v>45657</v>
      </c>
      <c r="F797" s="208">
        <v>567600</v>
      </c>
      <c r="G797" s="192"/>
      <c r="H797" s="209"/>
      <c r="I797" s="194" t="s">
        <v>4623</v>
      </c>
      <c r="J797" s="193" t="s">
        <v>2696</v>
      </c>
      <c r="K797" s="194" t="s">
        <v>4390</v>
      </c>
    </row>
    <row r="798" spans="1:11" ht="58.15" customHeight="1" x14ac:dyDescent="0.35">
      <c r="A798" s="192">
        <v>797</v>
      </c>
      <c r="B798" s="205" t="s">
        <v>5025</v>
      </c>
      <c r="C798" s="193" t="s">
        <v>5026</v>
      </c>
      <c r="D798" s="202" t="s">
        <v>5027</v>
      </c>
      <c r="E798" s="203">
        <v>45657</v>
      </c>
      <c r="F798" s="208">
        <v>558900</v>
      </c>
      <c r="G798" s="192"/>
      <c r="H798" s="209"/>
      <c r="I798" s="194"/>
      <c r="J798" s="193" t="s">
        <v>2696</v>
      </c>
      <c r="K798" s="194"/>
    </row>
    <row r="799" spans="1:11" ht="58.15" customHeight="1" x14ac:dyDescent="0.35">
      <c r="A799" s="192">
        <v>798</v>
      </c>
      <c r="B799" s="205" t="s">
        <v>5028</v>
      </c>
      <c r="C799" s="193" t="s">
        <v>5029</v>
      </c>
      <c r="D799" s="202" t="s">
        <v>5030</v>
      </c>
      <c r="E799" s="203">
        <v>45657</v>
      </c>
      <c r="F799" s="208">
        <f>704800/3</f>
        <v>234933.33333333334</v>
      </c>
      <c r="G799" s="192"/>
      <c r="H799" s="209"/>
      <c r="I799" s="194" t="s">
        <v>2914</v>
      </c>
      <c r="J799" s="193" t="s">
        <v>2696</v>
      </c>
      <c r="K799" s="194" t="s">
        <v>2915</v>
      </c>
    </row>
    <row r="800" spans="1:11" ht="58.15" customHeight="1" x14ac:dyDescent="0.35">
      <c r="A800" s="192">
        <v>799</v>
      </c>
      <c r="B800" s="205" t="s">
        <v>5028</v>
      </c>
      <c r="C800" s="193" t="s">
        <v>5029</v>
      </c>
      <c r="D800" s="202" t="s">
        <v>5031</v>
      </c>
      <c r="E800" s="203">
        <v>45657</v>
      </c>
      <c r="F800" s="208">
        <f t="shared" ref="F800:F801" si="25">704800/3</f>
        <v>234933.33333333334</v>
      </c>
      <c r="G800" s="192"/>
      <c r="H800" s="209"/>
      <c r="I800" s="194" t="s">
        <v>2914</v>
      </c>
      <c r="J800" s="193" t="s">
        <v>2696</v>
      </c>
      <c r="K800" s="194" t="s">
        <v>2915</v>
      </c>
    </row>
    <row r="801" spans="1:11" ht="58.15" customHeight="1" x14ac:dyDescent="0.35">
      <c r="A801" s="192">
        <v>800</v>
      </c>
      <c r="B801" s="205" t="s">
        <v>5028</v>
      </c>
      <c r="C801" s="193" t="s">
        <v>5029</v>
      </c>
      <c r="D801" s="202" t="s">
        <v>5032</v>
      </c>
      <c r="E801" s="203">
        <v>45657</v>
      </c>
      <c r="F801" s="208">
        <f t="shared" si="25"/>
        <v>234933.33333333334</v>
      </c>
      <c r="G801" s="192"/>
      <c r="H801" s="209"/>
      <c r="I801" s="194" t="s">
        <v>2914</v>
      </c>
      <c r="J801" s="193" t="s">
        <v>2696</v>
      </c>
      <c r="K801" s="194" t="s">
        <v>2915</v>
      </c>
    </row>
    <row r="802" spans="1:11" ht="58.15" customHeight="1" x14ac:dyDescent="0.35">
      <c r="A802" s="192">
        <v>801</v>
      </c>
      <c r="B802" s="205" t="s">
        <v>5033</v>
      </c>
      <c r="C802" s="193" t="s">
        <v>5034</v>
      </c>
      <c r="D802" s="202" t="s">
        <v>5035</v>
      </c>
      <c r="E802" s="203">
        <v>45657</v>
      </c>
      <c r="F802" s="208">
        <v>315800</v>
      </c>
      <c r="G802" s="192"/>
      <c r="H802" s="209"/>
      <c r="I802" s="194" t="s">
        <v>4762</v>
      </c>
      <c r="J802" s="193" t="s">
        <v>2696</v>
      </c>
      <c r="K802" s="194" t="s">
        <v>5036</v>
      </c>
    </row>
    <row r="803" spans="1:11" ht="58.15" customHeight="1" x14ac:dyDescent="0.35">
      <c r="A803" s="192">
        <v>802</v>
      </c>
      <c r="B803" s="205" t="s">
        <v>5037</v>
      </c>
      <c r="C803" s="193">
        <v>0</v>
      </c>
      <c r="D803" s="202" t="s">
        <v>2710</v>
      </c>
      <c r="E803" s="203">
        <v>45657</v>
      </c>
      <c r="F803" s="208">
        <v>7789800</v>
      </c>
      <c r="G803" s="192"/>
      <c r="H803" s="209"/>
      <c r="I803" s="194" t="s">
        <v>2871</v>
      </c>
      <c r="J803" s="193" t="s">
        <v>2696</v>
      </c>
      <c r="K803" s="194" t="s">
        <v>1292</v>
      </c>
    </row>
    <row r="804" spans="1:11" ht="58.15" customHeight="1" x14ac:dyDescent="0.35">
      <c r="A804" s="192">
        <v>803</v>
      </c>
      <c r="B804" s="205" t="s">
        <v>5038</v>
      </c>
      <c r="C804" s="193">
        <v>0</v>
      </c>
      <c r="D804" s="202" t="s">
        <v>2710</v>
      </c>
      <c r="E804" s="203">
        <v>45657</v>
      </c>
      <c r="F804" s="208">
        <v>10079500</v>
      </c>
      <c r="G804" s="192"/>
      <c r="H804" s="209"/>
      <c r="I804" s="194" t="s">
        <v>4623</v>
      </c>
      <c r="J804" s="193" t="s">
        <v>2696</v>
      </c>
      <c r="K804" s="194" t="s">
        <v>4624</v>
      </c>
    </row>
    <row r="805" spans="1:11" ht="58.15" customHeight="1" x14ac:dyDescent="0.35">
      <c r="A805" s="192">
        <v>804</v>
      </c>
      <c r="B805" s="205" t="s">
        <v>5039</v>
      </c>
      <c r="C805" s="193" t="s">
        <v>5040</v>
      </c>
      <c r="D805" s="202" t="s">
        <v>5041</v>
      </c>
      <c r="E805" s="203">
        <v>45657</v>
      </c>
      <c r="F805" s="208">
        <v>554300</v>
      </c>
      <c r="G805" s="192"/>
      <c r="H805" s="209"/>
      <c r="I805" s="194"/>
      <c r="J805" s="193" t="s">
        <v>2696</v>
      </c>
      <c r="K805" s="194"/>
    </row>
    <row r="806" spans="1:11" ht="58.15" customHeight="1" x14ac:dyDescent="0.35">
      <c r="A806" s="192">
        <v>805</v>
      </c>
      <c r="B806" s="205" t="s">
        <v>5042</v>
      </c>
      <c r="C806" s="193" t="s">
        <v>5043</v>
      </c>
      <c r="D806" s="202" t="s">
        <v>5044</v>
      </c>
      <c r="E806" s="203">
        <v>45657</v>
      </c>
      <c r="F806" s="208">
        <v>554300</v>
      </c>
      <c r="G806" s="192"/>
      <c r="H806" s="209"/>
      <c r="I806" s="194"/>
      <c r="J806" s="193" t="s">
        <v>2696</v>
      </c>
      <c r="K806" s="194"/>
    </row>
    <row r="807" spans="1:11" ht="58.15" customHeight="1" x14ac:dyDescent="0.35">
      <c r="A807" s="192">
        <v>806</v>
      </c>
      <c r="B807" s="205" t="s">
        <v>5045</v>
      </c>
      <c r="C807" s="193">
        <v>0</v>
      </c>
      <c r="D807" s="202" t="s">
        <v>2710</v>
      </c>
      <c r="E807" s="203">
        <v>45657</v>
      </c>
      <c r="F807" s="208">
        <v>1819500</v>
      </c>
      <c r="G807" s="192"/>
      <c r="H807" s="209"/>
      <c r="I807" s="194" t="s">
        <v>4623</v>
      </c>
      <c r="J807" s="193" t="s">
        <v>2696</v>
      </c>
      <c r="K807" s="194" t="s">
        <v>4624</v>
      </c>
    </row>
    <row r="808" spans="1:11" ht="58.15" customHeight="1" x14ac:dyDescent="0.35">
      <c r="A808" s="192">
        <v>807</v>
      </c>
      <c r="B808" s="205" t="s">
        <v>5046</v>
      </c>
      <c r="C808" s="193">
        <v>0</v>
      </c>
      <c r="D808" s="202" t="s">
        <v>2710</v>
      </c>
      <c r="E808" s="203">
        <v>45657</v>
      </c>
      <c r="F808" s="208">
        <v>1419900</v>
      </c>
      <c r="G808" s="192"/>
      <c r="H808" s="209"/>
      <c r="I808" s="194" t="s">
        <v>4856</v>
      </c>
      <c r="J808" s="193" t="s">
        <v>2696</v>
      </c>
      <c r="K808" s="194" t="s">
        <v>4214</v>
      </c>
    </row>
    <row r="809" spans="1:11" ht="58.15" customHeight="1" x14ac:dyDescent="0.35">
      <c r="A809" s="192">
        <v>808</v>
      </c>
      <c r="B809" s="205" t="s">
        <v>5047</v>
      </c>
      <c r="C809" s="193">
        <v>0</v>
      </c>
      <c r="D809" s="202" t="s">
        <v>2710</v>
      </c>
      <c r="E809" s="203">
        <v>45657</v>
      </c>
      <c r="F809" s="208">
        <v>3339400</v>
      </c>
      <c r="G809" s="192"/>
      <c r="H809" s="209"/>
      <c r="I809" s="194" t="s">
        <v>5048</v>
      </c>
      <c r="J809" s="193" t="s">
        <v>2696</v>
      </c>
      <c r="K809" s="194" t="s">
        <v>5049</v>
      </c>
    </row>
    <row r="810" spans="1:11" ht="58.15" customHeight="1" x14ac:dyDescent="0.35">
      <c r="A810" s="192">
        <v>809</v>
      </c>
      <c r="B810" s="205" t="s">
        <v>5050</v>
      </c>
      <c r="C810" s="193">
        <v>0</v>
      </c>
      <c r="D810" s="202" t="s">
        <v>2710</v>
      </c>
      <c r="E810" s="203">
        <v>45657</v>
      </c>
      <c r="F810" s="208">
        <v>4174200</v>
      </c>
      <c r="G810" s="192"/>
      <c r="H810" s="209"/>
      <c r="I810" s="194" t="s">
        <v>5051</v>
      </c>
      <c r="J810" s="193" t="s">
        <v>2696</v>
      </c>
      <c r="K810" s="194" t="s">
        <v>4158</v>
      </c>
    </row>
    <row r="811" spans="1:11" ht="58.15" customHeight="1" x14ac:dyDescent="0.35">
      <c r="A811" s="192">
        <v>810</v>
      </c>
      <c r="B811" s="205" t="s">
        <v>5052</v>
      </c>
      <c r="C811" s="193">
        <v>0</v>
      </c>
      <c r="D811" s="202" t="s">
        <v>2710</v>
      </c>
      <c r="E811" s="203">
        <v>45657</v>
      </c>
      <c r="F811" s="208">
        <v>3393300</v>
      </c>
      <c r="G811" s="192"/>
      <c r="H811" s="209"/>
      <c r="I811" s="194" t="s">
        <v>5053</v>
      </c>
      <c r="J811" s="193" t="s">
        <v>2696</v>
      </c>
      <c r="K811" s="194" t="s">
        <v>2695</v>
      </c>
    </row>
    <row r="812" spans="1:11" ht="58.15" customHeight="1" x14ac:dyDescent="0.35">
      <c r="A812" s="192">
        <v>811</v>
      </c>
      <c r="B812" s="205" t="s">
        <v>5054</v>
      </c>
      <c r="C812" s="193">
        <v>0</v>
      </c>
      <c r="D812" s="202" t="s">
        <v>2710</v>
      </c>
      <c r="E812" s="203">
        <v>45657</v>
      </c>
      <c r="F812" s="208">
        <v>2425300</v>
      </c>
      <c r="G812" s="192"/>
      <c r="H812" s="209"/>
      <c r="I812" s="194" t="s">
        <v>5055</v>
      </c>
      <c r="J812" s="193" t="s">
        <v>2696</v>
      </c>
      <c r="K812" s="194" t="s">
        <v>5056</v>
      </c>
    </row>
    <row r="813" spans="1:11" ht="58.15" customHeight="1" x14ac:dyDescent="0.35">
      <c r="A813" s="192">
        <v>812</v>
      </c>
      <c r="B813" s="205" t="s">
        <v>5054</v>
      </c>
      <c r="C813" s="193">
        <v>0</v>
      </c>
      <c r="D813" s="202" t="s">
        <v>2710</v>
      </c>
      <c r="E813" s="203">
        <v>45657</v>
      </c>
      <c r="F813" s="208">
        <v>2425300</v>
      </c>
      <c r="G813" s="192"/>
      <c r="H813" s="209"/>
      <c r="I813" s="194" t="s">
        <v>5055</v>
      </c>
      <c r="J813" s="193" t="s">
        <v>2696</v>
      </c>
      <c r="K813" s="194" t="s">
        <v>5056</v>
      </c>
    </row>
    <row r="814" spans="1:11" ht="58.15" customHeight="1" x14ac:dyDescent="0.35">
      <c r="A814" s="192">
        <v>813</v>
      </c>
      <c r="B814" s="205" t="s">
        <v>5057</v>
      </c>
      <c r="C814" s="193">
        <v>0</v>
      </c>
      <c r="D814" s="202" t="s">
        <v>2710</v>
      </c>
      <c r="E814" s="203">
        <v>45657</v>
      </c>
      <c r="F814" s="208">
        <v>6971800</v>
      </c>
      <c r="G814" s="192"/>
      <c r="H814" s="209"/>
      <c r="I814" s="194" t="s">
        <v>4523</v>
      </c>
      <c r="J814" s="193" t="s">
        <v>2696</v>
      </c>
      <c r="K814" s="194" t="s">
        <v>4390</v>
      </c>
    </row>
    <row r="815" spans="1:11" ht="58.15" customHeight="1" x14ac:dyDescent="0.35">
      <c r="A815" s="192">
        <v>814</v>
      </c>
      <c r="B815" s="205" t="s">
        <v>5058</v>
      </c>
      <c r="C815" s="193">
        <v>0</v>
      </c>
      <c r="D815" s="202" t="s">
        <v>2710</v>
      </c>
      <c r="E815" s="203">
        <v>45657</v>
      </c>
      <c r="F815" s="208">
        <v>2118400</v>
      </c>
      <c r="G815" s="192"/>
      <c r="H815" s="209"/>
      <c r="I815" s="194" t="s">
        <v>4517</v>
      </c>
      <c r="J815" s="193" t="s">
        <v>2696</v>
      </c>
      <c r="K815" s="194" t="s">
        <v>2690</v>
      </c>
    </row>
    <row r="816" spans="1:11" ht="58.15" customHeight="1" x14ac:dyDescent="0.35">
      <c r="A816" s="192">
        <v>815</v>
      </c>
      <c r="B816" s="205" t="s">
        <v>5059</v>
      </c>
      <c r="C816" s="193">
        <v>0</v>
      </c>
      <c r="D816" s="202" t="s">
        <v>2710</v>
      </c>
      <c r="E816" s="203">
        <v>45657</v>
      </c>
      <c r="F816" s="208">
        <v>818800</v>
      </c>
      <c r="G816" s="192"/>
      <c r="H816" s="209"/>
      <c r="I816" s="194" t="s">
        <v>5060</v>
      </c>
      <c r="J816" s="193" t="s">
        <v>2696</v>
      </c>
      <c r="K816" s="194" t="s">
        <v>5061</v>
      </c>
    </row>
    <row r="817" spans="1:11" ht="58.15" customHeight="1" x14ac:dyDescent="0.35">
      <c r="A817" s="192">
        <v>816</v>
      </c>
      <c r="B817" s="205" t="s">
        <v>5062</v>
      </c>
      <c r="C817" s="193" t="s">
        <v>5063</v>
      </c>
      <c r="D817" s="202" t="s">
        <v>5064</v>
      </c>
      <c r="E817" s="203">
        <v>45657</v>
      </c>
      <c r="F817" s="208">
        <v>72655900</v>
      </c>
      <c r="G817" s="192"/>
      <c r="H817" s="209"/>
      <c r="I817" s="194" t="s">
        <v>5065</v>
      </c>
      <c r="J817" s="193" t="s">
        <v>2696</v>
      </c>
      <c r="K817" s="194" t="s">
        <v>5065</v>
      </c>
    </row>
    <row r="818" spans="1:11" ht="58.15" customHeight="1" x14ac:dyDescent="0.35">
      <c r="A818" s="192">
        <v>817</v>
      </c>
      <c r="B818" s="205" t="s">
        <v>5066</v>
      </c>
      <c r="C818" s="193" t="s">
        <v>5067</v>
      </c>
      <c r="D818" s="202" t="s">
        <v>5068</v>
      </c>
      <c r="E818" s="203">
        <v>45657</v>
      </c>
      <c r="F818" s="208">
        <v>18089600</v>
      </c>
      <c r="G818" s="192"/>
      <c r="H818" s="209"/>
      <c r="I818" s="194" t="s">
        <v>5065</v>
      </c>
      <c r="J818" s="193" t="s">
        <v>2696</v>
      </c>
      <c r="K818" s="194" t="s">
        <v>5065</v>
      </c>
    </row>
    <row r="819" spans="1:11" ht="58.15" customHeight="1" x14ac:dyDescent="0.35">
      <c r="A819" s="192">
        <v>818</v>
      </c>
      <c r="B819" s="205" t="s">
        <v>5069</v>
      </c>
      <c r="C819" s="193" t="s">
        <v>5070</v>
      </c>
      <c r="D819" s="202" t="s">
        <v>5071</v>
      </c>
      <c r="E819" s="203">
        <v>45657</v>
      </c>
      <c r="F819" s="208">
        <v>6066100</v>
      </c>
      <c r="G819" s="192"/>
      <c r="H819" s="209"/>
      <c r="I819" s="194" t="s">
        <v>5065</v>
      </c>
      <c r="J819" s="193" t="s">
        <v>2696</v>
      </c>
      <c r="K819" s="194" t="s">
        <v>5065</v>
      </c>
    </row>
    <row r="820" spans="1:11" ht="58.15" customHeight="1" x14ac:dyDescent="0.35">
      <c r="A820" s="192">
        <v>819</v>
      </c>
      <c r="B820" s="205" t="s">
        <v>5072</v>
      </c>
      <c r="C820" s="193" t="s">
        <v>5073</v>
      </c>
      <c r="D820" s="202" t="s">
        <v>5074</v>
      </c>
      <c r="E820" s="203">
        <v>45657</v>
      </c>
      <c r="F820" s="208">
        <v>314700</v>
      </c>
      <c r="G820" s="192"/>
      <c r="H820" s="209"/>
      <c r="I820" s="194" t="s">
        <v>5075</v>
      </c>
      <c r="J820" s="193" t="s">
        <v>2696</v>
      </c>
      <c r="K820" s="194" t="s">
        <v>5065</v>
      </c>
    </row>
    <row r="821" spans="1:11" ht="58.15" customHeight="1" x14ac:dyDescent="0.35">
      <c r="A821" s="192">
        <v>820</v>
      </c>
      <c r="B821" s="205" t="s">
        <v>5076</v>
      </c>
      <c r="C821" s="193" t="s">
        <v>5077</v>
      </c>
      <c r="D821" s="202" t="s">
        <v>5078</v>
      </c>
      <c r="E821" s="203">
        <v>45657</v>
      </c>
      <c r="F821" s="208">
        <v>1345400</v>
      </c>
      <c r="G821" s="192"/>
      <c r="H821" s="209"/>
      <c r="I821" s="194" t="s">
        <v>5079</v>
      </c>
      <c r="J821" s="193" t="s">
        <v>2696</v>
      </c>
      <c r="K821" s="194" t="s">
        <v>5065</v>
      </c>
    </row>
    <row r="822" spans="1:11" ht="58.15" customHeight="1" x14ac:dyDescent="0.35">
      <c r="A822" s="192">
        <v>821</v>
      </c>
      <c r="B822" s="205" t="s">
        <v>5080</v>
      </c>
      <c r="C822" s="193" t="s">
        <v>5081</v>
      </c>
      <c r="D822" s="202" t="s">
        <v>5082</v>
      </c>
      <c r="E822" s="203">
        <v>45657</v>
      </c>
      <c r="F822" s="208">
        <v>1345400</v>
      </c>
      <c r="G822" s="192"/>
      <c r="H822" s="209"/>
      <c r="I822" s="194" t="s">
        <v>5083</v>
      </c>
      <c r="J822" s="193" t="s">
        <v>2696</v>
      </c>
      <c r="K822" s="194" t="s">
        <v>5065</v>
      </c>
    </row>
    <row r="823" spans="1:11" ht="58.15" customHeight="1" x14ac:dyDescent="0.35">
      <c r="A823" s="192">
        <v>822</v>
      </c>
      <c r="B823" s="205" t="s">
        <v>5084</v>
      </c>
      <c r="C823" s="193" t="s">
        <v>5085</v>
      </c>
      <c r="D823" s="202" t="s">
        <v>5086</v>
      </c>
      <c r="E823" s="203">
        <v>45657</v>
      </c>
      <c r="F823" s="208">
        <v>11792300</v>
      </c>
      <c r="G823" s="192"/>
      <c r="H823" s="209"/>
      <c r="I823" s="194" t="s">
        <v>5065</v>
      </c>
      <c r="J823" s="193" t="s">
        <v>2696</v>
      </c>
      <c r="K823" s="194" t="s">
        <v>5065</v>
      </c>
    </row>
    <row r="824" spans="1:11" ht="58.15" customHeight="1" x14ac:dyDescent="0.35">
      <c r="A824" s="192">
        <v>823</v>
      </c>
      <c r="B824" s="205" t="s">
        <v>5087</v>
      </c>
      <c r="C824" s="193" t="s">
        <v>5088</v>
      </c>
      <c r="D824" s="202" t="s">
        <v>5089</v>
      </c>
      <c r="E824" s="203">
        <v>45657</v>
      </c>
      <c r="F824" s="208">
        <v>8034600</v>
      </c>
      <c r="G824" s="192"/>
      <c r="H824" s="209"/>
      <c r="I824" s="194" t="s">
        <v>5065</v>
      </c>
      <c r="J824" s="193" t="s">
        <v>2696</v>
      </c>
      <c r="K824" s="194" t="s">
        <v>5065</v>
      </c>
    </row>
    <row r="825" spans="1:11" ht="58.15" customHeight="1" x14ac:dyDescent="0.35">
      <c r="A825" s="192">
        <v>824</v>
      </c>
      <c r="B825" s="205" t="s">
        <v>5090</v>
      </c>
      <c r="C825" s="193" t="s">
        <v>5091</v>
      </c>
      <c r="D825" s="202" t="s">
        <v>5092</v>
      </c>
      <c r="E825" s="203">
        <v>45657</v>
      </c>
      <c r="F825" s="208">
        <v>703400</v>
      </c>
      <c r="G825" s="192"/>
      <c r="H825" s="209"/>
      <c r="I825" s="194" t="s">
        <v>5065</v>
      </c>
      <c r="J825" s="193" t="s">
        <v>2696</v>
      </c>
      <c r="K825" s="194" t="s">
        <v>5065</v>
      </c>
    </row>
    <row r="826" spans="1:11" ht="58.15" customHeight="1" x14ac:dyDescent="0.35">
      <c r="A826" s="192">
        <v>825</v>
      </c>
      <c r="B826" s="205" t="s">
        <v>5093</v>
      </c>
      <c r="C826" s="193" t="s">
        <v>5094</v>
      </c>
      <c r="D826" s="202" t="s">
        <v>5095</v>
      </c>
      <c r="E826" s="203">
        <v>45657</v>
      </c>
      <c r="F826" s="208">
        <v>377700</v>
      </c>
      <c r="G826" s="192"/>
      <c r="H826" s="209"/>
      <c r="I826" s="194" t="s">
        <v>5075</v>
      </c>
      <c r="J826" s="193" t="s">
        <v>2696</v>
      </c>
      <c r="K826" s="194" t="s">
        <v>5065</v>
      </c>
    </row>
    <row r="827" spans="1:11" ht="58.15" customHeight="1" x14ac:dyDescent="0.35">
      <c r="A827" s="192">
        <v>826</v>
      </c>
      <c r="B827" s="205" t="s">
        <v>5096</v>
      </c>
      <c r="C827" s="193" t="s">
        <v>5097</v>
      </c>
      <c r="D827" s="202" t="s">
        <v>5098</v>
      </c>
      <c r="E827" s="203">
        <v>45657</v>
      </c>
      <c r="F827" s="208">
        <v>11372100</v>
      </c>
      <c r="G827" s="192"/>
      <c r="H827" s="209"/>
      <c r="I827" s="194" t="s">
        <v>5099</v>
      </c>
      <c r="J827" s="193" t="s">
        <v>2696</v>
      </c>
      <c r="K827" s="194" t="s">
        <v>5065</v>
      </c>
    </row>
    <row r="828" spans="1:11" ht="58.15" customHeight="1" x14ac:dyDescent="0.35">
      <c r="A828" s="192">
        <v>827</v>
      </c>
      <c r="B828" s="205" t="s">
        <v>5100</v>
      </c>
      <c r="C828" s="193">
        <v>0</v>
      </c>
      <c r="D828" s="202" t="s">
        <v>2710</v>
      </c>
      <c r="E828" s="203">
        <v>45657</v>
      </c>
      <c r="F828" s="208">
        <v>2690800</v>
      </c>
      <c r="G828" s="192"/>
      <c r="H828" s="209"/>
      <c r="I828" s="194" t="s">
        <v>5065</v>
      </c>
      <c r="J828" s="193" t="s">
        <v>2696</v>
      </c>
      <c r="K828" s="194" t="s">
        <v>5065</v>
      </c>
    </row>
    <row r="829" spans="1:11" ht="58.15" customHeight="1" x14ac:dyDescent="0.35">
      <c r="A829" s="192">
        <v>828</v>
      </c>
      <c r="B829" s="205" t="s">
        <v>5101</v>
      </c>
      <c r="C829" s="193" t="s">
        <v>5102</v>
      </c>
      <c r="D829" s="202" t="s">
        <v>5103</v>
      </c>
      <c r="E829" s="203">
        <v>45657</v>
      </c>
      <c r="F829" s="208">
        <v>2214000</v>
      </c>
      <c r="G829" s="192"/>
      <c r="H829" s="209"/>
      <c r="I829" s="194" t="s">
        <v>5104</v>
      </c>
      <c r="J829" s="193" t="s">
        <v>2696</v>
      </c>
      <c r="K829" s="194" t="s">
        <v>5065</v>
      </c>
    </row>
    <row r="830" spans="1:11" ht="58.15" customHeight="1" x14ac:dyDescent="0.35">
      <c r="A830" s="192">
        <v>829</v>
      </c>
      <c r="B830" s="205" t="s">
        <v>5105</v>
      </c>
      <c r="C830" s="193" t="s">
        <v>5106</v>
      </c>
      <c r="D830" s="202" t="s">
        <v>5107</v>
      </c>
      <c r="E830" s="203">
        <v>45657</v>
      </c>
      <c r="F830" s="208">
        <v>7699400</v>
      </c>
      <c r="G830" s="192"/>
      <c r="H830" s="209"/>
      <c r="I830" s="194" t="s">
        <v>5104</v>
      </c>
      <c r="J830" s="193" t="s">
        <v>2696</v>
      </c>
      <c r="K830" s="194" t="s">
        <v>5065</v>
      </c>
    </row>
    <row r="831" spans="1:11" ht="58.15" customHeight="1" x14ac:dyDescent="0.35">
      <c r="A831" s="192">
        <v>830</v>
      </c>
      <c r="B831" s="205" t="s">
        <v>5108</v>
      </c>
      <c r="C831" s="193" t="s">
        <v>5109</v>
      </c>
      <c r="D831" s="202" t="s">
        <v>5110</v>
      </c>
      <c r="E831" s="203">
        <v>45657</v>
      </c>
      <c r="F831" s="208">
        <v>2690800</v>
      </c>
      <c r="G831" s="192"/>
      <c r="H831" s="209"/>
      <c r="I831" s="194" t="s">
        <v>5065</v>
      </c>
      <c r="J831" s="193" t="s">
        <v>2696</v>
      </c>
      <c r="K831" s="194" t="s">
        <v>5065</v>
      </c>
    </row>
    <row r="832" spans="1:11" ht="58.15" customHeight="1" x14ac:dyDescent="0.35">
      <c r="A832" s="192">
        <v>831</v>
      </c>
      <c r="B832" s="205" t="s">
        <v>5111</v>
      </c>
      <c r="C832" s="193">
        <v>0</v>
      </c>
      <c r="D832" s="202" t="s">
        <v>2710</v>
      </c>
      <c r="E832" s="203">
        <v>45657</v>
      </c>
      <c r="F832" s="208">
        <v>2690800</v>
      </c>
      <c r="G832" s="192"/>
      <c r="H832" s="209"/>
      <c r="I832" s="194" t="s">
        <v>5065</v>
      </c>
      <c r="J832" s="193" t="s">
        <v>2696</v>
      </c>
      <c r="K832" s="194" t="s">
        <v>5065</v>
      </c>
    </row>
    <row r="833" spans="1:11" ht="58.15" customHeight="1" x14ac:dyDescent="0.35">
      <c r="A833" s="192">
        <v>832</v>
      </c>
      <c r="B833" s="205" t="s">
        <v>5112</v>
      </c>
      <c r="C833" s="193" t="s">
        <v>5113</v>
      </c>
      <c r="D833" s="202" t="s">
        <v>5114</v>
      </c>
      <c r="E833" s="203">
        <v>45657</v>
      </c>
      <c r="F833" s="208">
        <v>157400</v>
      </c>
      <c r="G833" s="192"/>
      <c r="H833" s="209"/>
      <c r="I833" s="194" t="s">
        <v>5065</v>
      </c>
      <c r="J833" s="193" t="s">
        <v>2696</v>
      </c>
      <c r="K833" s="194" t="s">
        <v>5065</v>
      </c>
    </row>
    <row r="834" spans="1:11" ht="58.15" customHeight="1" x14ac:dyDescent="0.35">
      <c r="A834" s="192">
        <v>833</v>
      </c>
      <c r="B834" s="205" t="s">
        <v>5115</v>
      </c>
      <c r="C834" s="193" t="s">
        <v>5116</v>
      </c>
      <c r="D834" s="202" t="s">
        <v>5117</v>
      </c>
      <c r="E834" s="203">
        <v>45657</v>
      </c>
      <c r="F834" s="208">
        <v>6422900</v>
      </c>
      <c r="G834" s="192"/>
      <c r="H834" s="209"/>
      <c r="I834" s="194" t="s">
        <v>5065</v>
      </c>
      <c r="J834" s="193" t="s">
        <v>2696</v>
      </c>
      <c r="K834" s="194" t="s">
        <v>5065</v>
      </c>
    </row>
    <row r="835" spans="1:11" ht="58.15" customHeight="1" x14ac:dyDescent="0.35">
      <c r="A835" s="192">
        <v>834</v>
      </c>
      <c r="B835" s="205" t="s">
        <v>5118</v>
      </c>
      <c r="C835" s="193" t="s">
        <v>5119</v>
      </c>
      <c r="D835" s="202" t="s">
        <v>5120</v>
      </c>
      <c r="E835" s="203">
        <v>45657</v>
      </c>
      <c r="F835" s="208">
        <v>29130500</v>
      </c>
      <c r="G835" s="192"/>
      <c r="H835" s="209"/>
      <c r="I835" s="194" t="s">
        <v>5065</v>
      </c>
      <c r="J835" s="193" t="s">
        <v>2696</v>
      </c>
      <c r="K835" s="194" t="s">
        <v>5065</v>
      </c>
    </row>
    <row r="836" spans="1:11" ht="58.15" customHeight="1" x14ac:dyDescent="0.35">
      <c r="A836" s="192">
        <v>835</v>
      </c>
      <c r="B836" s="205" t="s">
        <v>5121</v>
      </c>
      <c r="C836" s="193" t="s">
        <v>5088</v>
      </c>
      <c r="D836" s="202" t="s">
        <v>5089</v>
      </c>
      <c r="E836" s="203">
        <v>45657</v>
      </c>
      <c r="F836" s="208">
        <v>76929800</v>
      </c>
      <c r="G836" s="192"/>
      <c r="H836" s="209"/>
      <c r="I836" s="194" t="s">
        <v>5065</v>
      </c>
      <c r="J836" s="193" t="s">
        <v>2696</v>
      </c>
      <c r="K836" s="194" t="s">
        <v>5065</v>
      </c>
    </row>
    <row r="837" spans="1:11" ht="58.15" customHeight="1" x14ac:dyDescent="0.35">
      <c r="A837" s="192">
        <v>836</v>
      </c>
      <c r="B837" s="205" t="s">
        <v>5122</v>
      </c>
      <c r="C837" s="193" t="s">
        <v>5123</v>
      </c>
      <c r="D837" s="202" t="s">
        <v>5124</v>
      </c>
      <c r="E837" s="203">
        <v>45657</v>
      </c>
      <c r="F837" s="208">
        <v>2999000</v>
      </c>
      <c r="G837" s="192"/>
      <c r="H837" s="209"/>
      <c r="I837" s="194" t="s">
        <v>5075</v>
      </c>
      <c r="J837" s="193" t="s">
        <v>2696</v>
      </c>
      <c r="K837" s="194" t="s">
        <v>5065</v>
      </c>
    </row>
    <row r="838" spans="1:11" ht="58.15" customHeight="1" x14ac:dyDescent="0.35">
      <c r="A838" s="192">
        <v>837</v>
      </c>
      <c r="B838" s="205" t="s">
        <v>5125</v>
      </c>
      <c r="C838" s="193" t="s">
        <v>5126</v>
      </c>
      <c r="D838" s="202" t="s">
        <v>5127</v>
      </c>
      <c r="E838" s="203">
        <v>45657</v>
      </c>
      <c r="F838" s="208">
        <v>12041000</v>
      </c>
      <c r="G838" s="192"/>
      <c r="H838" s="209"/>
      <c r="I838" s="194" t="s">
        <v>5099</v>
      </c>
      <c r="J838" s="193" t="s">
        <v>2696</v>
      </c>
      <c r="K838" s="194" t="s">
        <v>5065</v>
      </c>
    </row>
    <row r="839" spans="1:11" ht="58.15" customHeight="1" x14ac:dyDescent="0.35">
      <c r="A839" s="192">
        <v>838</v>
      </c>
      <c r="B839" s="205" t="s">
        <v>5128</v>
      </c>
      <c r="C839" s="193" t="s">
        <v>5129</v>
      </c>
      <c r="D839" s="202" t="s">
        <v>5130</v>
      </c>
      <c r="E839" s="203">
        <v>45657</v>
      </c>
      <c r="F839" s="208">
        <v>7301800</v>
      </c>
      <c r="G839" s="192"/>
      <c r="H839" s="209"/>
      <c r="I839" s="194" t="s">
        <v>5065</v>
      </c>
      <c r="J839" s="193" t="s">
        <v>2696</v>
      </c>
      <c r="K839" s="194" t="s">
        <v>5065</v>
      </c>
    </row>
    <row r="840" spans="1:11" ht="58.15" customHeight="1" x14ac:dyDescent="0.35">
      <c r="A840" s="192">
        <v>839</v>
      </c>
      <c r="B840" s="205" t="s">
        <v>5131</v>
      </c>
      <c r="C840" s="193" t="s">
        <v>5132</v>
      </c>
      <c r="D840" s="202" t="s">
        <v>5133</v>
      </c>
      <c r="E840" s="203">
        <v>45657</v>
      </c>
      <c r="F840" s="208">
        <v>60773200</v>
      </c>
      <c r="G840" s="192"/>
      <c r="H840" s="209"/>
      <c r="I840" s="194" t="s">
        <v>5134</v>
      </c>
      <c r="J840" s="193" t="s">
        <v>2696</v>
      </c>
      <c r="K840" s="194" t="s">
        <v>5065</v>
      </c>
    </row>
    <row r="841" spans="1:11" ht="58.15" customHeight="1" x14ac:dyDescent="0.35">
      <c r="A841" s="192">
        <v>840</v>
      </c>
      <c r="B841" s="205" t="s">
        <v>5135</v>
      </c>
      <c r="C841" s="193" t="s">
        <v>5136</v>
      </c>
      <c r="D841" s="202" t="s">
        <v>5137</v>
      </c>
      <c r="E841" s="203">
        <v>45657</v>
      </c>
      <c r="F841" s="208">
        <v>59443000</v>
      </c>
      <c r="G841" s="192"/>
      <c r="H841" s="209"/>
      <c r="I841" s="194" t="s">
        <v>5065</v>
      </c>
      <c r="J841" s="193" t="s">
        <v>2696</v>
      </c>
      <c r="K841" s="194" t="s">
        <v>5065</v>
      </c>
    </row>
    <row r="842" spans="1:11" ht="58.15" customHeight="1" x14ac:dyDescent="0.35">
      <c r="A842" s="192">
        <v>841</v>
      </c>
      <c r="B842" s="205" t="s">
        <v>5138</v>
      </c>
      <c r="C842" s="193" t="s">
        <v>5139</v>
      </c>
      <c r="D842" s="202" t="s">
        <v>5140</v>
      </c>
      <c r="E842" s="203">
        <v>45657</v>
      </c>
      <c r="F842" s="208">
        <v>1766100</v>
      </c>
      <c r="G842" s="192"/>
      <c r="H842" s="209"/>
      <c r="I842" s="194" t="s">
        <v>5065</v>
      </c>
      <c r="J842" s="193" t="s">
        <v>2696</v>
      </c>
      <c r="K842" s="194" t="s">
        <v>5065</v>
      </c>
    </row>
    <row r="843" spans="1:11" ht="58.15" customHeight="1" x14ac:dyDescent="0.35">
      <c r="A843" s="192">
        <v>842</v>
      </c>
      <c r="B843" s="205" t="s">
        <v>5141</v>
      </c>
      <c r="C843" s="193" t="s">
        <v>5142</v>
      </c>
      <c r="D843" s="202" t="s">
        <v>5143</v>
      </c>
      <c r="E843" s="203">
        <v>45657</v>
      </c>
      <c r="F843" s="208">
        <v>2595800</v>
      </c>
      <c r="G843" s="192"/>
      <c r="H843" s="209"/>
      <c r="I843" s="194" t="s">
        <v>5065</v>
      </c>
      <c r="J843" s="193" t="s">
        <v>2696</v>
      </c>
      <c r="K843" s="194" t="s">
        <v>5065</v>
      </c>
    </row>
    <row r="844" spans="1:11" ht="58.15" customHeight="1" x14ac:dyDescent="0.35">
      <c r="A844" s="192">
        <v>843</v>
      </c>
      <c r="B844" s="205" t="s">
        <v>5144</v>
      </c>
      <c r="C844" s="193" t="s">
        <v>5145</v>
      </c>
      <c r="D844" s="202" t="s">
        <v>5146</v>
      </c>
      <c r="E844" s="203">
        <v>45657</v>
      </c>
      <c r="F844" s="208">
        <v>8078600</v>
      </c>
      <c r="G844" s="192"/>
      <c r="H844" s="209"/>
      <c r="I844" s="194" t="s">
        <v>5065</v>
      </c>
      <c r="J844" s="193" t="s">
        <v>2696</v>
      </c>
      <c r="K844" s="194" t="s">
        <v>5065</v>
      </c>
    </row>
    <row r="845" spans="1:11" ht="58.15" customHeight="1" x14ac:dyDescent="0.35">
      <c r="A845" s="192">
        <v>844</v>
      </c>
      <c r="B845" s="205" t="s">
        <v>5147</v>
      </c>
      <c r="C845" s="193" t="s">
        <v>5148</v>
      </c>
      <c r="D845" s="202" t="s">
        <v>5149</v>
      </c>
      <c r="E845" s="203">
        <v>45657</v>
      </c>
      <c r="F845" s="208">
        <v>3034000</v>
      </c>
      <c r="G845" s="192"/>
      <c r="H845" s="209"/>
      <c r="I845" s="194" t="s">
        <v>5065</v>
      </c>
      <c r="J845" s="193" t="s">
        <v>2696</v>
      </c>
      <c r="K845" s="194" t="s">
        <v>5065</v>
      </c>
    </row>
    <row r="846" spans="1:11" ht="58.15" customHeight="1" x14ac:dyDescent="0.35">
      <c r="A846" s="192">
        <v>845</v>
      </c>
      <c r="B846" s="205" t="s">
        <v>5150</v>
      </c>
      <c r="C846" s="193" t="s">
        <v>5151</v>
      </c>
      <c r="D846" s="202" t="s">
        <v>5152</v>
      </c>
      <c r="E846" s="203">
        <v>45657</v>
      </c>
      <c r="F846" s="208">
        <v>6641400</v>
      </c>
      <c r="G846" s="192"/>
      <c r="H846" s="209"/>
      <c r="I846" s="194" t="s">
        <v>5065</v>
      </c>
      <c r="J846" s="193" t="s">
        <v>2696</v>
      </c>
      <c r="K846" s="194" t="s">
        <v>5065</v>
      </c>
    </row>
    <row r="847" spans="1:11" ht="58.15" customHeight="1" x14ac:dyDescent="0.35">
      <c r="A847" s="192">
        <v>846</v>
      </c>
      <c r="B847" s="205" t="s">
        <v>5153</v>
      </c>
      <c r="C847" s="193" t="s">
        <v>5154</v>
      </c>
      <c r="D847" s="202" t="s">
        <v>5155</v>
      </c>
      <c r="E847" s="203">
        <v>45657</v>
      </c>
      <c r="F847" s="208">
        <v>6460700</v>
      </c>
      <c r="G847" s="192"/>
      <c r="H847" s="209"/>
      <c r="I847" s="194" t="s">
        <v>5065</v>
      </c>
      <c r="J847" s="193" t="s">
        <v>2696</v>
      </c>
      <c r="K847" s="194" t="s">
        <v>5065</v>
      </c>
    </row>
    <row r="848" spans="1:11" ht="58.15" customHeight="1" x14ac:dyDescent="0.35">
      <c r="A848" s="192">
        <v>847</v>
      </c>
      <c r="B848" s="205" t="s">
        <v>5156</v>
      </c>
      <c r="C848" s="193" t="s">
        <v>5157</v>
      </c>
      <c r="D848" s="202" t="s">
        <v>5158</v>
      </c>
      <c r="E848" s="203">
        <v>45657</v>
      </c>
      <c r="F848" s="208">
        <v>3898700</v>
      </c>
      <c r="G848" s="192"/>
      <c r="H848" s="209"/>
      <c r="I848" s="194" t="s">
        <v>5065</v>
      </c>
      <c r="J848" s="193" t="s">
        <v>2696</v>
      </c>
      <c r="K848" s="194" t="s">
        <v>5065</v>
      </c>
    </row>
    <row r="849" spans="1:11" ht="58.15" customHeight="1" x14ac:dyDescent="0.35">
      <c r="A849" s="192">
        <v>848</v>
      </c>
      <c r="B849" s="205" t="s">
        <v>5159</v>
      </c>
      <c r="C849" s="193" t="s">
        <v>5160</v>
      </c>
      <c r="D849" s="202" t="s">
        <v>5161</v>
      </c>
      <c r="E849" s="203">
        <v>45657</v>
      </c>
      <c r="F849" s="208">
        <v>471795900</v>
      </c>
      <c r="G849" s="192"/>
      <c r="H849" s="209"/>
      <c r="I849" s="194" t="s">
        <v>5065</v>
      </c>
      <c r="J849" s="193" t="s">
        <v>2696</v>
      </c>
      <c r="K849" s="194" t="s">
        <v>5065</v>
      </c>
    </row>
    <row r="850" spans="1:11" ht="58.15" customHeight="1" x14ac:dyDescent="0.35">
      <c r="A850" s="192">
        <v>849</v>
      </c>
      <c r="B850" s="205" t="s">
        <v>5162</v>
      </c>
      <c r="C850" s="193" t="s">
        <v>5163</v>
      </c>
      <c r="D850" s="202" t="s">
        <v>5164</v>
      </c>
      <c r="E850" s="203">
        <v>45657</v>
      </c>
      <c r="F850" s="208">
        <v>453804400</v>
      </c>
      <c r="G850" s="192"/>
      <c r="H850" s="209"/>
      <c r="I850" s="194" t="s">
        <v>5065</v>
      </c>
      <c r="J850" s="193" t="s">
        <v>2696</v>
      </c>
      <c r="K850" s="194" t="s">
        <v>5065</v>
      </c>
    </row>
    <row r="851" spans="1:11" ht="58.15" customHeight="1" x14ac:dyDescent="0.35">
      <c r="A851" s="192">
        <v>850</v>
      </c>
      <c r="B851" s="205" t="s">
        <v>5165</v>
      </c>
      <c r="C851" s="193" t="s">
        <v>5166</v>
      </c>
      <c r="D851" s="202" t="s">
        <v>5167</v>
      </c>
      <c r="E851" s="203">
        <v>45657</v>
      </c>
      <c r="F851" s="208">
        <v>297571100</v>
      </c>
      <c r="G851" s="192"/>
      <c r="H851" s="209"/>
      <c r="I851" s="194" t="s">
        <v>5065</v>
      </c>
      <c r="J851" s="193" t="s">
        <v>2696</v>
      </c>
      <c r="K851" s="194" t="s">
        <v>5065</v>
      </c>
    </row>
    <row r="852" spans="1:11" ht="58.15" customHeight="1" x14ac:dyDescent="0.35">
      <c r="A852" s="192">
        <v>851</v>
      </c>
      <c r="B852" s="205" t="s">
        <v>5168</v>
      </c>
      <c r="C852" s="193"/>
      <c r="D852" s="202" t="s">
        <v>2692</v>
      </c>
      <c r="E852" s="203">
        <v>45657</v>
      </c>
      <c r="F852" s="208">
        <v>758600</v>
      </c>
      <c r="G852" s="192"/>
      <c r="H852" s="209"/>
      <c r="I852" s="194" t="s">
        <v>1919</v>
      </c>
      <c r="J852" s="193" t="s">
        <v>2696</v>
      </c>
      <c r="K852" s="194" t="s">
        <v>832</v>
      </c>
    </row>
    <row r="853" spans="1:11" ht="58.15" customHeight="1" x14ac:dyDescent="0.35">
      <c r="A853" s="192">
        <v>852</v>
      </c>
      <c r="B853" s="205" t="s">
        <v>5169</v>
      </c>
      <c r="C853" s="193" t="s">
        <v>5170</v>
      </c>
      <c r="D853" s="202" t="s">
        <v>5171</v>
      </c>
      <c r="E853" s="203">
        <v>45657</v>
      </c>
      <c r="F853" s="208">
        <v>14841000</v>
      </c>
      <c r="G853" s="192"/>
      <c r="H853" s="209"/>
      <c r="I853" s="194" t="s">
        <v>1919</v>
      </c>
      <c r="J853" s="193" t="s">
        <v>2696</v>
      </c>
      <c r="K853" s="194" t="s">
        <v>422</v>
      </c>
    </row>
    <row r="854" spans="1:11" ht="58.15" customHeight="1" x14ac:dyDescent="0.35">
      <c r="A854" s="192">
        <v>853</v>
      </c>
      <c r="B854" s="205" t="s">
        <v>5172</v>
      </c>
      <c r="C854" s="193" t="s">
        <v>5173</v>
      </c>
      <c r="D854" s="202" t="s">
        <v>5174</v>
      </c>
      <c r="E854" s="203">
        <v>45657</v>
      </c>
      <c r="F854" s="208">
        <v>4812400</v>
      </c>
      <c r="G854" s="192"/>
      <c r="H854" s="209"/>
      <c r="I854" s="194" t="s">
        <v>1919</v>
      </c>
      <c r="J854" s="193" t="s">
        <v>2696</v>
      </c>
      <c r="K854" s="194" t="s">
        <v>422</v>
      </c>
    </row>
    <row r="855" spans="1:11" ht="58.15" customHeight="1" x14ac:dyDescent="0.35">
      <c r="A855" s="192">
        <v>854</v>
      </c>
      <c r="B855" s="205" t="s">
        <v>5175</v>
      </c>
      <c r="C855" s="193" t="s">
        <v>5176</v>
      </c>
      <c r="D855" s="202" t="s">
        <v>5177</v>
      </c>
      <c r="E855" s="203">
        <v>45657</v>
      </c>
      <c r="F855" s="208">
        <v>3799900</v>
      </c>
      <c r="G855" s="192"/>
      <c r="H855" s="209"/>
      <c r="I855" s="194" t="s">
        <v>1919</v>
      </c>
      <c r="J855" s="193" t="s">
        <v>2696</v>
      </c>
      <c r="K855" s="194" t="s">
        <v>422</v>
      </c>
    </row>
    <row r="856" spans="1:11" ht="58.15" customHeight="1" x14ac:dyDescent="0.35">
      <c r="A856" s="192">
        <v>855</v>
      </c>
      <c r="B856" s="205" t="s">
        <v>5178</v>
      </c>
      <c r="C856" s="193" t="s">
        <v>5179</v>
      </c>
      <c r="D856" s="202" t="s">
        <v>5180</v>
      </c>
      <c r="E856" s="203">
        <v>45657</v>
      </c>
      <c r="F856" s="208">
        <v>11509800</v>
      </c>
      <c r="G856" s="192"/>
      <c r="H856" s="209"/>
      <c r="I856" s="194" t="s">
        <v>1919</v>
      </c>
      <c r="J856" s="193" t="s">
        <v>2696</v>
      </c>
      <c r="K856" s="194" t="s">
        <v>422</v>
      </c>
    </row>
    <row r="857" spans="1:11" ht="58.15" customHeight="1" x14ac:dyDescent="0.35">
      <c r="A857" s="192">
        <v>856</v>
      </c>
      <c r="B857" s="205" t="s">
        <v>5181</v>
      </c>
      <c r="C857" s="193" t="s">
        <v>5182</v>
      </c>
      <c r="D857" s="202" t="s">
        <v>5183</v>
      </c>
      <c r="E857" s="203">
        <v>45657</v>
      </c>
      <c r="F857" s="208">
        <v>10463500</v>
      </c>
      <c r="G857" s="192"/>
      <c r="H857" s="209"/>
      <c r="I857" s="194" t="s">
        <v>1919</v>
      </c>
      <c r="J857" s="193" t="s">
        <v>2696</v>
      </c>
      <c r="K857" s="194" t="s">
        <v>422</v>
      </c>
    </row>
    <row r="858" spans="1:11" ht="58.15" customHeight="1" x14ac:dyDescent="0.35">
      <c r="A858" s="192">
        <v>857</v>
      </c>
      <c r="B858" s="205" t="s">
        <v>5184</v>
      </c>
      <c r="C858" s="193" t="s">
        <v>5185</v>
      </c>
      <c r="D858" s="202" t="s">
        <v>5186</v>
      </c>
      <c r="E858" s="203">
        <v>45657</v>
      </c>
      <c r="F858" s="208">
        <v>3139000</v>
      </c>
      <c r="G858" s="192"/>
      <c r="H858" s="209"/>
      <c r="I858" s="194" t="s">
        <v>1919</v>
      </c>
      <c r="J858" s="193" t="s">
        <v>2696</v>
      </c>
      <c r="K858" s="194" t="s">
        <v>422</v>
      </c>
    </row>
    <row r="859" spans="1:11" ht="58.15" customHeight="1" x14ac:dyDescent="0.35">
      <c r="A859" s="192">
        <v>858</v>
      </c>
      <c r="B859" s="205" t="s">
        <v>5187</v>
      </c>
      <c r="C859" s="193" t="s">
        <v>5188</v>
      </c>
      <c r="D859" s="202" t="s">
        <v>5189</v>
      </c>
      <c r="E859" s="203">
        <v>45657</v>
      </c>
      <c r="F859" s="208">
        <v>12556200</v>
      </c>
      <c r="G859" s="192"/>
      <c r="H859" s="209"/>
      <c r="I859" s="194" t="s">
        <v>1919</v>
      </c>
      <c r="J859" s="193" t="s">
        <v>2696</v>
      </c>
      <c r="K859" s="194" t="s">
        <v>422</v>
      </c>
    </row>
    <row r="860" spans="1:11" ht="58.15" customHeight="1" x14ac:dyDescent="0.35">
      <c r="A860" s="192">
        <v>859</v>
      </c>
      <c r="B860" s="205" t="s">
        <v>5190</v>
      </c>
      <c r="C860" s="193" t="s">
        <v>5191</v>
      </c>
      <c r="D860" s="202" t="s">
        <v>5192</v>
      </c>
      <c r="E860" s="203">
        <v>45657</v>
      </c>
      <c r="F860" s="208">
        <v>188300</v>
      </c>
      <c r="G860" s="192"/>
      <c r="H860" s="209"/>
      <c r="I860" s="194" t="s">
        <v>1919</v>
      </c>
      <c r="J860" s="193" t="s">
        <v>2696</v>
      </c>
      <c r="K860" s="194" t="s">
        <v>832</v>
      </c>
    </row>
    <row r="861" spans="1:11" ht="58.15" customHeight="1" x14ac:dyDescent="0.35">
      <c r="A861" s="192">
        <v>860</v>
      </c>
      <c r="B861" s="205" t="s">
        <v>5193</v>
      </c>
      <c r="C861" s="193" t="s">
        <v>5194</v>
      </c>
      <c r="D861" s="202" t="s">
        <v>5195</v>
      </c>
      <c r="E861" s="203">
        <v>45657</v>
      </c>
      <c r="F861" s="208">
        <v>2636800</v>
      </c>
      <c r="G861" s="192"/>
      <c r="H861" s="209"/>
      <c r="I861" s="194" t="s">
        <v>1919</v>
      </c>
      <c r="J861" s="193" t="s">
        <v>2696</v>
      </c>
      <c r="K861" s="194" t="s">
        <v>422</v>
      </c>
    </row>
    <row r="862" spans="1:11" ht="58.15" customHeight="1" x14ac:dyDescent="0.35">
      <c r="A862" s="192">
        <v>861</v>
      </c>
      <c r="B862" s="205" t="s">
        <v>5197</v>
      </c>
      <c r="C862" s="193" t="s">
        <v>5198</v>
      </c>
      <c r="D862" s="202" t="s">
        <v>5199</v>
      </c>
      <c r="E862" s="203">
        <v>45657</v>
      </c>
      <c r="F862" s="208">
        <v>89900</v>
      </c>
      <c r="G862" s="192"/>
      <c r="H862" s="209"/>
      <c r="I862" s="194" t="s">
        <v>4233</v>
      </c>
      <c r="J862" s="193" t="s">
        <v>2696</v>
      </c>
      <c r="K862" s="194" t="s">
        <v>4709</v>
      </c>
    </row>
    <row r="863" spans="1:11" ht="58.15" customHeight="1" x14ac:dyDescent="0.35">
      <c r="A863" s="192">
        <v>862</v>
      </c>
      <c r="B863" s="205" t="s">
        <v>5200</v>
      </c>
      <c r="C863" s="193" t="s">
        <v>5201</v>
      </c>
      <c r="D863" s="202" t="s">
        <v>5202</v>
      </c>
      <c r="E863" s="203">
        <v>45657</v>
      </c>
      <c r="F863" s="208">
        <v>348100</v>
      </c>
      <c r="G863" s="192"/>
      <c r="H863" s="209"/>
      <c r="I863" s="194" t="s">
        <v>5196</v>
      </c>
      <c r="J863" s="193" t="s">
        <v>2696</v>
      </c>
      <c r="K863" s="194" t="s">
        <v>4234</v>
      </c>
    </row>
    <row r="864" spans="1:11" ht="58.15" customHeight="1" x14ac:dyDescent="0.35">
      <c r="A864" s="192">
        <v>863</v>
      </c>
      <c r="B864" s="205" t="s">
        <v>5203</v>
      </c>
      <c r="C864" s="193" t="s">
        <v>5204</v>
      </c>
      <c r="D864" s="202" t="s">
        <v>5205</v>
      </c>
      <c r="E864" s="203">
        <v>45657</v>
      </c>
      <c r="F864" s="208">
        <v>220300</v>
      </c>
      <c r="G864" s="192"/>
      <c r="H864" s="209"/>
      <c r="I864" s="194" t="s">
        <v>2914</v>
      </c>
      <c r="J864" s="193" t="s">
        <v>2696</v>
      </c>
      <c r="K864" s="194" t="s">
        <v>2915</v>
      </c>
    </row>
    <row r="865" spans="1:11" ht="58.15" customHeight="1" x14ac:dyDescent="0.35">
      <c r="A865" s="192">
        <v>864</v>
      </c>
      <c r="B865" s="205" t="s">
        <v>5206</v>
      </c>
      <c r="C865" s="193" t="s">
        <v>5207</v>
      </c>
      <c r="D865" s="202" t="s">
        <v>5208</v>
      </c>
      <c r="E865" s="203">
        <v>45657</v>
      </c>
      <c r="F865" s="208">
        <v>262900</v>
      </c>
      <c r="G865" s="192"/>
      <c r="H865" s="209"/>
      <c r="I865" s="194" t="s">
        <v>5209</v>
      </c>
      <c r="J865" s="193" t="s">
        <v>2696</v>
      </c>
      <c r="K865" s="194" t="s">
        <v>2701</v>
      </c>
    </row>
    <row r="866" spans="1:11" ht="58.15" customHeight="1" x14ac:dyDescent="0.35">
      <c r="A866" s="192">
        <v>865</v>
      </c>
      <c r="B866" s="205" t="s">
        <v>5210</v>
      </c>
      <c r="C866" s="193" t="s">
        <v>5211</v>
      </c>
      <c r="D866" s="202" t="s">
        <v>5212</v>
      </c>
      <c r="E866" s="203">
        <v>45657</v>
      </c>
      <c r="F866" s="208">
        <f>318000/3</f>
        <v>106000</v>
      </c>
      <c r="G866" s="192"/>
      <c r="H866" s="209"/>
      <c r="I866" s="194" t="s">
        <v>4204</v>
      </c>
      <c r="J866" s="193" t="s">
        <v>2696</v>
      </c>
      <c r="K866" s="194" t="s">
        <v>2701</v>
      </c>
    </row>
    <row r="867" spans="1:11" ht="58.15" customHeight="1" x14ac:dyDescent="0.35">
      <c r="A867" s="192">
        <v>866</v>
      </c>
      <c r="B867" s="205" t="s">
        <v>5210</v>
      </c>
      <c r="C867" s="193" t="s">
        <v>5211</v>
      </c>
      <c r="D867" s="202" t="s">
        <v>5213</v>
      </c>
      <c r="E867" s="203">
        <v>45657</v>
      </c>
      <c r="F867" s="208">
        <f t="shared" ref="F867:F868" si="26">318000/3</f>
        <v>106000</v>
      </c>
      <c r="G867" s="192"/>
      <c r="H867" s="209"/>
      <c r="I867" s="194" t="s">
        <v>4204</v>
      </c>
      <c r="J867" s="193" t="s">
        <v>2696</v>
      </c>
      <c r="K867" s="194" t="s">
        <v>2701</v>
      </c>
    </row>
    <row r="868" spans="1:11" ht="58.15" customHeight="1" x14ac:dyDescent="0.35">
      <c r="A868" s="192">
        <v>867</v>
      </c>
      <c r="B868" s="205" t="s">
        <v>5210</v>
      </c>
      <c r="C868" s="193" t="s">
        <v>5211</v>
      </c>
      <c r="D868" s="202" t="s">
        <v>5214</v>
      </c>
      <c r="E868" s="203">
        <v>45657</v>
      </c>
      <c r="F868" s="208">
        <f t="shared" si="26"/>
        <v>106000</v>
      </c>
      <c r="G868" s="192"/>
      <c r="H868" s="209"/>
      <c r="I868" s="194" t="s">
        <v>4204</v>
      </c>
      <c r="J868" s="193" t="s">
        <v>2696</v>
      </c>
      <c r="K868" s="194" t="s">
        <v>2701</v>
      </c>
    </row>
    <row r="869" spans="1:11" ht="58.15" customHeight="1" x14ac:dyDescent="0.35">
      <c r="A869" s="192">
        <v>868</v>
      </c>
      <c r="B869" s="205" t="s">
        <v>5215</v>
      </c>
      <c r="C869" s="193" t="s">
        <v>5216</v>
      </c>
      <c r="D869" s="202" t="s">
        <v>5217</v>
      </c>
      <c r="E869" s="203">
        <v>45657</v>
      </c>
      <c r="F869" s="208">
        <f>1749000/5</f>
        <v>349800</v>
      </c>
      <c r="G869" s="192"/>
      <c r="H869" s="209"/>
      <c r="I869" s="194"/>
      <c r="J869" s="193" t="s">
        <v>2696</v>
      </c>
      <c r="K869" s="194"/>
    </row>
    <row r="870" spans="1:11" ht="58.15" customHeight="1" x14ac:dyDescent="0.35">
      <c r="A870" s="192">
        <v>869</v>
      </c>
      <c r="B870" s="205" t="s">
        <v>5215</v>
      </c>
      <c r="C870" s="193" t="s">
        <v>5216</v>
      </c>
      <c r="D870" s="202" t="s">
        <v>5218</v>
      </c>
      <c r="E870" s="203">
        <v>45657</v>
      </c>
      <c r="F870" s="208">
        <f t="shared" ref="F870:F873" si="27">1749000/5</f>
        <v>349800</v>
      </c>
      <c r="G870" s="192"/>
      <c r="H870" s="209"/>
      <c r="I870" s="194"/>
      <c r="J870" s="193" t="s">
        <v>2696</v>
      </c>
      <c r="K870" s="194"/>
    </row>
    <row r="871" spans="1:11" ht="58.15" customHeight="1" x14ac:dyDescent="0.35">
      <c r="A871" s="192">
        <v>870</v>
      </c>
      <c r="B871" s="205" t="s">
        <v>5215</v>
      </c>
      <c r="C871" s="193" t="s">
        <v>5216</v>
      </c>
      <c r="D871" s="202" t="s">
        <v>5219</v>
      </c>
      <c r="E871" s="203">
        <v>45657</v>
      </c>
      <c r="F871" s="208">
        <f t="shared" si="27"/>
        <v>349800</v>
      </c>
      <c r="G871" s="192"/>
      <c r="H871" s="209"/>
      <c r="I871" s="194"/>
      <c r="J871" s="193" t="s">
        <v>2696</v>
      </c>
      <c r="K871" s="194"/>
    </row>
    <row r="872" spans="1:11" ht="58.15" customHeight="1" x14ac:dyDescent="0.35">
      <c r="A872" s="192">
        <v>871</v>
      </c>
      <c r="B872" s="205" t="s">
        <v>5215</v>
      </c>
      <c r="C872" s="193" t="s">
        <v>5216</v>
      </c>
      <c r="D872" s="202" t="s">
        <v>5220</v>
      </c>
      <c r="E872" s="203">
        <v>45657</v>
      </c>
      <c r="F872" s="208">
        <f t="shared" si="27"/>
        <v>349800</v>
      </c>
      <c r="G872" s="192"/>
      <c r="H872" s="209"/>
      <c r="I872" s="194"/>
      <c r="J872" s="193" t="s">
        <v>2696</v>
      </c>
      <c r="K872" s="194"/>
    </row>
    <row r="873" spans="1:11" ht="58.15" customHeight="1" x14ac:dyDescent="0.35">
      <c r="A873" s="192">
        <v>872</v>
      </c>
      <c r="B873" s="205" t="s">
        <v>5215</v>
      </c>
      <c r="C873" s="193" t="s">
        <v>5216</v>
      </c>
      <c r="D873" s="202" t="s">
        <v>5221</v>
      </c>
      <c r="E873" s="203">
        <v>45657</v>
      </c>
      <c r="F873" s="208">
        <f t="shared" si="27"/>
        <v>349800</v>
      </c>
      <c r="G873" s="192"/>
      <c r="H873" s="209"/>
      <c r="I873" s="194"/>
      <c r="J873" s="193" t="s">
        <v>2696</v>
      </c>
      <c r="K873" s="194"/>
    </row>
    <row r="874" spans="1:11" ht="58.15" customHeight="1" x14ac:dyDescent="0.35">
      <c r="A874" s="192">
        <v>873</v>
      </c>
      <c r="B874" s="205" t="s">
        <v>5222</v>
      </c>
      <c r="C874" s="193" t="s">
        <v>5223</v>
      </c>
      <c r="D874" s="202" t="s">
        <v>5224</v>
      </c>
      <c r="E874" s="203">
        <v>45657</v>
      </c>
      <c r="F874" s="208">
        <v>202600</v>
      </c>
      <c r="G874" s="192"/>
      <c r="H874" s="209"/>
      <c r="I874" s="194"/>
      <c r="J874" s="193" t="s">
        <v>2696</v>
      </c>
      <c r="K874" s="194"/>
    </row>
    <row r="875" spans="1:11" ht="58.15" customHeight="1" x14ac:dyDescent="0.35">
      <c r="A875" s="192">
        <v>874</v>
      </c>
      <c r="B875" s="205" t="s">
        <v>5225</v>
      </c>
      <c r="C875" s="193" t="s">
        <v>5226</v>
      </c>
      <c r="D875" s="202" t="s">
        <v>5227</v>
      </c>
      <c r="E875" s="203">
        <v>45657</v>
      </c>
      <c r="F875" s="208">
        <f>719000/5</f>
        <v>143800</v>
      </c>
      <c r="G875" s="192"/>
      <c r="H875" s="209"/>
      <c r="I875" s="194" t="s">
        <v>5228</v>
      </c>
      <c r="J875" s="193" t="s">
        <v>2696</v>
      </c>
      <c r="K875" s="194" t="s">
        <v>2695</v>
      </c>
    </row>
    <row r="876" spans="1:11" ht="58.15" customHeight="1" x14ac:dyDescent="0.35">
      <c r="A876" s="192">
        <v>875</v>
      </c>
      <c r="B876" s="205" t="s">
        <v>5225</v>
      </c>
      <c r="C876" s="193" t="s">
        <v>5226</v>
      </c>
      <c r="D876" s="202" t="s">
        <v>5229</v>
      </c>
      <c r="E876" s="203">
        <v>45657</v>
      </c>
      <c r="F876" s="208">
        <f t="shared" ref="F876:F879" si="28">719000/5</f>
        <v>143800</v>
      </c>
      <c r="G876" s="192"/>
      <c r="H876" s="209"/>
      <c r="I876" s="194" t="s">
        <v>5228</v>
      </c>
      <c r="J876" s="193" t="s">
        <v>2696</v>
      </c>
      <c r="K876" s="194" t="s">
        <v>2695</v>
      </c>
    </row>
    <row r="877" spans="1:11" ht="58.15" customHeight="1" x14ac:dyDescent="0.35">
      <c r="A877" s="192">
        <v>876</v>
      </c>
      <c r="B877" s="205" t="s">
        <v>5225</v>
      </c>
      <c r="C877" s="193" t="s">
        <v>5226</v>
      </c>
      <c r="D877" s="202" t="s">
        <v>5230</v>
      </c>
      <c r="E877" s="203">
        <v>45657</v>
      </c>
      <c r="F877" s="208">
        <f t="shared" si="28"/>
        <v>143800</v>
      </c>
      <c r="G877" s="192"/>
      <c r="H877" s="209"/>
      <c r="I877" s="194" t="s">
        <v>5228</v>
      </c>
      <c r="J877" s="193" t="s">
        <v>2696</v>
      </c>
      <c r="K877" s="194" t="s">
        <v>2695</v>
      </c>
    </row>
    <row r="878" spans="1:11" ht="58.15" customHeight="1" x14ac:dyDescent="0.35">
      <c r="A878" s="192">
        <v>877</v>
      </c>
      <c r="B878" s="205" t="s">
        <v>5225</v>
      </c>
      <c r="C878" s="193" t="s">
        <v>5226</v>
      </c>
      <c r="D878" s="202" t="s">
        <v>5231</v>
      </c>
      <c r="E878" s="203">
        <v>45657</v>
      </c>
      <c r="F878" s="208">
        <f t="shared" si="28"/>
        <v>143800</v>
      </c>
      <c r="G878" s="192"/>
      <c r="H878" s="209"/>
      <c r="I878" s="194" t="s">
        <v>5228</v>
      </c>
      <c r="J878" s="193" t="s">
        <v>2696</v>
      </c>
      <c r="K878" s="194" t="s">
        <v>2695</v>
      </c>
    </row>
    <row r="879" spans="1:11" ht="58.15" customHeight="1" x14ac:dyDescent="0.35">
      <c r="A879" s="192">
        <v>878</v>
      </c>
      <c r="B879" s="205" t="s">
        <v>5225</v>
      </c>
      <c r="C879" s="193" t="s">
        <v>5226</v>
      </c>
      <c r="D879" s="202" t="s">
        <v>5232</v>
      </c>
      <c r="E879" s="203">
        <v>45657</v>
      </c>
      <c r="F879" s="208">
        <f t="shared" si="28"/>
        <v>143800</v>
      </c>
      <c r="G879" s="192"/>
      <c r="H879" s="209"/>
      <c r="I879" s="194" t="s">
        <v>5228</v>
      </c>
      <c r="J879" s="193" t="s">
        <v>2696</v>
      </c>
      <c r="K879" s="194" t="s">
        <v>2695</v>
      </c>
    </row>
    <row r="880" spans="1:11" ht="58.15" customHeight="1" x14ac:dyDescent="0.35">
      <c r="A880" s="192">
        <v>879</v>
      </c>
      <c r="B880" s="205" t="s">
        <v>5233</v>
      </c>
      <c r="C880" s="193" t="s">
        <v>5234</v>
      </c>
      <c r="D880" s="202" t="s">
        <v>5235</v>
      </c>
      <c r="E880" s="203">
        <v>45657</v>
      </c>
      <c r="F880" s="208">
        <f>1417300/3</f>
        <v>472433.33333333331</v>
      </c>
      <c r="G880" s="192"/>
      <c r="H880" s="209"/>
      <c r="I880" s="194" t="s">
        <v>2695</v>
      </c>
      <c r="J880" s="193" t="s">
        <v>2696</v>
      </c>
      <c r="K880" s="194" t="s">
        <v>2695</v>
      </c>
    </row>
    <row r="881" spans="1:11" ht="58.15" customHeight="1" x14ac:dyDescent="0.35">
      <c r="A881" s="192">
        <v>880</v>
      </c>
      <c r="B881" s="205" t="s">
        <v>5233</v>
      </c>
      <c r="C881" s="193" t="s">
        <v>5234</v>
      </c>
      <c r="D881" s="202" t="s">
        <v>5236</v>
      </c>
      <c r="E881" s="203">
        <v>45657</v>
      </c>
      <c r="F881" s="208">
        <f t="shared" ref="F881:F882" si="29">1417300/3</f>
        <v>472433.33333333331</v>
      </c>
      <c r="G881" s="192"/>
      <c r="H881" s="209"/>
      <c r="I881" s="194" t="s">
        <v>2695</v>
      </c>
      <c r="J881" s="193" t="s">
        <v>2696</v>
      </c>
      <c r="K881" s="194" t="s">
        <v>2695</v>
      </c>
    </row>
    <row r="882" spans="1:11" ht="58.15" customHeight="1" x14ac:dyDescent="0.35">
      <c r="A882" s="192">
        <v>881</v>
      </c>
      <c r="B882" s="205" t="s">
        <v>5233</v>
      </c>
      <c r="C882" s="193" t="s">
        <v>5234</v>
      </c>
      <c r="D882" s="202" t="s">
        <v>5237</v>
      </c>
      <c r="E882" s="203">
        <v>45657</v>
      </c>
      <c r="F882" s="208">
        <f t="shared" si="29"/>
        <v>472433.33333333331</v>
      </c>
      <c r="G882" s="192"/>
      <c r="H882" s="209"/>
      <c r="I882" s="194" t="s">
        <v>2695</v>
      </c>
      <c r="J882" s="193" t="s">
        <v>2696</v>
      </c>
      <c r="K882" s="194" t="s">
        <v>2695</v>
      </c>
    </row>
    <row r="883" spans="1:11" ht="58.15" customHeight="1" x14ac:dyDescent="0.35">
      <c r="A883" s="192">
        <v>882</v>
      </c>
      <c r="B883" s="205" t="s">
        <v>5238</v>
      </c>
      <c r="C883" s="193" t="s">
        <v>5239</v>
      </c>
      <c r="D883" s="202" t="s">
        <v>5240</v>
      </c>
      <c r="E883" s="203">
        <v>45657</v>
      </c>
      <c r="F883" s="208">
        <v>580400</v>
      </c>
      <c r="G883" s="192"/>
      <c r="H883" s="209"/>
      <c r="I883" s="194" t="s">
        <v>5209</v>
      </c>
      <c r="J883" s="193" t="s">
        <v>2696</v>
      </c>
      <c r="K883" s="194" t="s">
        <v>2701</v>
      </c>
    </row>
    <row r="884" spans="1:11" ht="58.15" customHeight="1" x14ac:dyDescent="0.35">
      <c r="A884" s="192">
        <v>883</v>
      </c>
      <c r="B884" s="205" t="s">
        <v>5241</v>
      </c>
      <c r="C884" s="193" t="s">
        <v>5242</v>
      </c>
      <c r="D884" s="202" t="s">
        <v>5243</v>
      </c>
      <c r="E884" s="203">
        <v>45657</v>
      </c>
      <c r="F884" s="208">
        <v>492300</v>
      </c>
      <c r="G884" s="192"/>
      <c r="H884" s="209"/>
      <c r="I884" s="194" t="s">
        <v>4517</v>
      </c>
      <c r="J884" s="193" t="s">
        <v>2696</v>
      </c>
      <c r="K884" s="194" t="s">
        <v>2690</v>
      </c>
    </row>
  </sheetData>
  <hyperlinks>
    <hyperlink ref="C15" r:id="rId1" display="Inventory Kantor Developer\Estate\PKawasan025.jpg"/>
  </hyperlinks>
  <pageMargins left="0.75" right="0.75" top="1" bottom="1" header="0.51180555555555496" footer="0.51180555555555496"/>
  <pageSetup orientation="landscape"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B2:O347"/>
  <sheetViews>
    <sheetView topLeftCell="A106" zoomScale="90" zoomScaleNormal="90" workbookViewId="0">
      <selection activeCell="D97" sqref="D97"/>
    </sheetView>
  </sheetViews>
  <sheetFormatPr defaultRowHeight="16.5" x14ac:dyDescent="0.3"/>
  <cols>
    <col min="1" max="1" width="9.140625" style="84"/>
    <col min="2" max="2" width="5.5703125" style="84" customWidth="1"/>
    <col min="3" max="3" width="26" style="139" customWidth="1"/>
    <col min="4" max="4" width="11.28515625" style="140" customWidth="1"/>
    <col min="5" max="5" width="11.7109375" style="140" customWidth="1"/>
    <col min="6" max="6" width="13" style="140" customWidth="1"/>
    <col min="7" max="7" width="13.28515625" style="140" customWidth="1"/>
    <col min="8" max="8" width="4.7109375" style="84" customWidth="1"/>
    <col min="9" max="9" width="19.140625" style="84" customWidth="1"/>
    <col min="10" max="10" width="6" style="84" customWidth="1"/>
    <col min="11" max="11" width="6.140625" style="84" customWidth="1"/>
    <col min="12" max="12" width="5.85546875" style="84" customWidth="1"/>
    <col min="13" max="13" width="12.140625" style="84" bestFit="1" customWidth="1"/>
    <col min="14" max="14" width="22.42578125" style="84" bestFit="1" customWidth="1"/>
    <col min="15" max="16384" width="9.140625" style="84"/>
  </cols>
  <sheetData>
    <row r="2" spans="2:15" ht="15" customHeight="1" x14ac:dyDescent="0.3">
      <c r="B2" s="214" t="s">
        <v>2</v>
      </c>
      <c r="C2" s="217" t="s">
        <v>799</v>
      </c>
      <c r="D2" s="214" t="s">
        <v>800</v>
      </c>
      <c r="E2" s="214" t="s">
        <v>7</v>
      </c>
      <c r="F2" s="214" t="s">
        <v>8</v>
      </c>
      <c r="G2" s="214" t="s">
        <v>9</v>
      </c>
      <c r="H2" s="214" t="s">
        <v>11</v>
      </c>
      <c r="I2" s="214"/>
      <c r="J2" s="215" t="s">
        <v>12</v>
      </c>
      <c r="K2" s="215"/>
      <c r="L2" s="215"/>
      <c r="M2" s="214" t="s">
        <v>801</v>
      </c>
      <c r="N2" s="214" t="s">
        <v>6</v>
      </c>
      <c r="O2" s="214" t="s">
        <v>14</v>
      </c>
    </row>
    <row r="3" spans="2:15" ht="27" x14ac:dyDescent="0.3">
      <c r="B3" s="214"/>
      <c r="C3" s="217"/>
      <c r="D3" s="214"/>
      <c r="E3" s="214"/>
      <c r="F3" s="214"/>
      <c r="G3" s="214"/>
      <c r="H3" s="214"/>
      <c r="I3" s="214"/>
      <c r="J3" s="85" t="s">
        <v>15</v>
      </c>
      <c r="K3" s="85" t="s">
        <v>16</v>
      </c>
      <c r="L3" s="85" t="s">
        <v>17</v>
      </c>
      <c r="M3" s="214"/>
      <c r="N3" s="214"/>
      <c r="O3" s="214"/>
    </row>
    <row r="4" spans="2:15" ht="30" customHeight="1" x14ac:dyDescent="0.3">
      <c r="B4" s="86">
        <v>1</v>
      </c>
      <c r="C4" s="63" t="s">
        <v>878</v>
      </c>
      <c r="D4" s="87" t="s">
        <v>879</v>
      </c>
      <c r="E4" s="64">
        <v>45657</v>
      </c>
      <c r="F4" s="88">
        <v>1024600</v>
      </c>
      <c r="G4" s="65" t="s">
        <v>880</v>
      </c>
      <c r="H4" s="89" t="s">
        <v>805</v>
      </c>
      <c r="I4" s="66" t="s">
        <v>881</v>
      </c>
      <c r="J4" s="90"/>
      <c r="K4" s="90"/>
      <c r="L4" s="90"/>
      <c r="M4" s="91"/>
      <c r="N4" s="91"/>
      <c r="O4" s="91"/>
    </row>
    <row r="5" spans="2:15" ht="45" customHeight="1" x14ac:dyDescent="0.3">
      <c r="B5" s="86">
        <v>2</v>
      </c>
      <c r="C5" s="63" t="s">
        <v>882</v>
      </c>
      <c r="D5" s="87" t="s">
        <v>883</v>
      </c>
      <c r="E5" s="64">
        <v>45657</v>
      </c>
      <c r="F5" s="88">
        <v>3125900</v>
      </c>
      <c r="G5" s="67" t="s">
        <v>880</v>
      </c>
      <c r="H5" s="89" t="s">
        <v>805</v>
      </c>
      <c r="I5" s="66" t="s">
        <v>884</v>
      </c>
      <c r="J5" s="90"/>
      <c r="K5" s="90"/>
      <c r="L5" s="90"/>
      <c r="M5" s="91" t="s">
        <v>25</v>
      </c>
      <c r="N5" s="91" t="s">
        <v>885</v>
      </c>
      <c r="O5" s="91"/>
    </row>
    <row r="6" spans="2:15" ht="42.75" customHeight="1" x14ac:dyDescent="0.3">
      <c r="B6" s="86">
        <v>3</v>
      </c>
      <c r="C6" s="63" t="s">
        <v>886</v>
      </c>
      <c r="D6" s="87" t="s">
        <v>887</v>
      </c>
      <c r="E6" s="64">
        <v>45657</v>
      </c>
      <c r="F6" s="88">
        <v>29306700</v>
      </c>
      <c r="G6" s="67" t="s">
        <v>880</v>
      </c>
      <c r="H6" s="89" t="s">
        <v>805</v>
      </c>
      <c r="I6" s="66" t="s">
        <v>888</v>
      </c>
      <c r="J6" s="90"/>
      <c r="K6" s="90"/>
      <c r="L6" s="90"/>
      <c r="M6" s="91" t="s">
        <v>25</v>
      </c>
      <c r="N6" s="91" t="s">
        <v>889</v>
      </c>
      <c r="O6" s="91"/>
    </row>
    <row r="7" spans="2:15" ht="77.25" customHeight="1" x14ac:dyDescent="0.3">
      <c r="B7" s="86">
        <v>4</v>
      </c>
      <c r="C7" s="63" t="s">
        <v>890</v>
      </c>
      <c r="D7" s="87" t="s">
        <v>891</v>
      </c>
      <c r="E7" s="64">
        <v>45657</v>
      </c>
      <c r="F7" s="88">
        <v>1524900</v>
      </c>
      <c r="G7" s="67" t="s">
        <v>892</v>
      </c>
      <c r="H7" s="89" t="s">
        <v>805</v>
      </c>
      <c r="I7" s="66" t="s">
        <v>893</v>
      </c>
      <c r="J7" s="90"/>
      <c r="K7" s="90"/>
      <c r="L7" s="90"/>
      <c r="M7" s="91" t="s">
        <v>25</v>
      </c>
      <c r="N7" s="91"/>
      <c r="O7" s="91"/>
    </row>
    <row r="8" spans="2:15" ht="58.5" customHeight="1" x14ac:dyDescent="0.3">
      <c r="B8" s="86">
        <v>5</v>
      </c>
      <c r="C8" s="63" t="s">
        <v>894</v>
      </c>
      <c r="D8" s="87" t="s">
        <v>895</v>
      </c>
      <c r="E8" s="64">
        <v>45657</v>
      </c>
      <c r="F8" s="88">
        <v>910100</v>
      </c>
      <c r="G8" s="67" t="s">
        <v>892</v>
      </c>
      <c r="H8" s="89" t="s">
        <v>805</v>
      </c>
      <c r="I8" s="66" t="s">
        <v>893</v>
      </c>
      <c r="J8" s="90"/>
      <c r="K8" s="90"/>
      <c r="L8" s="90"/>
      <c r="M8" s="91" t="s">
        <v>25</v>
      </c>
      <c r="N8" s="91"/>
      <c r="O8" s="91"/>
    </row>
    <row r="9" spans="2:15" ht="38.25" x14ac:dyDescent="0.3">
      <c r="B9" s="86">
        <v>6</v>
      </c>
      <c r="C9" s="63" t="s">
        <v>896</v>
      </c>
      <c r="D9" s="87" t="s">
        <v>897</v>
      </c>
      <c r="E9" s="64">
        <v>45657</v>
      </c>
      <c r="F9" s="88">
        <v>7713500</v>
      </c>
      <c r="G9" s="67" t="s">
        <v>892</v>
      </c>
      <c r="H9" s="89" t="s">
        <v>805</v>
      </c>
      <c r="I9" s="66" t="s">
        <v>893</v>
      </c>
      <c r="J9" s="90"/>
      <c r="K9" s="90"/>
      <c r="L9" s="90"/>
      <c r="M9" s="91" t="s">
        <v>25</v>
      </c>
      <c r="N9" s="91"/>
      <c r="O9" s="91"/>
    </row>
    <row r="10" spans="2:15" ht="76.5" x14ac:dyDescent="0.3">
      <c r="B10" s="86">
        <v>7</v>
      </c>
      <c r="C10" s="63" t="s">
        <v>898</v>
      </c>
      <c r="D10" s="87" t="s">
        <v>899</v>
      </c>
      <c r="E10" s="64">
        <v>45657</v>
      </c>
      <c r="F10" s="88">
        <v>12164300</v>
      </c>
      <c r="G10" s="67" t="s">
        <v>892</v>
      </c>
      <c r="H10" s="89" t="s">
        <v>805</v>
      </c>
      <c r="I10" s="66" t="s">
        <v>900</v>
      </c>
      <c r="J10" s="90"/>
      <c r="K10" s="90"/>
      <c r="L10" s="90"/>
      <c r="M10" s="91" t="s">
        <v>25</v>
      </c>
      <c r="N10" s="91"/>
      <c r="O10" s="91"/>
    </row>
    <row r="11" spans="2:15" ht="57" customHeight="1" x14ac:dyDescent="0.3">
      <c r="B11" s="86">
        <v>8</v>
      </c>
      <c r="C11" s="63" t="s">
        <v>901</v>
      </c>
      <c r="D11" s="87" t="s">
        <v>902</v>
      </c>
      <c r="E11" s="64">
        <v>45657</v>
      </c>
      <c r="F11" s="88">
        <v>15366400</v>
      </c>
      <c r="G11" s="67" t="s">
        <v>892</v>
      </c>
      <c r="H11" s="89" t="s">
        <v>805</v>
      </c>
      <c r="I11" s="66" t="s">
        <v>903</v>
      </c>
      <c r="J11" s="90"/>
      <c r="K11" s="90"/>
      <c r="L11" s="90"/>
      <c r="M11" s="91" t="s">
        <v>25</v>
      </c>
      <c r="N11" s="91"/>
      <c r="O11" s="91"/>
    </row>
    <row r="12" spans="2:15" ht="76.5" x14ac:dyDescent="0.3">
      <c r="B12" s="86">
        <v>9</v>
      </c>
      <c r="C12" s="63" t="s">
        <v>904</v>
      </c>
      <c r="D12" s="87" t="s">
        <v>905</v>
      </c>
      <c r="E12" s="64">
        <v>45657</v>
      </c>
      <c r="F12" s="88">
        <v>11741100</v>
      </c>
      <c r="G12" s="67" t="s">
        <v>892</v>
      </c>
      <c r="H12" s="89" t="s">
        <v>805</v>
      </c>
      <c r="I12" s="66" t="s">
        <v>906</v>
      </c>
      <c r="J12" s="90"/>
      <c r="K12" s="90"/>
      <c r="L12" s="90"/>
      <c r="M12" s="91" t="s">
        <v>25</v>
      </c>
      <c r="N12" s="91"/>
      <c r="O12" s="91"/>
    </row>
    <row r="13" spans="2:15" ht="87.75" customHeight="1" x14ac:dyDescent="0.3">
      <c r="B13" s="86">
        <v>10</v>
      </c>
      <c r="C13" s="63" t="s">
        <v>907</v>
      </c>
      <c r="D13" s="87" t="s">
        <v>908</v>
      </c>
      <c r="E13" s="64">
        <v>45657</v>
      </c>
      <c r="F13" s="88">
        <v>2569400</v>
      </c>
      <c r="G13" s="67" t="s">
        <v>892</v>
      </c>
      <c r="H13" s="89" t="s">
        <v>805</v>
      </c>
      <c r="I13" s="66" t="s">
        <v>909</v>
      </c>
      <c r="J13" s="90"/>
      <c r="K13" s="90"/>
      <c r="L13" s="90"/>
      <c r="M13" s="91" t="s">
        <v>25</v>
      </c>
      <c r="N13" s="91"/>
      <c r="O13" s="91"/>
    </row>
    <row r="14" spans="2:15" ht="38.25" x14ac:dyDescent="0.3">
      <c r="B14" s="86">
        <v>11</v>
      </c>
      <c r="C14" s="63" t="s">
        <v>910</v>
      </c>
      <c r="D14" s="87" t="s">
        <v>911</v>
      </c>
      <c r="E14" s="64">
        <v>45657</v>
      </c>
      <c r="F14" s="88">
        <v>2127500</v>
      </c>
      <c r="G14" s="68" t="s">
        <v>892</v>
      </c>
      <c r="H14" s="89" t="s">
        <v>805</v>
      </c>
      <c r="I14" s="66" t="s">
        <v>912</v>
      </c>
      <c r="J14" s="90"/>
      <c r="K14" s="90"/>
      <c r="L14" s="90"/>
      <c r="M14" s="91"/>
      <c r="N14" s="91"/>
      <c r="O14" s="91"/>
    </row>
    <row r="15" spans="2:15" ht="55.5" customHeight="1" x14ac:dyDescent="0.3">
      <c r="B15" s="86">
        <v>12</v>
      </c>
      <c r="C15" s="63" t="s">
        <v>913</v>
      </c>
      <c r="D15" s="87" t="s">
        <v>914</v>
      </c>
      <c r="E15" s="64">
        <v>45657</v>
      </c>
      <c r="F15" s="88">
        <v>1588500</v>
      </c>
      <c r="G15" s="67" t="s">
        <v>892</v>
      </c>
      <c r="H15" s="89" t="s">
        <v>805</v>
      </c>
      <c r="I15" s="66" t="s">
        <v>915</v>
      </c>
      <c r="J15" s="90"/>
      <c r="K15" s="90"/>
      <c r="L15" s="90"/>
      <c r="M15" s="91" t="s">
        <v>25</v>
      </c>
      <c r="N15" s="91"/>
      <c r="O15" s="91"/>
    </row>
    <row r="16" spans="2:15" x14ac:dyDescent="0.3">
      <c r="B16" s="86">
        <v>13</v>
      </c>
      <c r="C16" s="63" t="s">
        <v>916</v>
      </c>
      <c r="D16" s="87" t="s">
        <v>917</v>
      </c>
      <c r="E16" s="64">
        <v>45657</v>
      </c>
      <c r="F16" s="88">
        <v>1071000</v>
      </c>
      <c r="G16" s="67" t="s">
        <v>918</v>
      </c>
      <c r="H16" s="89" t="s">
        <v>805</v>
      </c>
      <c r="I16" s="66" t="s">
        <v>919</v>
      </c>
      <c r="J16" s="90"/>
      <c r="K16" s="90"/>
      <c r="L16" s="90"/>
      <c r="M16" s="91"/>
      <c r="N16" s="91"/>
      <c r="O16" s="91"/>
    </row>
    <row r="17" spans="2:15" ht="62.25" customHeight="1" x14ac:dyDescent="0.3">
      <c r="B17" s="86">
        <v>14</v>
      </c>
      <c r="C17" s="63" t="s">
        <v>920</v>
      </c>
      <c r="D17" s="87" t="s">
        <v>921</v>
      </c>
      <c r="E17" s="64">
        <v>45657</v>
      </c>
      <c r="F17" s="88">
        <v>2006500</v>
      </c>
      <c r="G17" s="67" t="s">
        <v>922</v>
      </c>
      <c r="H17" s="89" t="s">
        <v>805</v>
      </c>
      <c r="I17" s="66" t="s">
        <v>923</v>
      </c>
      <c r="J17" s="90"/>
      <c r="K17" s="90"/>
      <c r="L17" s="90"/>
      <c r="M17" s="91"/>
      <c r="N17" s="91"/>
      <c r="O17" s="91"/>
    </row>
    <row r="18" spans="2:15" ht="58.5" customHeight="1" x14ac:dyDescent="0.3">
      <c r="B18" s="86">
        <v>15</v>
      </c>
      <c r="C18" s="63" t="s">
        <v>924</v>
      </c>
      <c r="D18" s="87" t="s">
        <v>925</v>
      </c>
      <c r="E18" s="64">
        <v>45657</v>
      </c>
      <c r="F18" s="88">
        <v>1817500</v>
      </c>
      <c r="G18" s="67" t="s">
        <v>922</v>
      </c>
      <c r="H18" s="89" t="s">
        <v>805</v>
      </c>
      <c r="I18" s="66" t="s">
        <v>926</v>
      </c>
      <c r="J18" s="90"/>
      <c r="K18" s="90"/>
      <c r="L18" s="90"/>
      <c r="M18" s="91"/>
      <c r="N18" s="91"/>
      <c r="O18" s="91"/>
    </row>
    <row r="19" spans="2:15" ht="44.25" customHeight="1" x14ac:dyDescent="0.3">
      <c r="B19" s="86">
        <v>16</v>
      </c>
      <c r="C19" s="63" t="s">
        <v>927</v>
      </c>
      <c r="D19" s="87" t="s">
        <v>928</v>
      </c>
      <c r="E19" s="64">
        <v>45657</v>
      </c>
      <c r="F19" s="88">
        <v>1483900</v>
      </c>
      <c r="G19" s="67" t="s">
        <v>929</v>
      </c>
      <c r="H19" s="89" t="s">
        <v>805</v>
      </c>
      <c r="I19" s="66" t="s">
        <v>820</v>
      </c>
      <c r="J19" s="90"/>
      <c r="K19" s="90"/>
      <c r="L19" s="90"/>
      <c r="M19" s="91"/>
      <c r="N19" s="91"/>
      <c r="O19" s="91"/>
    </row>
    <row r="20" spans="2:15" ht="73.5" customHeight="1" x14ac:dyDescent="0.3">
      <c r="B20" s="86">
        <v>17</v>
      </c>
      <c r="C20" s="63" t="s">
        <v>930</v>
      </c>
      <c r="D20" s="87" t="s">
        <v>931</v>
      </c>
      <c r="E20" s="64">
        <v>45657</v>
      </c>
      <c r="F20" s="88">
        <v>1373200</v>
      </c>
      <c r="G20" s="67" t="s">
        <v>929</v>
      </c>
      <c r="H20" s="89" t="s">
        <v>805</v>
      </c>
      <c r="I20" s="66" t="s">
        <v>867</v>
      </c>
      <c r="J20" s="90"/>
      <c r="K20" s="90"/>
      <c r="L20" s="90"/>
      <c r="M20" s="91"/>
      <c r="N20" s="91"/>
      <c r="O20" s="91"/>
    </row>
    <row r="21" spans="2:15" ht="78.75" customHeight="1" x14ac:dyDescent="0.3">
      <c r="B21" s="86">
        <v>18</v>
      </c>
      <c r="C21" s="63" t="s">
        <v>932</v>
      </c>
      <c r="D21" s="87" t="s">
        <v>933</v>
      </c>
      <c r="E21" s="64">
        <v>45657</v>
      </c>
      <c r="F21" s="88">
        <v>3699400</v>
      </c>
      <c r="G21" s="67" t="s">
        <v>929</v>
      </c>
      <c r="H21" s="89" t="s">
        <v>805</v>
      </c>
      <c r="I21" s="66" t="s">
        <v>824</v>
      </c>
      <c r="J21" s="90"/>
      <c r="K21" s="90"/>
      <c r="L21" s="90"/>
      <c r="M21" s="91"/>
      <c r="N21" s="91"/>
      <c r="O21" s="91"/>
    </row>
    <row r="22" spans="2:15" ht="48.75" customHeight="1" x14ac:dyDescent="0.3">
      <c r="B22" s="86">
        <v>19</v>
      </c>
      <c r="C22" s="63" t="s">
        <v>934</v>
      </c>
      <c r="D22" s="87" t="s">
        <v>935</v>
      </c>
      <c r="E22" s="64">
        <v>45657</v>
      </c>
      <c r="F22" s="88">
        <v>1208800</v>
      </c>
      <c r="G22" s="67" t="s">
        <v>936</v>
      </c>
      <c r="H22" s="89" t="s">
        <v>805</v>
      </c>
      <c r="I22" s="66" t="s">
        <v>824</v>
      </c>
      <c r="J22" s="90"/>
      <c r="K22" s="90"/>
      <c r="L22" s="90"/>
      <c r="M22" s="91"/>
      <c r="N22" s="91"/>
      <c r="O22" s="91"/>
    </row>
    <row r="23" spans="2:15" ht="56.25" customHeight="1" x14ac:dyDescent="0.3">
      <c r="B23" s="86">
        <v>20</v>
      </c>
      <c r="C23" s="63" t="s">
        <v>937</v>
      </c>
      <c r="D23" s="87" t="s">
        <v>938</v>
      </c>
      <c r="E23" s="64">
        <v>45657</v>
      </c>
      <c r="F23" s="88">
        <v>3188800</v>
      </c>
      <c r="G23" s="67" t="s">
        <v>936</v>
      </c>
      <c r="H23" s="89" t="s">
        <v>805</v>
      </c>
      <c r="I23" s="66" t="s">
        <v>867</v>
      </c>
      <c r="J23" s="90"/>
      <c r="K23" s="90"/>
      <c r="L23" s="90"/>
      <c r="M23" s="91" t="s">
        <v>25</v>
      </c>
      <c r="N23" s="91"/>
      <c r="O23" s="91"/>
    </row>
    <row r="24" spans="2:15" ht="52.5" customHeight="1" x14ac:dyDescent="0.3">
      <c r="B24" s="86">
        <v>21</v>
      </c>
      <c r="C24" s="63" t="s">
        <v>939</v>
      </c>
      <c r="D24" s="87" t="s">
        <v>940</v>
      </c>
      <c r="E24" s="64">
        <v>45657</v>
      </c>
      <c r="F24" s="88">
        <v>702200</v>
      </c>
      <c r="G24" s="67" t="s">
        <v>936</v>
      </c>
      <c r="H24" s="89" t="s">
        <v>805</v>
      </c>
      <c r="I24" s="66" t="s">
        <v>811</v>
      </c>
      <c r="J24" s="90"/>
      <c r="K24" s="90"/>
      <c r="L24" s="90"/>
      <c r="M24" s="91"/>
      <c r="N24" s="91"/>
      <c r="O24" s="91"/>
    </row>
    <row r="25" spans="2:15" ht="80.25" customHeight="1" x14ac:dyDescent="0.3">
      <c r="B25" s="86">
        <v>22</v>
      </c>
      <c r="C25" s="63" t="s">
        <v>941</v>
      </c>
      <c r="D25" s="87" t="s">
        <v>942</v>
      </c>
      <c r="E25" s="64">
        <v>45657</v>
      </c>
      <c r="F25" s="88">
        <v>1499600</v>
      </c>
      <c r="G25" s="67" t="s">
        <v>936</v>
      </c>
      <c r="H25" s="89" t="s">
        <v>805</v>
      </c>
      <c r="I25" s="66" t="s">
        <v>943</v>
      </c>
      <c r="J25" s="90"/>
      <c r="K25" s="90"/>
      <c r="L25" s="90"/>
      <c r="M25" s="91" t="s">
        <v>25</v>
      </c>
      <c r="N25" s="91"/>
      <c r="O25" s="91"/>
    </row>
    <row r="26" spans="2:15" ht="76.5" customHeight="1" x14ac:dyDescent="0.3">
      <c r="B26" s="86">
        <v>23</v>
      </c>
      <c r="C26" s="63" t="s">
        <v>944</v>
      </c>
      <c r="D26" s="87" t="s">
        <v>945</v>
      </c>
      <c r="E26" s="64">
        <v>45657</v>
      </c>
      <c r="F26" s="88">
        <v>5533500</v>
      </c>
      <c r="G26" s="67" t="s">
        <v>936</v>
      </c>
      <c r="H26" s="89" t="s">
        <v>805</v>
      </c>
      <c r="I26" s="66" t="s">
        <v>946</v>
      </c>
      <c r="J26" s="90"/>
      <c r="K26" s="90"/>
      <c r="L26" s="90"/>
      <c r="M26" s="91" t="s">
        <v>25</v>
      </c>
      <c r="N26" s="91"/>
      <c r="O26" s="91"/>
    </row>
    <row r="27" spans="2:15" ht="66.75" customHeight="1" x14ac:dyDescent="0.3">
      <c r="B27" s="86">
        <v>24</v>
      </c>
      <c r="C27" s="63" t="s">
        <v>916</v>
      </c>
      <c r="D27" s="87" t="s">
        <v>947</v>
      </c>
      <c r="E27" s="64">
        <v>45657</v>
      </c>
      <c r="F27" s="88">
        <v>642500</v>
      </c>
      <c r="G27" s="92" t="s">
        <v>936</v>
      </c>
      <c r="H27" s="89" t="s">
        <v>805</v>
      </c>
      <c r="I27" s="89" t="s">
        <v>948</v>
      </c>
      <c r="J27" s="90"/>
      <c r="K27" s="90"/>
      <c r="L27" s="90"/>
      <c r="M27" s="91" t="s">
        <v>25</v>
      </c>
      <c r="N27" s="91" t="s">
        <v>422</v>
      </c>
      <c r="O27" s="91"/>
    </row>
    <row r="28" spans="2:15" ht="48.75" customHeight="1" x14ac:dyDescent="0.3">
      <c r="B28" s="86">
        <v>25</v>
      </c>
      <c r="C28" s="63" t="s">
        <v>949</v>
      </c>
      <c r="D28" s="87" t="s">
        <v>950</v>
      </c>
      <c r="E28" s="64">
        <v>45657</v>
      </c>
      <c r="F28" s="88">
        <v>1366300</v>
      </c>
      <c r="G28" s="67" t="s">
        <v>951</v>
      </c>
      <c r="H28" s="89" t="s">
        <v>805</v>
      </c>
      <c r="I28" s="66" t="s">
        <v>824</v>
      </c>
      <c r="J28" s="90"/>
      <c r="K28" s="90"/>
      <c r="L28" s="90"/>
      <c r="M28" s="91"/>
      <c r="N28" s="91"/>
      <c r="O28" s="91"/>
    </row>
    <row r="29" spans="2:15" ht="77.25" customHeight="1" x14ac:dyDescent="0.3">
      <c r="B29" s="86">
        <v>26</v>
      </c>
      <c r="C29" s="63" t="s">
        <v>952</v>
      </c>
      <c r="D29" s="87" t="s">
        <v>953</v>
      </c>
      <c r="E29" s="64">
        <v>45657</v>
      </c>
      <c r="F29" s="88">
        <v>6714700</v>
      </c>
      <c r="G29" s="67" t="s">
        <v>951</v>
      </c>
      <c r="H29" s="89" t="s">
        <v>805</v>
      </c>
      <c r="I29" s="66" t="s">
        <v>954</v>
      </c>
      <c r="J29" s="90"/>
      <c r="K29" s="90"/>
      <c r="L29" s="90"/>
      <c r="M29" s="91"/>
      <c r="N29" s="91"/>
      <c r="O29" s="91"/>
    </row>
    <row r="30" spans="2:15" ht="77.25" customHeight="1" x14ac:dyDescent="0.3">
      <c r="B30" s="86">
        <v>27</v>
      </c>
      <c r="C30" s="63" t="s">
        <v>955</v>
      </c>
      <c r="D30" s="87" t="s">
        <v>956</v>
      </c>
      <c r="E30" s="64">
        <v>45657</v>
      </c>
      <c r="F30" s="88">
        <v>31626600</v>
      </c>
      <c r="G30" s="67" t="s">
        <v>951</v>
      </c>
      <c r="H30" s="89" t="s">
        <v>805</v>
      </c>
      <c r="I30" s="66" t="s">
        <v>811</v>
      </c>
      <c r="J30" s="90"/>
      <c r="K30" s="90"/>
      <c r="L30" s="90"/>
      <c r="M30" s="91"/>
      <c r="N30" s="91"/>
      <c r="O30" s="91"/>
    </row>
    <row r="31" spans="2:15" ht="48" customHeight="1" x14ac:dyDescent="0.3">
      <c r="B31" s="86">
        <v>28</v>
      </c>
      <c r="C31" s="63" t="s">
        <v>957</v>
      </c>
      <c r="D31" s="87" t="s">
        <v>958</v>
      </c>
      <c r="E31" s="64">
        <v>45657</v>
      </c>
      <c r="F31" s="88">
        <v>2797100</v>
      </c>
      <c r="G31" s="67" t="s">
        <v>951</v>
      </c>
      <c r="H31" s="89" t="s">
        <v>805</v>
      </c>
      <c r="I31" s="66" t="s">
        <v>811</v>
      </c>
      <c r="J31" s="90"/>
      <c r="K31" s="90"/>
      <c r="L31" s="90"/>
      <c r="M31" s="91" t="s">
        <v>25</v>
      </c>
      <c r="N31" s="91" t="s">
        <v>959</v>
      </c>
      <c r="O31" s="91"/>
    </row>
    <row r="32" spans="2:15" ht="61.5" customHeight="1" x14ac:dyDescent="0.3">
      <c r="B32" s="86">
        <v>29</v>
      </c>
      <c r="C32" s="63" t="s">
        <v>960</v>
      </c>
      <c r="D32" s="87" t="s">
        <v>961</v>
      </c>
      <c r="E32" s="64">
        <v>45657</v>
      </c>
      <c r="F32" s="88">
        <v>29949300</v>
      </c>
      <c r="G32" s="67" t="s">
        <v>951</v>
      </c>
      <c r="H32" s="89" t="s">
        <v>805</v>
      </c>
      <c r="I32" s="66" t="s">
        <v>811</v>
      </c>
      <c r="J32" s="90"/>
      <c r="K32" s="90"/>
      <c r="L32" s="90"/>
      <c r="M32" s="91"/>
      <c r="N32" s="91"/>
      <c r="O32" s="91"/>
    </row>
    <row r="33" spans="2:15" ht="77.25" customHeight="1" x14ac:dyDescent="0.3">
      <c r="B33" s="86">
        <v>30</v>
      </c>
      <c r="C33" s="63" t="s">
        <v>962</v>
      </c>
      <c r="D33" s="87" t="s">
        <v>963</v>
      </c>
      <c r="E33" s="64">
        <v>45657</v>
      </c>
      <c r="F33" s="88">
        <v>100816600</v>
      </c>
      <c r="G33" s="67" t="s">
        <v>951</v>
      </c>
      <c r="H33" s="89" t="s">
        <v>805</v>
      </c>
      <c r="I33" s="66" t="s">
        <v>811</v>
      </c>
      <c r="J33" s="90"/>
      <c r="K33" s="90"/>
      <c r="L33" s="90"/>
      <c r="M33" s="91"/>
      <c r="N33" s="91"/>
      <c r="O33" s="91"/>
    </row>
    <row r="34" spans="2:15" ht="53.25" customHeight="1" x14ac:dyDescent="0.3">
      <c r="B34" s="86">
        <v>31</v>
      </c>
      <c r="C34" s="63" t="s">
        <v>964</v>
      </c>
      <c r="D34" s="87" t="s">
        <v>965</v>
      </c>
      <c r="E34" s="64">
        <v>45657</v>
      </c>
      <c r="F34" s="88">
        <v>1111800</v>
      </c>
      <c r="G34" s="67" t="s">
        <v>951</v>
      </c>
      <c r="H34" s="89" t="s">
        <v>805</v>
      </c>
      <c r="I34" s="66" t="s">
        <v>820</v>
      </c>
      <c r="J34" s="90"/>
      <c r="K34" s="90"/>
      <c r="L34" s="90"/>
      <c r="M34" s="91"/>
      <c r="N34" s="91"/>
      <c r="O34" s="91"/>
    </row>
    <row r="35" spans="2:15" ht="63" customHeight="1" x14ac:dyDescent="0.3">
      <c r="B35" s="86">
        <v>32</v>
      </c>
      <c r="C35" s="63" t="s">
        <v>966</v>
      </c>
      <c r="D35" s="87" t="s">
        <v>967</v>
      </c>
      <c r="E35" s="64">
        <v>45657</v>
      </c>
      <c r="F35" s="88">
        <v>1925500</v>
      </c>
      <c r="G35" s="67" t="s">
        <v>951</v>
      </c>
      <c r="H35" s="89" t="s">
        <v>805</v>
      </c>
      <c r="I35" s="66" t="s">
        <v>824</v>
      </c>
      <c r="J35" s="90"/>
      <c r="K35" s="90"/>
      <c r="L35" s="90"/>
      <c r="M35" s="91"/>
      <c r="N35" s="91"/>
      <c r="O35" s="91"/>
    </row>
    <row r="36" spans="2:15" ht="48.75" customHeight="1" x14ac:dyDescent="0.3">
      <c r="B36" s="86">
        <v>33</v>
      </c>
      <c r="C36" s="63" t="s">
        <v>968</v>
      </c>
      <c r="D36" s="87" t="s">
        <v>969</v>
      </c>
      <c r="E36" s="64">
        <v>45657</v>
      </c>
      <c r="F36" s="88">
        <v>1249050</v>
      </c>
      <c r="G36" s="67" t="s">
        <v>951</v>
      </c>
      <c r="H36" s="89" t="s">
        <v>805</v>
      </c>
      <c r="I36" s="66" t="s">
        <v>824</v>
      </c>
      <c r="J36" s="90"/>
      <c r="K36" s="90"/>
      <c r="L36" s="90"/>
      <c r="M36" s="91"/>
      <c r="N36" s="91"/>
      <c r="O36" s="91"/>
    </row>
    <row r="37" spans="2:15" ht="79.5" customHeight="1" x14ac:dyDescent="0.3">
      <c r="B37" s="86">
        <v>34</v>
      </c>
      <c r="C37" s="63" t="s">
        <v>968</v>
      </c>
      <c r="D37" s="87" t="s">
        <v>969</v>
      </c>
      <c r="E37" s="64">
        <v>45657</v>
      </c>
      <c r="F37" s="88">
        <v>1249050</v>
      </c>
      <c r="G37" s="67" t="s">
        <v>951</v>
      </c>
      <c r="H37" s="89" t="s">
        <v>805</v>
      </c>
      <c r="I37" s="66" t="s">
        <v>824</v>
      </c>
      <c r="J37" s="90"/>
      <c r="K37" s="90"/>
      <c r="L37" s="90"/>
      <c r="M37" s="91"/>
      <c r="N37" s="91"/>
      <c r="O37" s="91"/>
    </row>
    <row r="38" spans="2:15" ht="48" customHeight="1" x14ac:dyDescent="0.3">
      <c r="B38" s="86">
        <v>35</v>
      </c>
      <c r="C38" s="63" t="s">
        <v>970</v>
      </c>
      <c r="D38" s="87" t="s">
        <v>971</v>
      </c>
      <c r="E38" s="64">
        <v>45657</v>
      </c>
      <c r="F38" s="88">
        <v>1463000</v>
      </c>
      <c r="G38" s="67" t="s">
        <v>951</v>
      </c>
      <c r="H38" s="89" t="s">
        <v>805</v>
      </c>
      <c r="I38" s="66" t="s">
        <v>972</v>
      </c>
      <c r="J38" s="90"/>
      <c r="K38" s="90"/>
      <c r="L38" s="90"/>
      <c r="M38" s="91"/>
      <c r="N38" s="91"/>
      <c r="O38" s="91"/>
    </row>
    <row r="39" spans="2:15" ht="61.5" customHeight="1" x14ac:dyDescent="0.3">
      <c r="B39" s="86">
        <v>36</v>
      </c>
      <c r="C39" s="63" t="s">
        <v>973</v>
      </c>
      <c r="D39" s="87" t="s">
        <v>974</v>
      </c>
      <c r="E39" s="64">
        <v>45657</v>
      </c>
      <c r="F39" s="88">
        <v>747500</v>
      </c>
      <c r="G39" s="67" t="s">
        <v>951</v>
      </c>
      <c r="H39" s="89" t="s">
        <v>805</v>
      </c>
      <c r="I39" s="66" t="s">
        <v>820</v>
      </c>
      <c r="J39" s="90"/>
      <c r="K39" s="90"/>
      <c r="L39" s="90"/>
      <c r="M39" s="91"/>
      <c r="N39" s="91"/>
      <c r="O39" s="91"/>
    </row>
    <row r="40" spans="2:15" ht="34.5" customHeight="1" x14ac:dyDescent="0.3">
      <c r="B40" s="86">
        <v>37</v>
      </c>
      <c r="C40" s="63" t="s">
        <v>975</v>
      </c>
      <c r="D40" s="87" t="s">
        <v>976</v>
      </c>
      <c r="E40" s="64">
        <v>45657</v>
      </c>
      <c r="F40" s="88">
        <v>1505300</v>
      </c>
      <c r="G40" s="67" t="s">
        <v>951</v>
      </c>
      <c r="H40" s="89" t="s">
        <v>805</v>
      </c>
      <c r="I40" s="66" t="s">
        <v>977</v>
      </c>
      <c r="J40" s="90"/>
      <c r="K40" s="90"/>
      <c r="L40" s="90"/>
      <c r="M40" s="91"/>
      <c r="N40" s="91"/>
      <c r="O40" s="91"/>
    </row>
    <row r="41" spans="2:15" ht="66" customHeight="1" x14ac:dyDescent="0.3">
      <c r="B41" s="86">
        <v>38</v>
      </c>
      <c r="C41" s="63" t="s">
        <v>978</v>
      </c>
      <c r="D41" s="87" t="s">
        <v>979</v>
      </c>
      <c r="E41" s="64">
        <v>45657</v>
      </c>
      <c r="F41" s="88">
        <v>3573100</v>
      </c>
      <c r="G41" s="67" t="s">
        <v>951</v>
      </c>
      <c r="H41" s="89" t="s">
        <v>805</v>
      </c>
      <c r="I41" s="66" t="s">
        <v>980</v>
      </c>
      <c r="J41" s="90"/>
      <c r="K41" s="90"/>
      <c r="L41" s="90"/>
      <c r="M41" s="91"/>
      <c r="N41" s="91"/>
      <c r="O41" s="91"/>
    </row>
    <row r="42" spans="2:15" ht="44.25" customHeight="1" x14ac:dyDescent="0.3">
      <c r="B42" s="86">
        <v>39</v>
      </c>
      <c r="C42" s="63" t="s">
        <v>981</v>
      </c>
      <c r="D42" s="87" t="s">
        <v>982</v>
      </c>
      <c r="E42" s="64">
        <v>45657</v>
      </c>
      <c r="F42" s="88">
        <v>1687200</v>
      </c>
      <c r="G42" s="67" t="s">
        <v>951</v>
      </c>
      <c r="H42" s="89" t="s">
        <v>805</v>
      </c>
      <c r="I42" s="66" t="s">
        <v>983</v>
      </c>
      <c r="J42" s="90"/>
      <c r="K42" s="90"/>
      <c r="L42" s="90"/>
      <c r="M42" s="91"/>
      <c r="N42" s="91"/>
      <c r="O42" s="91"/>
    </row>
    <row r="43" spans="2:15" ht="78" customHeight="1" x14ac:dyDescent="0.3">
      <c r="B43" s="86">
        <v>40</v>
      </c>
      <c r="C43" s="63" t="s">
        <v>984</v>
      </c>
      <c r="D43" s="87" t="s">
        <v>985</v>
      </c>
      <c r="E43" s="64">
        <v>45657</v>
      </c>
      <c r="F43" s="88">
        <v>6135900</v>
      </c>
      <c r="G43" s="67" t="s">
        <v>951</v>
      </c>
      <c r="H43" s="89" t="s">
        <v>805</v>
      </c>
      <c r="I43" s="66" t="s">
        <v>986</v>
      </c>
      <c r="J43" s="90"/>
      <c r="K43" s="90"/>
      <c r="L43" s="90"/>
      <c r="M43" s="91"/>
      <c r="N43" s="91"/>
      <c r="O43" s="91"/>
    </row>
    <row r="44" spans="2:15" ht="56.25" customHeight="1" x14ac:dyDescent="0.3">
      <c r="B44" s="86">
        <v>41</v>
      </c>
      <c r="C44" s="63" t="s">
        <v>987</v>
      </c>
      <c r="D44" s="87" t="s">
        <v>988</v>
      </c>
      <c r="E44" s="64">
        <v>45657</v>
      </c>
      <c r="F44" s="88">
        <v>1289850</v>
      </c>
      <c r="G44" s="67" t="s">
        <v>951</v>
      </c>
      <c r="H44" s="89" t="s">
        <v>805</v>
      </c>
      <c r="I44" s="66" t="s">
        <v>989</v>
      </c>
      <c r="J44" s="90"/>
      <c r="K44" s="90"/>
      <c r="L44" s="90"/>
      <c r="M44" s="91"/>
      <c r="N44" s="91"/>
      <c r="O44" s="91"/>
    </row>
    <row r="45" spans="2:15" ht="47.25" customHeight="1" x14ac:dyDescent="0.3">
      <c r="B45" s="86">
        <v>42</v>
      </c>
      <c r="C45" s="63" t="s">
        <v>987</v>
      </c>
      <c r="D45" s="87" t="s">
        <v>988</v>
      </c>
      <c r="E45" s="64">
        <v>45657</v>
      </c>
      <c r="F45" s="88">
        <v>1289850</v>
      </c>
      <c r="G45" s="67" t="s">
        <v>951</v>
      </c>
      <c r="H45" s="89" t="s">
        <v>805</v>
      </c>
      <c r="I45" s="66" t="s">
        <v>989</v>
      </c>
      <c r="J45" s="90"/>
      <c r="K45" s="90"/>
      <c r="L45" s="90"/>
      <c r="M45" s="91"/>
      <c r="N45" s="91"/>
      <c r="O45" s="91"/>
    </row>
    <row r="46" spans="2:15" ht="75.75" customHeight="1" x14ac:dyDescent="0.3">
      <c r="B46" s="86">
        <v>43</v>
      </c>
      <c r="C46" s="63" t="s">
        <v>987</v>
      </c>
      <c r="D46" s="87" t="s">
        <v>988</v>
      </c>
      <c r="E46" s="64">
        <v>45657</v>
      </c>
      <c r="F46" s="88">
        <v>1289850</v>
      </c>
      <c r="G46" s="67" t="s">
        <v>951</v>
      </c>
      <c r="H46" s="89" t="s">
        <v>805</v>
      </c>
      <c r="I46" s="66" t="s">
        <v>989</v>
      </c>
      <c r="J46" s="90"/>
      <c r="K46" s="90"/>
      <c r="L46" s="90"/>
      <c r="M46" s="91"/>
      <c r="N46" s="91"/>
      <c r="O46" s="91"/>
    </row>
    <row r="47" spans="2:15" ht="56.25" customHeight="1" x14ac:dyDescent="0.3">
      <c r="B47" s="86">
        <v>44</v>
      </c>
      <c r="C47" s="63" t="s">
        <v>987</v>
      </c>
      <c r="D47" s="87" t="s">
        <v>988</v>
      </c>
      <c r="E47" s="64">
        <v>45657</v>
      </c>
      <c r="F47" s="88">
        <v>1289850</v>
      </c>
      <c r="G47" s="67" t="s">
        <v>951</v>
      </c>
      <c r="H47" s="89" t="s">
        <v>805</v>
      </c>
      <c r="I47" s="66" t="s">
        <v>989</v>
      </c>
      <c r="J47" s="90"/>
      <c r="K47" s="90"/>
      <c r="L47" s="90"/>
      <c r="M47" s="91"/>
      <c r="N47" s="91"/>
      <c r="O47" s="91"/>
    </row>
    <row r="48" spans="2:15" ht="71.25" customHeight="1" x14ac:dyDescent="0.3">
      <c r="B48" s="86">
        <v>45</v>
      </c>
      <c r="C48" s="63" t="s">
        <v>990</v>
      </c>
      <c r="D48" s="87" t="s">
        <v>991</v>
      </c>
      <c r="E48" s="64">
        <v>45657</v>
      </c>
      <c r="F48" s="88">
        <v>3176300</v>
      </c>
      <c r="G48" s="67" t="s">
        <v>951</v>
      </c>
      <c r="H48" s="89" t="s">
        <v>805</v>
      </c>
      <c r="I48" s="66" t="s">
        <v>992</v>
      </c>
      <c r="J48" s="90"/>
      <c r="K48" s="90"/>
      <c r="L48" s="90"/>
      <c r="M48" s="91"/>
      <c r="N48" s="91"/>
      <c r="O48" s="91"/>
    </row>
    <row r="49" spans="2:15" ht="73.5" customHeight="1" x14ac:dyDescent="0.3">
      <c r="B49" s="86">
        <v>46</v>
      </c>
      <c r="C49" s="63" t="s">
        <v>993</v>
      </c>
      <c r="D49" s="87" t="s">
        <v>994</v>
      </c>
      <c r="E49" s="64">
        <v>45657</v>
      </c>
      <c r="F49" s="88">
        <v>16775600</v>
      </c>
      <c r="G49" s="67" t="s">
        <v>951</v>
      </c>
      <c r="H49" s="89" t="s">
        <v>805</v>
      </c>
      <c r="I49" s="66" t="s">
        <v>995</v>
      </c>
      <c r="J49" s="90"/>
      <c r="K49" s="90"/>
      <c r="L49" s="90"/>
      <c r="M49" s="91"/>
      <c r="N49" s="91"/>
      <c r="O49" s="91"/>
    </row>
    <row r="50" spans="2:15" ht="60" customHeight="1" x14ac:dyDescent="0.3">
      <c r="B50" s="86">
        <v>47</v>
      </c>
      <c r="C50" s="63" t="s">
        <v>996</v>
      </c>
      <c r="D50" s="87" t="s">
        <v>997</v>
      </c>
      <c r="E50" s="64">
        <v>45657</v>
      </c>
      <c r="F50" s="88">
        <v>9946000</v>
      </c>
      <c r="G50" s="67" t="s">
        <v>951</v>
      </c>
      <c r="H50" s="89" t="s">
        <v>805</v>
      </c>
      <c r="I50" s="66" t="s">
        <v>995</v>
      </c>
      <c r="J50" s="90"/>
      <c r="K50" s="90"/>
      <c r="L50" s="90"/>
      <c r="M50" s="91"/>
      <c r="N50" s="91"/>
      <c r="O50" s="91"/>
    </row>
    <row r="51" spans="2:15" ht="51" customHeight="1" x14ac:dyDescent="0.3">
      <c r="B51" s="86">
        <v>48</v>
      </c>
      <c r="C51" s="63" t="s">
        <v>998</v>
      </c>
      <c r="D51" s="87" t="s">
        <v>999</v>
      </c>
      <c r="E51" s="64">
        <v>45657</v>
      </c>
      <c r="F51" s="88">
        <v>2664100</v>
      </c>
      <c r="G51" s="67" t="s">
        <v>951</v>
      </c>
      <c r="H51" s="89" t="s">
        <v>805</v>
      </c>
      <c r="I51" s="66" t="s">
        <v>1000</v>
      </c>
      <c r="J51" s="90"/>
      <c r="K51" s="90"/>
      <c r="L51" s="90"/>
      <c r="M51" s="91"/>
      <c r="N51" s="91"/>
      <c r="O51" s="91"/>
    </row>
    <row r="52" spans="2:15" ht="25.5" x14ac:dyDescent="0.3">
      <c r="B52" s="86">
        <v>49</v>
      </c>
      <c r="C52" s="63" t="s">
        <v>1001</v>
      </c>
      <c r="D52" s="87" t="s">
        <v>1002</v>
      </c>
      <c r="E52" s="64">
        <v>45657</v>
      </c>
      <c r="F52" s="88">
        <v>7364200</v>
      </c>
      <c r="G52" s="67" t="s">
        <v>951</v>
      </c>
      <c r="H52" s="89" t="s">
        <v>805</v>
      </c>
      <c r="I52" s="66" t="s">
        <v>995</v>
      </c>
      <c r="J52" s="90"/>
      <c r="K52" s="90"/>
      <c r="L52" s="90"/>
      <c r="M52" s="91"/>
      <c r="N52" s="91"/>
      <c r="O52" s="91"/>
    </row>
    <row r="53" spans="2:15" ht="92.25" customHeight="1" x14ac:dyDescent="0.3">
      <c r="B53" s="86">
        <v>50</v>
      </c>
      <c r="C53" s="63" t="s">
        <v>1003</v>
      </c>
      <c r="D53" s="87" t="s">
        <v>1004</v>
      </c>
      <c r="E53" s="64">
        <v>45657</v>
      </c>
      <c r="F53" s="88">
        <v>12938500</v>
      </c>
      <c r="G53" s="67" t="s">
        <v>951</v>
      </c>
      <c r="H53" s="89" t="s">
        <v>805</v>
      </c>
      <c r="I53" s="66" t="s">
        <v>1005</v>
      </c>
      <c r="J53" s="90"/>
      <c r="K53" s="90"/>
      <c r="L53" s="90"/>
      <c r="M53" s="91"/>
      <c r="N53" s="91"/>
      <c r="O53" s="91"/>
    </row>
    <row r="54" spans="2:15" ht="62.25" customHeight="1" x14ac:dyDescent="0.3">
      <c r="B54" s="86">
        <v>51</v>
      </c>
      <c r="C54" s="63" t="s">
        <v>1006</v>
      </c>
      <c r="D54" s="87" t="s">
        <v>1007</v>
      </c>
      <c r="E54" s="64">
        <v>45657</v>
      </c>
      <c r="F54" s="88">
        <v>10104000</v>
      </c>
      <c r="G54" s="67" t="s">
        <v>951</v>
      </c>
      <c r="H54" s="89" t="s">
        <v>805</v>
      </c>
      <c r="I54" s="66" t="s">
        <v>1008</v>
      </c>
      <c r="J54" s="90"/>
      <c r="K54" s="90"/>
      <c r="L54" s="90"/>
      <c r="M54" s="91"/>
      <c r="N54" s="91"/>
      <c r="O54" s="91"/>
    </row>
    <row r="55" spans="2:15" ht="25.5" x14ac:dyDescent="0.3">
      <c r="B55" s="86">
        <v>52</v>
      </c>
      <c r="C55" s="63" t="s">
        <v>1009</v>
      </c>
      <c r="D55" s="87" t="s">
        <v>1010</v>
      </c>
      <c r="E55" s="64">
        <v>45657</v>
      </c>
      <c r="F55" s="88">
        <v>3641900</v>
      </c>
      <c r="G55" s="67" t="s">
        <v>951</v>
      </c>
      <c r="H55" s="89" t="s">
        <v>805</v>
      </c>
      <c r="I55" s="66" t="s">
        <v>1011</v>
      </c>
      <c r="J55" s="90"/>
      <c r="K55" s="90"/>
      <c r="L55" s="90"/>
      <c r="M55" s="91"/>
      <c r="N55" s="91"/>
      <c r="O55" s="91"/>
    </row>
    <row r="56" spans="2:15" ht="63.75" customHeight="1" x14ac:dyDescent="0.3">
      <c r="B56" s="86">
        <v>53</v>
      </c>
      <c r="C56" s="63" t="s">
        <v>1009</v>
      </c>
      <c r="D56" s="87" t="s">
        <v>1012</v>
      </c>
      <c r="E56" s="64">
        <v>45657</v>
      </c>
      <c r="F56" s="88">
        <v>10925900</v>
      </c>
      <c r="G56" s="67" t="s">
        <v>951</v>
      </c>
      <c r="H56" s="89" t="s">
        <v>805</v>
      </c>
      <c r="I56" s="66" t="s">
        <v>1011</v>
      </c>
      <c r="J56" s="90"/>
      <c r="K56" s="90"/>
      <c r="L56" s="90"/>
      <c r="M56" s="91"/>
      <c r="N56" s="91"/>
      <c r="O56" s="91"/>
    </row>
    <row r="57" spans="2:15" ht="55.5" customHeight="1" x14ac:dyDescent="0.3">
      <c r="B57" s="86">
        <v>54</v>
      </c>
      <c r="C57" s="63" t="s">
        <v>1013</v>
      </c>
      <c r="D57" s="87" t="s">
        <v>1014</v>
      </c>
      <c r="E57" s="64">
        <v>45657</v>
      </c>
      <c r="F57" s="88">
        <v>1902100</v>
      </c>
      <c r="G57" s="67" t="s">
        <v>951</v>
      </c>
      <c r="H57" s="89" t="s">
        <v>805</v>
      </c>
      <c r="I57" s="66" t="s">
        <v>1015</v>
      </c>
      <c r="J57" s="90"/>
      <c r="K57" s="90"/>
      <c r="L57" s="90"/>
      <c r="M57" s="91"/>
      <c r="N57" s="91"/>
      <c r="O57" s="91"/>
    </row>
    <row r="58" spans="2:15" ht="75" customHeight="1" x14ac:dyDescent="0.3">
      <c r="B58" s="86">
        <v>55</v>
      </c>
      <c r="C58" s="63" t="s">
        <v>1016</v>
      </c>
      <c r="D58" s="87" t="s">
        <v>1017</v>
      </c>
      <c r="E58" s="64">
        <v>45657</v>
      </c>
      <c r="F58" s="88">
        <v>9973100</v>
      </c>
      <c r="G58" s="67" t="s">
        <v>951</v>
      </c>
      <c r="H58" s="89" t="s">
        <v>805</v>
      </c>
      <c r="I58" s="66" t="s">
        <v>1018</v>
      </c>
      <c r="J58" s="90"/>
      <c r="K58" s="90"/>
      <c r="L58" s="90"/>
      <c r="M58" s="91"/>
      <c r="N58" s="91"/>
      <c r="O58" s="91"/>
    </row>
    <row r="59" spans="2:15" ht="25.5" x14ac:dyDescent="0.3">
      <c r="B59" s="86">
        <v>56</v>
      </c>
      <c r="C59" s="63" t="s">
        <v>1019</v>
      </c>
      <c r="D59" s="87" t="s">
        <v>1020</v>
      </c>
      <c r="E59" s="64">
        <v>45657</v>
      </c>
      <c r="F59" s="88">
        <v>21326600</v>
      </c>
      <c r="G59" s="67" t="s">
        <v>951</v>
      </c>
      <c r="H59" s="89" t="s">
        <v>805</v>
      </c>
      <c r="I59" s="66" t="s">
        <v>1018</v>
      </c>
      <c r="J59" s="90"/>
      <c r="K59" s="90"/>
      <c r="L59" s="90"/>
      <c r="M59" s="91"/>
      <c r="N59" s="91"/>
      <c r="O59" s="91"/>
    </row>
    <row r="60" spans="2:15" ht="78" customHeight="1" x14ac:dyDescent="0.3">
      <c r="B60" s="86">
        <v>57</v>
      </c>
      <c r="C60" s="63" t="s">
        <v>1021</v>
      </c>
      <c r="D60" s="87" t="s">
        <v>1022</v>
      </c>
      <c r="E60" s="64">
        <v>45657</v>
      </c>
      <c r="F60" s="88">
        <v>6052400</v>
      </c>
      <c r="G60" s="67" t="s">
        <v>951</v>
      </c>
      <c r="H60" s="89" t="s">
        <v>805</v>
      </c>
      <c r="I60" s="66" t="s">
        <v>1023</v>
      </c>
      <c r="J60" s="90"/>
      <c r="K60" s="90"/>
      <c r="L60" s="90"/>
      <c r="M60" s="91"/>
      <c r="N60" s="91"/>
      <c r="O60" s="91"/>
    </row>
    <row r="61" spans="2:15" ht="78" customHeight="1" x14ac:dyDescent="0.3">
      <c r="B61" s="86">
        <v>58</v>
      </c>
      <c r="C61" s="63" t="s">
        <v>1024</v>
      </c>
      <c r="D61" s="87" t="s">
        <v>1025</v>
      </c>
      <c r="E61" s="64">
        <v>45657</v>
      </c>
      <c r="F61" s="88">
        <v>37127100</v>
      </c>
      <c r="G61" s="67" t="s">
        <v>951</v>
      </c>
      <c r="H61" s="89" t="s">
        <v>805</v>
      </c>
      <c r="I61" s="66" t="s">
        <v>824</v>
      </c>
      <c r="J61" s="90"/>
      <c r="K61" s="90"/>
      <c r="L61" s="90"/>
      <c r="M61" s="91"/>
      <c r="N61" s="91"/>
      <c r="O61" s="91"/>
    </row>
    <row r="62" spans="2:15" ht="56.25" customHeight="1" x14ac:dyDescent="0.3">
      <c r="B62" s="86">
        <v>59</v>
      </c>
      <c r="C62" s="63" t="s">
        <v>1026</v>
      </c>
      <c r="D62" s="87" t="s">
        <v>1027</v>
      </c>
      <c r="E62" s="64">
        <v>45657</v>
      </c>
      <c r="F62" s="88">
        <v>37698500</v>
      </c>
      <c r="G62" s="67" t="s">
        <v>951</v>
      </c>
      <c r="H62" s="89" t="s">
        <v>805</v>
      </c>
      <c r="I62" s="66" t="s">
        <v>1028</v>
      </c>
      <c r="J62" s="90"/>
      <c r="K62" s="90"/>
      <c r="L62" s="90"/>
      <c r="M62" s="91"/>
      <c r="N62" s="91"/>
      <c r="O62" s="91"/>
    </row>
    <row r="63" spans="2:15" ht="63.75" customHeight="1" x14ac:dyDescent="0.3">
      <c r="B63" s="86">
        <v>60</v>
      </c>
      <c r="C63" s="63" t="s">
        <v>1029</v>
      </c>
      <c r="D63" s="87" t="s">
        <v>1030</v>
      </c>
      <c r="E63" s="64">
        <v>45657</v>
      </c>
      <c r="F63" s="88">
        <v>20718600</v>
      </c>
      <c r="G63" s="67" t="s">
        <v>951</v>
      </c>
      <c r="H63" s="89" t="s">
        <v>805</v>
      </c>
      <c r="I63" s="66" t="s">
        <v>1031</v>
      </c>
      <c r="J63" s="90"/>
      <c r="K63" s="90"/>
      <c r="L63" s="90"/>
      <c r="M63" s="91"/>
      <c r="N63" s="91"/>
      <c r="O63" s="91"/>
    </row>
    <row r="64" spans="2:15" ht="25.5" x14ac:dyDescent="0.3">
      <c r="B64" s="86">
        <v>61</v>
      </c>
      <c r="C64" s="63" t="s">
        <v>1032</v>
      </c>
      <c r="D64" s="87" t="s">
        <v>1033</v>
      </c>
      <c r="E64" s="64">
        <v>45657</v>
      </c>
      <c r="F64" s="88">
        <v>8474600</v>
      </c>
      <c r="G64" s="67" t="s">
        <v>951</v>
      </c>
      <c r="H64" s="89" t="s">
        <v>805</v>
      </c>
      <c r="I64" s="66" t="s">
        <v>1031</v>
      </c>
      <c r="J64" s="90"/>
      <c r="K64" s="90"/>
      <c r="L64" s="90"/>
      <c r="M64" s="91"/>
      <c r="N64" s="91"/>
      <c r="O64" s="91"/>
    </row>
    <row r="65" spans="2:15" ht="65.25" customHeight="1" x14ac:dyDescent="0.3">
      <c r="B65" s="86">
        <v>62</v>
      </c>
      <c r="C65" s="63" t="s">
        <v>1034</v>
      </c>
      <c r="D65" s="87" t="s">
        <v>1035</v>
      </c>
      <c r="E65" s="64">
        <v>45657</v>
      </c>
      <c r="F65" s="88">
        <v>1292500</v>
      </c>
      <c r="G65" s="67" t="s">
        <v>951</v>
      </c>
      <c r="H65" s="89" t="s">
        <v>805</v>
      </c>
      <c r="I65" s="66" t="s">
        <v>824</v>
      </c>
      <c r="J65" s="90"/>
      <c r="K65" s="90"/>
      <c r="L65" s="90"/>
      <c r="M65" s="91"/>
      <c r="N65" s="91"/>
      <c r="O65" s="91"/>
    </row>
    <row r="66" spans="2:15" ht="53.25" customHeight="1" x14ac:dyDescent="0.3">
      <c r="B66" s="86">
        <v>63</v>
      </c>
      <c r="C66" s="63" t="s">
        <v>1036</v>
      </c>
      <c r="D66" s="87" t="s">
        <v>1037</v>
      </c>
      <c r="E66" s="64">
        <v>45657</v>
      </c>
      <c r="F66" s="88">
        <v>2386200</v>
      </c>
      <c r="G66" s="67" t="s">
        <v>951</v>
      </c>
      <c r="H66" s="89" t="s">
        <v>805</v>
      </c>
      <c r="I66" s="66" t="s">
        <v>867</v>
      </c>
      <c r="J66" s="90"/>
      <c r="K66" s="90"/>
      <c r="L66" s="90"/>
      <c r="M66" s="91"/>
      <c r="N66" s="91"/>
      <c r="O66" s="91"/>
    </row>
    <row r="67" spans="2:15" ht="75" customHeight="1" x14ac:dyDescent="0.3">
      <c r="B67" s="86">
        <v>64</v>
      </c>
      <c r="C67" s="63" t="s">
        <v>1038</v>
      </c>
      <c r="D67" s="87" t="s">
        <v>1039</v>
      </c>
      <c r="E67" s="64">
        <v>45657</v>
      </c>
      <c r="F67" s="88">
        <v>1226700</v>
      </c>
      <c r="G67" s="67" t="s">
        <v>951</v>
      </c>
      <c r="H67" s="89" t="s">
        <v>805</v>
      </c>
      <c r="I67" s="66" t="s">
        <v>867</v>
      </c>
      <c r="J67" s="90"/>
      <c r="K67" s="90"/>
      <c r="L67" s="90"/>
      <c r="M67" s="91"/>
      <c r="N67" s="91"/>
      <c r="O67" s="91"/>
    </row>
    <row r="68" spans="2:15" ht="79.5" customHeight="1" x14ac:dyDescent="0.3">
      <c r="B68" s="86">
        <v>65</v>
      </c>
      <c r="C68" s="63" t="s">
        <v>1040</v>
      </c>
      <c r="D68" s="87" t="s">
        <v>1041</v>
      </c>
      <c r="E68" s="64">
        <v>45657</v>
      </c>
      <c r="F68" s="88">
        <v>8669900</v>
      </c>
      <c r="G68" s="67" t="s">
        <v>951</v>
      </c>
      <c r="H68" s="89" t="s">
        <v>805</v>
      </c>
      <c r="I68" s="66" t="s">
        <v>1042</v>
      </c>
      <c r="J68" s="90"/>
      <c r="K68" s="90"/>
      <c r="L68" s="90"/>
      <c r="M68" s="91"/>
      <c r="N68" s="91"/>
      <c r="O68" s="91"/>
    </row>
    <row r="69" spans="2:15" ht="60.75" customHeight="1" x14ac:dyDescent="0.3">
      <c r="B69" s="86">
        <v>66</v>
      </c>
      <c r="C69" s="63" t="s">
        <v>1040</v>
      </c>
      <c r="D69" s="87" t="s">
        <v>1043</v>
      </c>
      <c r="E69" s="64">
        <v>45657</v>
      </c>
      <c r="F69" s="88">
        <v>8669900</v>
      </c>
      <c r="G69" s="67" t="s">
        <v>951</v>
      </c>
      <c r="H69" s="89" t="s">
        <v>805</v>
      </c>
      <c r="I69" s="66" t="s">
        <v>1042</v>
      </c>
      <c r="J69" s="90"/>
      <c r="K69" s="90"/>
      <c r="L69" s="90"/>
      <c r="M69" s="91"/>
      <c r="N69" s="91"/>
      <c r="O69" s="91"/>
    </row>
    <row r="70" spans="2:15" ht="116.25" customHeight="1" x14ac:dyDescent="0.3">
      <c r="B70" s="86">
        <v>67</v>
      </c>
      <c r="C70" s="63" t="s">
        <v>1044</v>
      </c>
      <c r="D70" s="87" t="s">
        <v>1045</v>
      </c>
      <c r="E70" s="64">
        <v>45657</v>
      </c>
      <c r="F70" s="88">
        <v>3861100</v>
      </c>
      <c r="G70" s="67" t="s">
        <v>951</v>
      </c>
      <c r="H70" s="89" t="s">
        <v>805</v>
      </c>
      <c r="I70" s="66" t="s">
        <v>867</v>
      </c>
      <c r="J70" s="90"/>
      <c r="K70" s="90"/>
      <c r="L70" s="90"/>
      <c r="M70" s="91"/>
      <c r="N70" s="91"/>
      <c r="O70" s="91"/>
    </row>
    <row r="71" spans="2:15" ht="25.5" x14ac:dyDescent="0.3">
      <c r="B71" s="86">
        <v>68</v>
      </c>
      <c r="C71" s="63" t="s">
        <v>1046</v>
      </c>
      <c r="D71" s="87" t="s">
        <v>1047</v>
      </c>
      <c r="E71" s="64">
        <v>45657</v>
      </c>
      <c r="F71" s="88">
        <v>10226800</v>
      </c>
      <c r="G71" s="67" t="s">
        <v>951</v>
      </c>
      <c r="H71" s="89" t="s">
        <v>805</v>
      </c>
      <c r="I71" s="66" t="s">
        <v>1048</v>
      </c>
      <c r="J71" s="90"/>
      <c r="K71" s="90"/>
      <c r="L71" s="90"/>
      <c r="M71" s="91"/>
      <c r="N71" s="91"/>
      <c r="O71" s="91"/>
    </row>
    <row r="72" spans="2:15" ht="76.5" customHeight="1" x14ac:dyDescent="0.3">
      <c r="B72" s="86">
        <v>69</v>
      </c>
      <c r="C72" s="63" t="s">
        <v>1049</v>
      </c>
      <c r="D72" s="87" t="s">
        <v>1050</v>
      </c>
      <c r="E72" s="64">
        <v>45657</v>
      </c>
      <c r="F72" s="88">
        <v>2465300</v>
      </c>
      <c r="G72" s="67" t="s">
        <v>951</v>
      </c>
      <c r="H72" s="89" t="s">
        <v>805</v>
      </c>
      <c r="I72" s="66" t="s">
        <v>977</v>
      </c>
      <c r="J72" s="90"/>
      <c r="K72" s="90"/>
      <c r="L72" s="90"/>
      <c r="M72" s="91"/>
      <c r="N72" s="91"/>
      <c r="O72" s="91"/>
    </row>
    <row r="73" spans="2:15" ht="52.5" customHeight="1" x14ac:dyDescent="0.3">
      <c r="B73" s="86">
        <v>70</v>
      </c>
      <c r="C73" s="63" t="s">
        <v>1051</v>
      </c>
      <c r="D73" s="87" t="s">
        <v>1052</v>
      </c>
      <c r="E73" s="64">
        <v>45657</v>
      </c>
      <c r="F73" s="88">
        <v>1031100</v>
      </c>
      <c r="G73" s="67" t="s">
        <v>951</v>
      </c>
      <c r="H73" s="89" t="s">
        <v>805</v>
      </c>
      <c r="I73" s="66" t="s">
        <v>811</v>
      </c>
      <c r="J73" s="90"/>
      <c r="K73" s="90"/>
      <c r="L73" s="90"/>
      <c r="M73" s="91"/>
      <c r="N73" s="91"/>
      <c r="O73" s="91"/>
    </row>
    <row r="74" spans="2:15" ht="71.25" customHeight="1" x14ac:dyDescent="0.3">
      <c r="B74" s="86">
        <v>71</v>
      </c>
      <c r="C74" s="63" t="s">
        <v>1053</v>
      </c>
      <c r="D74" s="87" t="s">
        <v>1054</v>
      </c>
      <c r="E74" s="64">
        <v>45657</v>
      </c>
      <c r="F74" s="88">
        <v>1586100</v>
      </c>
      <c r="G74" s="67" t="s">
        <v>951</v>
      </c>
      <c r="H74" s="89" t="s">
        <v>805</v>
      </c>
      <c r="I74" s="66" t="s">
        <v>1055</v>
      </c>
      <c r="J74" s="90"/>
      <c r="K74" s="90"/>
      <c r="L74" s="90"/>
      <c r="M74" s="91"/>
      <c r="N74" s="91"/>
      <c r="O74" s="91"/>
    </row>
    <row r="75" spans="2:15" ht="63.75" customHeight="1" x14ac:dyDescent="0.3">
      <c r="B75" s="86">
        <v>72</v>
      </c>
      <c r="C75" s="63" t="s">
        <v>1056</v>
      </c>
      <c r="D75" s="87" t="s">
        <v>1057</v>
      </c>
      <c r="E75" s="64">
        <v>45657</v>
      </c>
      <c r="F75" s="88">
        <v>1236700</v>
      </c>
      <c r="G75" s="67" t="s">
        <v>951</v>
      </c>
      <c r="H75" s="89" t="s">
        <v>805</v>
      </c>
      <c r="I75" s="66" t="s">
        <v>1055</v>
      </c>
      <c r="J75" s="90"/>
      <c r="K75" s="90"/>
      <c r="L75" s="90"/>
      <c r="M75" s="91"/>
      <c r="N75" s="91"/>
      <c r="O75" s="91"/>
    </row>
    <row r="76" spans="2:15" ht="79.5" customHeight="1" x14ac:dyDescent="0.3">
      <c r="B76" s="86">
        <v>73</v>
      </c>
      <c r="C76" s="63" t="s">
        <v>1058</v>
      </c>
      <c r="D76" s="87" t="s">
        <v>1059</v>
      </c>
      <c r="E76" s="64">
        <v>45657</v>
      </c>
      <c r="F76" s="88">
        <v>3063800</v>
      </c>
      <c r="G76" s="67" t="s">
        <v>951</v>
      </c>
      <c r="H76" s="89" t="s">
        <v>805</v>
      </c>
      <c r="I76" s="66" t="s">
        <v>832</v>
      </c>
      <c r="J76" s="90"/>
      <c r="K76" s="90"/>
      <c r="L76" s="90"/>
      <c r="M76" s="91"/>
      <c r="N76" s="91"/>
      <c r="O76" s="91"/>
    </row>
    <row r="77" spans="2:15" ht="54.75" customHeight="1" x14ac:dyDescent="0.3">
      <c r="B77" s="86">
        <v>74</v>
      </c>
      <c r="C77" s="63" t="s">
        <v>1060</v>
      </c>
      <c r="D77" s="87" t="s">
        <v>1061</v>
      </c>
      <c r="E77" s="64">
        <v>45657</v>
      </c>
      <c r="F77" s="88">
        <v>2334500</v>
      </c>
      <c r="G77" s="67" t="s">
        <v>951</v>
      </c>
      <c r="H77" s="89" t="s">
        <v>805</v>
      </c>
      <c r="I77" s="66" t="s">
        <v>1055</v>
      </c>
      <c r="J77" s="90"/>
      <c r="K77" s="90"/>
      <c r="L77" s="90"/>
      <c r="M77" s="91"/>
      <c r="N77" s="91"/>
      <c r="O77" s="91"/>
    </row>
    <row r="78" spans="2:15" ht="63" customHeight="1" x14ac:dyDescent="0.3">
      <c r="B78" s="86">
        <v>75</v>
      </c>
      <c r="C78" s="63" t="s">
        <v>1062</v>
      </c>
      <c r="D78" s="87" t="s">
        <v>1063</v>
      </c>
      <c r="E78" s="64">
        <v>45657</v>
      </c>
      <c r="F78" s="88">
        <v>1576700</v>
      </c>
      <c r="G78" s="67" t="s">
        <v>951</v>
      </c>
      <c r="H78" s="89" t="s">
        <v>805</v>
      </c>
      <c r="I78" s="66" t="s">
        <v>1055</v>
      </c>
      <c r="J78" s="90"/>
      <c r="K78" s="90"/>
      <c r="L78" s="90"/>
      <c r="M78" s="91"/>
      <c r="N78" s="91"/>
      <c r="O78" s="91"/>
    </row>
    <row r="79" spans="2:15" ht="53.25" customHeight="1" x14ac:dyDescent="0.3">
      <c r="B79" s="86">
        <v>76</v>
      </c>
      <c r="C79" s="63" t="s">
        <v>704</v>
      </c>
      <c r="D79" s="87" t="s">
        <v>1064</v>
      </c>
      <c r="E79" s="64">
        <v>45657</v>
      </c>
      <c r="F79" s="88">
        <v>2720600</v>
      </c>
      <c r="G79" s="67" t="s">
        <v>951</v>
      </c>
      <c r="H79" s="89" t="s">
        <v>805</v>
      </c>
      <c r="I79" s="66" t="s">
        <v>1065</v>
      </c>
      <c r="J79" s="90"/>
      <c r="K79" s="90"/>
      <c r="L79" s="90"/>
      <c r="M79" s="91" t="s">
        <v>25</v>
      </c>
      <c r="N79" s="98" t="s">
        <v>2660</v>
      </c>
      <c r="O79" s="91"/>
    </row>
    <row r="80" spans="2:15" ht="60.75" customHeight="1" x14ac:dyDescent="0.3">
      <c r="B80" s="86">
        <v>77</v>
      </c>
      <c r="C80" s="63" t="s">
        <v>1066</v>
      </c>
      <c r="D80" s="87" t="s">
        <v>1067</v>
      </c>
      <c r="E80" s="64">
        <v>45657</v>
      </c>
      <c r="F80" s="88">
        <v>862900</v>
      </c>
      <c r="G80" s="67" t="s">
        <v>951</v>
      </c>
      <c r="H80" s="89" t="s">
        <v>805</v>
      </c>
      <c r="I80" s="66" t="s">
        <v>1055</v>
      </c>
      <c r="J80" s="90"/>
      <c r="K80" s="90"/>
      <c r="L80" s="90"/>
      <c r="M80" s="91"/>
      <c r="N80" s="91"/>
      <c r="O80" s="91"/>
    </row>
    <row r="81" spans="2:15" ht="38.25" x14ac:dyDescent="0.3">
      <c r="B81" s="86">
        <v>78</v>
      </c>
      <c r="C81" s="63" t="s">
        <v>1068</v>
      </c>
      <c r="D81" s="87" t="s">
        <v>1069</v>
      </c>
      <c r="E81" s="64">
        <v>45657</v>
      </c>
      <c r="F81" s="88">
        <v>3587400</v>
      </c>
      <c r="G81" s="67" t="s">
        <v>951</v>
      </c>
      <c r="H81" s="89" t="s">
        <v>805</v>
      </c>
      <c r="I81" s="66" t="s">
        <v>1055</v>
      </c>
      <c r="J81" s="90"/>
      <c r="K81" s="90"/>
      <c r="L81" s="90"/>
      <c r="M81" s="91"/>
      <c r="N81" s="91"/>
      <c r="O81" s="91"/>
    </row>
    <row r="82" spans="2:15" ht="54" customHeight="1" x14ac:dyDescent="0.3">
      <c r="B82" s="86">
        <v>79</v>
      </c>
      <c r="C82" s="63" t="s">
        <v>1070</v>
      </c>
      <c r="D82" s="87" t="s">
        <v>1071</v>
      </c>
      <c r="E82" s="64">
        <v>45657</v>
      </c>
      <c r="F82" s="88">
        <v>948500</v>
      </c>
      <c r="G82" s="67" t="s">
        <v>951</v>
      </c>
      <c r="H82" s="89" t="s">
        <v>805</v>
      </c>
      <c r="I82" s="66" t="s">
        <v>977</v>
      </c>
      <c r="J82" s="90"/>
      <c r="K82" s="90"/>
      <c r="L82" s="90"/>
      <c r="M82" s="91"/>
      <c r="N82" s="91"/>
      <c r="O82" s="91"/>
    </row>
    <row r="83" spans="2:15" ht="42" customHeight="1" x14ac:dyDescent="0.3">
      <c r="B83" s="86">
        <v>80</v>
      </c>
      <c r="C83" s="63" t="s">
        <v>1072</v>
      </c>
      <c r="D83" s="87" t="s">
        <v>1073</v>
      </c>
      <c r="E83" s="64">
        <v>45657</v>
      </c>
      <c r="F83" s="88">
        <v>13164500</v>
      </c>
      <c r="G83" s="67" t="s">
        <v>951</v>
      </c>
      <c r="H83" s="89" t="s">
        <v>805</v>
      </c>
      <c r="I83" s="66" t="s">
        <v>1074</v>
      </c>
      <c r="J83" s="90"/>
      <c r="K83" s="90"/>
      <c r="L83" s="90"/>
      <c r="M83" s="91"/>
      <c r="N83" s="91"/>
      <c r="O83" s="91"/>
    </row>
    <row r="84" spans="2:15" ht="66.75" customHeight="1" x14ac:dyDescent="0.3">
      <c r="B84" s="86">
        <v>81</v>
      </c>
      <c r="C84" s="63" t="s">
        <v>440</v>
      </c>
      <c r="D84" s="87" t="s">
        <v>1075</v>
      </c>
      <c r="E84" s="64">
        <v>45657</v>
      </c>
      <c r="F84" s="88">
        <v>41600000</v>
      </c>
      <c r="G84" s="67" t="s">
        <v>951</v>
      </c>
      <c r="H84" s="89" t="s">
        <v>805</v>
      </c>
      <c r="I84" s="66" t="s">
        <v>1076</v>
      </c>
      <c r="J84" s="90"/>
      <c r="K84" s="90"/>
      <c r="L84" s="90"/>
      <c r="M84" s="91"/>
      <c r="N84" s="91"/>
      <c r="O84" s="91"/>
    </row>
    <row r="85" spans="2:15" ht="59.25" customHeight="1" x14ac:dyDescent="0.3">
      <c r="B85" s="86">
        <v>82</v>
      </c>
      <c r="C85" s="63" t="s">
        <v>1077</v>
      </c>
      <c r="D85" s="87" t="s">
        <v>1078</v>
      </c>
      <c r="E85" s="64">
        <v>45657</v>
      </c>
      <c r="F85" s="88">
        <v>2435500</v>
      </c>
      <c r="G85" s="67" t="s">
        <v>951</v>
      </c>
      <c r="H85" s="89" t="s">
        <v>805</v>
      </c>
      <c r="I85" s="66" t="s">
        <v>1079</v>
      </c>
      <c r="J85" s="90"/>
      <c r="K85" s="90"/>
      <c r="L85" s="90"/>
      <c r="M85" s="91"/>
      <c r="N85" s="91"/>
      <c r="O85" s="91"/>
    </row>
    <row r="86" spans="2:15" ht="85.5" customHeight="1" x14ac:dyDescent="0.3">
      <c r="B86" s="86">
        <v>83</v>
      </c>
      <c r="C86" s="63" t="s">
        <v>1080</v>
      </c>
      <c r="D86" s="87" t="s">
        <v>1081</v>
      </c>
      <c r="E86" s="64">
        <v>45657</v>
      </c>
      <c r="F86" s="88">
        <v>6334600</v>
      </c>
      <c r="G86" s="67" t="s">
        <v>951</v>
      </c>
      <c r="H86" s="89" t="s">
        <v>805</v>
      </c>
      <c r="I86" s="66" t="s">
        <v>1082</v>
      </c>
      <c r="J86" s="90"/>
      <c r="K86" s="90"/>
      <c r="L86" s="90"/>
      <c r="M86" s="91"/>
      <c r="N86" s="91"/>
      <c r="O86" s="91"/>
    </row>
    <row r="87" spans="2:15" ht="64.5" customHeight="1" x14ac:dyDescent="0.3">
      <c r="B87" s="86">
        <v>84</v>
      </c>
      <c r="C87" s="63" t="s">
        <v>1083</v>
      </c>
      <c r="D87" s="87" t="s">
        <v>1084</v>
      </c>
      <c r="E87" s="64">
        <v>45657</v>
      </c>
      <c r="F87" s="88">
        <v>4680300</v>
      </c>
      <c r="G87" s="67" t="s">
        <v>951</v>
      </c>
      <c r="H87" s="89" t="s">
        <v>805</v>
      </c>
      <c r="I87" s="66" t="s">
        <v>1085</v>
      </c>
      <c r="J87" s="90"/>
      <c r="K87" s="90"/>
      <c r="L87" s="90"/>
      <c r="M87" s="91"/>
      <c r="N87" s="91"/>
      <c r="O87" s="91"/>
    </row>
    <row r="88" spans="2:15" ht="89.25" customHeight="1" x14ac:dyDescent="0.3">
      <c r="B88" s="86">
        <v>85</v>
      </c>
      <c r="C88" s="63" t="s">
        <v>219</v>
      </c>
      <c r="D88" s="87" t="s">
        <v>1086</v>
      </c>
      <c r="E88" s="64">
        <v>45657</v>
      </c>
      <c r="F88" s="88">
        <v>58203600</v>
      </c>
      <c r="G88" s="67" t="s">
        <v>951</v>
      </c>
      <c r="H88" s="89" t="s">
        <v>805</v>
      </c>
      <c r="I88" s="66" t="s">
        <v>1087</v>
      </c>
      <c r="J88" s="90"/>
      <c r="K88" s="90"/>
      <c r="L88" s="90"/>
      <c r="M88" s="91"/>
      <c r="N88" s="91"/>
      <c r="O88" s="91"/>
    </row>
    <row r="89" spans="2:15" ht="75" customHeight="1" x14ac:dyDescent="0.3">
      <c r="B89" s="86">
        <v>86</v>
      </c>
      <c r="C89" s="63" t="s">
        <v>1088</v>
      </c>
      <c r="D89" s="87" t="s">
        <v>1089</v>
      </c>
      <c r="E89" s="64">
        <v>45657</v>
      </c>
      <c r="F89" s="88">
        <v>2191400</v>
      </c>
      <c r="G89" s="67" t="s">
        <v>951</v>
      </c>
      <c r="H89" s="89" t="s">
        <v>805</v>
      </c>
      <c r="I89" s="66" t="s">
        <v>1090</v>
      </c>
      <c r="J89" s="90"/>
      <c r="K89" s="90"/>
      <c r="L89" s="90"/>
      <c r="M89" s="91"/>
      <c r="N89" s="91"/>
      <c r="O89" s="91"/>
    </row>
    <row r="90" spans="2:15" ht="83.25" customHeight="1" x14ac:dyDescent="0.3">
      <c r="B90" s="86">
        <v>87</v>
      </c>
      <c r="C90" s="63" t="s">
        <v>1091</v>
      </c>
      <c r="D90" s="87" t="s">
        <v>1092</v>
      </c>
      <c r="E90" s="64">
        <v>45657</v>
      </c>
      <c r="F90" s="88">
        <v>2747000</v>
      </c>
      <c r="G90" s="67" t="s">
        <v>951</v>
      </c>
      <c r="H90" s="89" t="s">
        <v>805</v>
      </c>
      <c r="I90" s="66" t="s">
        <v>1093</v>
      </c>
      <c r="J90" s="90"/>
      <c r="K90" s="90"/>
      <c r="L90" s="90"/>
      <c r="M90" s="91"/>
      <c r="N90" s="91"/>
      <c r="O90" s="91"/>
    </row>
    <row r="91" spans="2:15" ht="77.25" customHeight="1" x14ac:dyDescent="0.3">
      <c r="B91" s="86">
        <v>88</v>
      </c>
      <c r="C91" s="63" t="s">
        <v>1094</v>
      </c>
      <c r="D91" s="87" t="s">
        <v>1095</v>
      </c>
      <c r="E91" s="64">
        <v>45657</v>
      </c>
      <c r="F91" s="88">
        <v>47278100</v>
      </c>
      <c r="G91" s="67" t="s">
        <v>951</v>
      </c>
      <c r="H91" s="89" t="s">
        <v>805</v>
      </c>
      <c r="I91" s="66" t="s">
        <v>1096</v>
      </c>
      <c r="J91" s="90"/>
      <c r="K91" s="90"/>
      <c r="L91" s="90"/>
      <c r="M91" s="91"/>
      <c r="N91" s="91"/>
      <c r="O91" s="91"/>
    </row>
    <row r="92" spans="2:15" ht="74.25" customHeight="1" x14ac:dyDescent="0.3">
      <c r="B92" s="86">
        <v>89</v>
      </c>
      <c r="C92" s="63" t="s">
        <v>1097</v>
      </c>
      <c r="D92" s="87" t="s">
        <v>1098</v>
      </c>
      <c r="E92" s="64">
        <v>45657</v>
      </c>
      <c r="F92" s="88">
        <v>7673200</v>
      </c>
      <c r="G92" s="67" t="s">
        <v>951</v>
      </c>
      <c r="H92" s="89" t="s">
        <v>805</v>
      </c>
      <c r="I92" s="66" t="s">
        <v>1099</v>
      </c>
      <c r="J92" s="90"/>
      <c r="K92" s="90"/>
      <c r="L92" s="90"/>
      <c r="M92" s="91"/>
      <c r="N92" s="91"/>
      <c r="O92" s="91"/>
    </row>
    <row r="93" spans="2:15" ht="46.5" customHeight="1" x14ac:dyDescent="0.3">
      <c r="B93" s="86">
        <v>90</v>
      </c>
      <c r="C93" s="63" t="s">
        <v>1100</v>
      </c>
      <c r="D93" s="87" t="s">
        <v>1101</v>
      </c>
      <c r="E93" s="64">
        <v>45657</v>
      </c>
      <c r="F93" s="88">
        <v>9783900</v>
      </c>
      <c r="G93" s="67" t="s">
        <v>951</v>
      </c>
      <c r="H93" s="89" t="s">
        <v>805</v>
      </c>
      <c r="I93" s="66" t="s">
        <v>1102</v>
      </c>
      <c r="J93" s="90"/>
      <c r="K93" s="90"/>
      <c r="L93" s="90"/>
      <c r="M93" s="91"/>
      <c r="N93" s="91"/>
      <c r="O93" s="91"/>
    </row>
    <row r="94" spans="2:15" ht="93" customHeight="1" x14ac:dyDescent="0.3">
      <c r="B94" s="86">
        <v>91</v>
      </c>
      <c r="C94" s="63" t="s">
        <v>1103</v>
      </c>
      <c r="D94" s="87" t="s">
        <v>1104</v>
      </c>
      <c r="E94" s="64">
        <v>45657</v>
      </c>
      <c r="F94" s="88">
        <v>5018700</v>
      </c>
      <c r="G94" s="67" t="s">
        <v>951</v>
      </c>
      <c r="H94" s="89" t="s">
        <v>805</v>
      </c>
      <c r="I94" s="66" t="s">
        <v>1105</v>
      </c>
      <c r="J94" s="90"/>
      <c r="K94" s="90"/>
      <c r="L94" s="90"/>
      <c r="M94" s="91"/>
      <c r="N94" s="91"/>
      <c r="O94" s="91"/>
    </row>
    <row r="95" spans="2:15" ht="62.25" customHeight="1" x14ac:dyDescent="0.3">
      <c r="B95" s="86">
        <v>92</v>
      </c>
      <c r="C95" s="63" t="s">
        <v>1106</v>
      </c>
      <c r="D95" s="87" t="s">
        <v>1107</v>
      </c>
      <c r="E95" s="64">
        <v>45657</v>
      </c>
      <c r="F95" s="88">
        <v>19139400</v>
      </c>
      <c r="G95" s="67" t="s">
        <v>951</v>
      </c>
      <c r="H95" s="89" t="s">
        <v>805</v>
      </c>
      <c r="I95" s="66" t="s">
        <v>1099</v>
      </c>
      <c r="J95" s="90"/>
      <c r="K95" s="90"/>
      <c r="L95" s="90"/>
      <c r="M95" s="91"/>
      <c r="N95" s="91"/>
      <c r="O95" s="91"/>
    </row>
    <row r="96" spans="2:15" ht="90.75" customHeight="1" x14ac:dyDescent="0.3">
      <c r="B96" s="86">
        <v>93</v>
      </c>
      <c r="C96" s="63" t="s">
        <v>1108</v>
      </c>
      <c r="D96" s="87" t="s">
        <v>1109</v>
      </c>
      <c r="E96" s="64">
        <v>45657</v>
      </c>
      <c r="F96" s="88">
        <v>39404600</v>
      </c>
      <c r="G96" s="67" t="s">
        <v>951</v>
      </c>
      <c r="H96" s="89" t="s">
        <v>805</v>
      </c>
      <c r="I96" s="66" t="s">
        <v>1110</v>
      </c>
      <c r="J96" s="90"/>
      <c r="K96" s="90"/>
      <c r="L96" s="90"/>
      <c r="M96" s="91"/>
      <c r="N96" s="91"/>
      <c r="O96" s="91"/>
    </row>
    <row r="97" spans="2:15" ht="75.75" customHeight="1" x14ac:dyDescent="0.3">
      <c r="B97" s="86">
        <v>94</v>
      </c>
      <c r="C97" s="63" t="s">
        <v>1111</v>
      </c>
      <c r="D97" s="87" t="s">
        <v>1112</v>
      </c>
      <c r="E97" s="64">
        <v>45657</v>
      </c>
      <c r="F97" s="88">
        <v>37978500</v>
      </c>
      <c r="G97" s="67" t="s">
        <v>951</v>
      </c>
      <c r="H97" s="89" t="s">
        <v>805</v>
      </c>
      <c r="I97" s="66" t="s">
        <v>1110</v>
      </c>
      <c r="J97" s="90"/>
      <c r="K97" s="90"/>
      <c r="L97" s="90"/>
      <c r="M97" s="91"/>
      <c r="N97" s="91"/>
      <c r="O97" s="91"/>
    </row>
    <row r="98" spans="2:15" ht="38.25" x14ac:dyDescent="0.3">
      <c r="B98" s="86">
        <v>95</v>
      </c>
      <c r="C98" s="63" t="s">
        <v>1113</v>
      </c>
      <c r="D98" s="87" t="s">
        <v>1114</v>
      </c>
      <c r="E98" s="64">
        <v>45657</v>
      </c>
      <c r="F98" s="88">
        <v>4741900</v>
      </c>
      <c r="G98" s="67" t="s">
        <v>951</v>
      </c>
      <c r="H98" s="89" t="s">
        <v>805</v>
      </c>
      <c r="I98" s="89" t="s">
        <v>1115</v>
      </c>
      <c r="J98" s="90"/>
      <c r="K98" s="90"/>
      <c r="L98" s="90"/>
      <c r="M98" s="91"/>
      <c r="N98" s="91"/>
      <c r="O98" s="91"/>
    </row>
    <row r="99" spans="2:15" ht="74.25" customHeight="1" x14ac:dyDescent="0.3">
      <c r="B99" s="86">
        <v>96</v>
      </c>
      <c r="C99" s="63" t="s">
        <v>1113</v>
      </c>
      <c r="D99" s="87" t="s">
        <v>1114</v>
      </c>
      <c r="E99" s="64">
        <v>45657</v>
      </c>
      <c r="F99" s="88">
        <v>4741900</v>
      </c>
      <c r="G99" s="67" t="s">
        <v>951</v>
      </c>
      <c r="H99" s="89" t="s">
        <v>805</v>
      </c>
      <c r="I99" s="89" t="s">
        <v>1115</v>
      </c>
      <c r="J99" s="90"/>
      <c r="K99" s="90"/>
      <c r="L99" s="90"/>
      <c r="M99" s="91"/>
      <c r="N99" s="91"/>
      <c r="O99" s="91"/>
    </row>
    <row r="100" spans="2:15" ht="63" customHeight="1" x14ac:dyDescent="0.3">
      <c r="B100" s="86">
        <v>97</v>
      </c>
      <c r="C100" s="63" t="s">
        <v>1116</v>
      </c>
      <c r="D100" s="87" t="s">
        <v>1117</v>
      </c>
      <c r="E100" s="64">
        <v>45657</v>
      </c>
      <c r="F100" s="88">
        <v>12518700</v>
      </c>
      <c r="G100" s="67" t="s">
        <v>951</v>
      </c>
      <c r="H100" s="89" t="s">
        <v>805</v>
      </c>
      <c r="I100" s="66" t="s">
        <v>1118</v>
      </c>
      <c r="J100" s="90"/>
      <c r="K100" s="90"/>
      <c r="L100" s="90"/>
      <c r="M100" s="91"/>
      <c r="N100" s="91"/>
      <c r="O100" s="91"/>
    </row>
    <row r="101" spans="2:15" ht="104.25" customHeight="1" x14ac:dyDescent="0.3">
      <c r="B101" s="86">
        <v>98</v>
      </c>
      <c r="C101" s="63" t="s">
        <v>1119</v>
      </c>
      <c r="D101" s="87" t="s">
        <v>1120</v>
      </c>
      <c r="E101" s="64">
        <v>45657</v>
      </c>
      <c r="F101" s="88">
        <v>5882300</v>
      </c>
      <c r="G101" s="67" t="s">
        <v>951</v>
      </c>
      <c r="H101" s="89" t="s">
        <v>805</v>
      </c>
      <c r="I101" s="66" t="s">
        <v>1121</v>
      </c>
      <c r="J101" s="90"/>
      <c r="K101" s="90"/>
      <c r="L101" s="90"/>
      <c r="M101" s="91"/>
      <c r="N101" s="91"/>
      <c r="O101" s="91"/>
    </row>
    <row r="102" spans="2:15" ht="45.75" customHeight="1" x14ac:dyDescent="0.3">
      <c r="B102" s="86">
        <v>99</v>
      </c>
      <c r="C102" s="63" t="s">
        <v>1122</v>
      </c>
      <c r="D102" s="87" t="s">
        <v>1123</v>
      </c>
      <c r="E102" s="64">
        <v>45657</v>
      </c>
      <c r="F102" s="88">
        <v>22281200</v>
      </c>
      <c r="G102" s="67" t="s">
        <v>951</v>
      </c>
      <c r="H102" s="89" t="s">
        <v>805</v>
      </c>
      <c r="I102" s="89" t="s">
        <v>1115</v>
      </c>
      <c r="J102" s="90"/>
      <c r="K102" s="90"/>
      <c r="L102" s="90"/>
      <c r="M102" s="91"/>
      <c r="N102" s="91"/>
      <c r="O102" s="91"/>
    </row>
    <row r="103" spans="2:15" ht="107.25" customHeight="1" x14ac:dyDescent="0.3">
      <c r="B103" s="86">
        <v>100</v>
      </c>
      <c r="C103" s="63" t="s">
        <v>1124</v>
      </c>
      <c r="D103" s="87" t="s">
        <v>1125</v>
      </c>
      <c r="E103" s="64">
        <v>45657</v>
      </c>
      <c r="F103" s="88">
        <v>204716500</v>
      </c>
      <c r="G103" s="67" t="s">
        <v>951</v>
      </c>
      <c r="H103" s="89" t="s">
        <v>805</v>
      </c>
      <c r="I103" s="66" t="s">
        <v>24</v>
      </c>
      <c r="J103" s="90"/>
      <c r="K103" s="90"/>
      <c r="L103" s="90"/>
      <c r="M103" s="91"/>
      <c r="N103" s="91"/>
      <c r="O103" s="91"/>
    </row>
    <row r="104" spans="2:15" ht="48.75" customHeight="1" x14ac:dyDescent="0.3">
      <c r="B104" s="86">
        <v>101</v>
      </c>
      <c r="C104" s="63" t="s">
        <v>1126</v>
      </c>
      <c r="D104" s="87" t="s">
        <v>1127</v>
      </c>
      <c r="E104" s="64">
        <v>45657</v>
      </c>
      <c r="F104" s="88">
        <v>39904800</v>
      </c>
      <c r="G104" s="67" t="s">
        <v>951</v>
      </c>
      <c r="H104" s="89" t="s">
        <v>805</v>
      </c>
      <c r="I104" s="89" t="s">
        <v>1115</v>
      </c>
      <c r="J104" s="90"/>
      <c r="K104" s="90"/>
      <c r="L104" s="90"/>
      <c r="M104" s="91"/>
      <c r="N104" s="91"/>
      <c r="O104" s="91"/>
    </row>
    <row r="105" spans="2:15" ht="79.5" customHeight="1" x14ac:dyDescent="0.3">
      <c r="B105" s="86">
        <v>102</v>
      </c>
      <c r="C105" s="63" t="s">
        <v>1128</v>
      </c>
      <c r="D105" s="87" t="s">
        <v>1129</v>
      </c>
      <c r="E105" s="64">
        <v>45657</v>
      </c>
      <c r="F105" s="88">
        <v>1012900</v>
      </c>
      <c r="G105" s="67" t="s">
        <v>951</v>
      </c>
      <c r="H105" s="89" t="s">
        <v>805</v>
      </c>
      <c r="I105" s="66" t="s">
        <v>1130</v>
      </c>
      <c r="J105" s="90"/>
      <c r="K105" s="90"/>
      <c r="L105" s="90"/>
      <c r="M105" s="91"/>
      <c r="N105" s="91"/>
      <c r="O105" s="91"/>
    </row>
    <row r="106" spans="2:15" ht="72.75" customHeight="1" x14ac:dyDescent="0.3">
      <c r="B106" s="86">
        <v>103</v>
      </c>
      <c r="C106" s="63" t="s">
        <v>209</v>
      </c>
      <c r="D106" s="87" t="s">
        <v>1131</v>
      </c>
      <c r="E106" s="64">
        <v>45657</v>
      </c>
      <c r="F106" s="88">
        <v>3836800</v>
      </c>
      <c r="G106" s="67" t="s">
        <v>951</v>
      </c>
      <c r="H106" s="89" t="s">
        <v>805</v>
      </c>
      <c r="I106" s="66" t="s">
        <v>1132</v>
      </c>
      <c r="J106" s="90"/>
      <c r="K106" s="90"/>
      <c r="L106" s="90"/>
      <c r="M106" s="91"/>
      <c r="N106" s="91"/>
      <c r="O106" s="91"/>
    </row>
    <row r="107" spans="2:15" ht="60" customHeight="1" x14ac:dyDescent="0.3">
      <c r="B107" s="86">
        <v>104</v>
      </c>
      <c r="C107" s="63" t="s">
        <v>1133</v>
      </c>
      <c r="D107" s="87" t="s">
        <v>1134</v>
      </c>
      <c r="E107" s="64">
        <v>45657</v>
      </c>
      <c r="F107" s="88">
        <v>4842700</v>
      </c>
      <c r="G107" s="67" t="s">
        <v>951</v>
      </c>
      <c r="H107" s="89" t="s">
        <v>805</v>
      </c>
      <c r="I107" s="66" t="s">
        <v>1135</v>
      </c>
      <c r="J107" s="90"/>
      <c r="K107" s="90"/>
      <c r="L107" s="90"/>
      <c r="M107" s="91"/>
      <c r="N107" s="91"/>
      <c r="O107" s="91"/>
    </row>
    <row r="108" spans="2:15" ht="76.5" x14ac:dyDescent="0.3">
      <c r="B108" s="86">
        <v>105</v>
      </c>
      <c r="C108" s="63" t="s">
        <v>1136</v>
      </c>
      <c r="D108" s="87" t="s">
        <v>1137</v>
      </c>
      <c r="E108" s="64">
        <v>45657</v>
      </c>
      <c r="F108" s="88">
        <v>41265200</v>
      </c>
      <c r="G108" s="67" t="s">
        <v>951</v>
      </c>
      <c r="H108" s="89" t="s">
        <v>805</v>
      </c>
      <c r="I108" s="66" t="s">
        <v>1138</v>
      </c>
      <c r="J108" s="90"/>
      <c r="K108" s="90"/>
      <c r="L108" s="90"/>
      <c r="M108" s="91"/>
      <c r="N108" s="91"/>
      <c r="O108" s="91"/>
    </row>
    <row r="109" spans="2:15" ht="79.5" customHeight="1" x14ac:dyDescent="0.3">
      <c r="B109" s="86">
        <v>106</v>
      </c>
      <c r="C109" s="63" t="s">
        <v>1139</v>
      </c>
      <c r="D109" s="87" t="s">
        <v>1140</v>
      </c>
      <c r="E109" s="64">
        <v>45657</v>
      </c>
      <c r="F109" s="88">
        <v>91140000</v>
      </c>
      <c r="G109" s="67" t="s">
        <v>951</v>
      </c>
      <c r="H109" s="89" t="s">
        <v>805</v>
      </c>
      <c r="I109" s="66" t="s">
        <v>1141</v>
      </c>
      <c r="J109" s="90"/>
      <c r="K109" s="90"/>
      <c r="L109" s="90"/>
      <c r="M109" s="91"/>
      <c r="N109" s="91"/>
      <c r="O109" s="91"/>
    </row>
    <row r="110" spans="2:15" ht="67.5" customHeight="1" x14ac:dyDescent="0.3">
      <c r="B110" s="86">
        <v>107</v>
      </c>
      <c r="C110" s="63" t="s">
        <v>1142</v>
      </c>
      <c r="D110" s="87" t="s">
        <v>1143</v>
      </c>
      <c r="E110" s="64">
        <v>45657</v>
      </c>
      <c r="F110" s="88">
        <v>6384400</v>
      </c>
      <c r="G110" s="67" t="s">
        <v>951</v>
      </c>
      <c r="H110" s="89" t="s">
        <v>805</v>
      </c>
      <c r="I110" s="66" t="s">
        <v>1144</v>
      </c>
      <c r="J110" s="90"/>
      <c r="K110" s="90"/>
      <c r="L110" s="90"/>
      <c r="M110" s="91"/>
      <c r="N110" s="91"/>
      <c r="O110" s="91"/>
    </row>
    <row r="111" spans="2:15" ht="63.75" customHeight="1" x14ac:dyDescent="0.3">
      <c r="B111" s="86">
        <v>108</v>
      </c>
      <c r="C111" s="63" t="s">
        <v>1021</v>
      </c>
      <c r="D111" s="87" t="s">
        <v>1145</v>
      </c>
      <c r="E111" s="64">
        <v>45657</v>
      </c>
      <c r="F111" s="88">
        <v>3468700</v>
      </c>
      <c r="G111" s="67" t="s">
        <v>951</v>
      </c>
      <c r="H111" s="89" t="s">
        <v>805</v>
      </c>
      <c r="I111" s="66" t="s">
        <v>1146</v>
      </c>
      <c r="J111" s="90"/>
      <c r="K111" s="90"/>
      <c r="L111" s="90"/>
      <c r="M111" s="91"/>
      <c r="N111" s="91"/>
      <c r="O111" s="91"/>
    </row>
    <row r="112" spans="2:15" ht="113.25" customHeight="1" x14ac:dyDescent="0.3">
      <c r="B112" s="86">
        <v>109</v>
      </c>
      <c r="C112" s="63" t="s">
        <v>1147</v>
      </c>
      <c r="D112" s="87" t="s">
        <v>1148</v>
      </c>
      <c r="E112" s="64">
        <v>45657</v>
      </c>
      <c r="F112" s="88">
        <v>10271200</v>
      </c>
      <c r="G112" s="67" t="s">
        <v>951</v>
      </c>
      <c r="H112" s="89" t="s">
        <v>805</v>
      </c>
      <c r="I112" s="66" t="s">
        <v>1149</v>
      </c>
      <c r="J112" s="90"/>
      <c r="K112" s="90"/>
      <c r="L112" s="90"/>
      <c r="M112" s="91"/>
      <c r="N112" s="91"/>
      <c r="O112" s="91"/>
    </row>
    <row r="113" spans="2:15" ht="55.5" customHeight="1" x14ac:dyDescent="0.3">
      <c r="B113" s="86">
        <v>110</v>
      </c>
      <c r="C113" s="63" t="s">
        <v>1150</v>
      </c>
      <c r="D113" s="87" t="s">
        <v>1151</v>
      </c>
      <c r="E113" s="64">
        <v>45657</v>
      </c>
      <c r="F113" s="88">
        <v>2764600</v>
      </c>
      <c r="G113" s="67" t="s">
        <v>951</v>
      </c>
      <c r="H113" s="89" t="s">
        <v>805</v>
      </c>
      <c r="I113" s="66" t="s">
        <v>1152</v>
      </c>
      <c r="J113" s="90"/>
      <c r="K113" s="90"/>
      <c r="L113" s="90"/>
      <c r="M113" s="91"/>
      <c r="N113" s="91"/>
      <c r="O113" s="91"/>
    </row>
    <row r="114" spans="2:15" ht="51" x14ac:dyDescent="0.3">
      <c r="B114" s="86">
        <v>111</v>
      </c>
      <c r="C114" s="63" t="s">
        <v>1153</v>
      </c>
      <c r="D114" s="87" t="s">
        <v>1154</v>
      </c>
      <c r="E114" s="64">
        <v>45657</v>
      </c>
      <c r="F114" s="88">
        <v>8782200</v>
      </c>
      <c r="G114" s="67" t="s">
        <v>951</v>
      </c>
      <c r="H114" s="89" t="s">
        <v>805</v>
      </c>
      <c r="I114" s="66" t="s">
        <v>1155</v>
      </c>
      <c r="J114" s="90"/>
      <c r="K114" s="90"/>
      <c r="L114" s="90"/>
      <c r="M114" s="91"/>
      <c r="N114" s="91"/>
      <c r="O114" s="91"/>
    </row>
    <row r="115" spans="2:15" ht="69" customHeight="1" x14ac:dyDescent="0.3">
      <c r="B115" s="86">
        <v>112</v>
      </c>
      <c r="C115" s="63" t="s">
        <v>1156</v>
      </c>
      <c r="D115" s="87" t="s">
        <v>1157</v>
      </c>
      <c r="E115" s="64">
        <v>45657</v>
      </c>
      <c r="F115" s="88">
        <v>2801200</v>
      </c>
      <c r="G115" s="67" t="s">
        <v>951</v>
      </c>
      <c r="H115" s="89" t="s">
        <v>805</v>
      </c>
      <c r="I115" s="66" t="s">
        <v>1158</v>
      </c>
      <c r="J115" s="90"/>
      <c r="K115" s="90"/>
      <c r="L115" s="90"/>
      <c r="M115" s="91"/>
      <c r="N115" s="91"/>
      <c r="O115" s="91"/>
    </row>
    <row r="116" spans="2:15" ht="50.25" customHeight="1" x14ac:dyDescent="0.3">
      <c r="B116" s="86">
        <v>113</v>
      </c>
      <c r="C116" s="63" t="s">
        <v>1159</v>
      </c>
      <c r="D116" s="87" t="s">
        <v>1160</v>
      </c>
      <c r="E116" s="64">
        <v>45657</v>
      </c>
      <c r="F116" s="88">
        <v>1101200</v>
      </c>
      <c r="G116" s="67" t="s">
        <v>951</v>
      </c>
      <c r="H116" s="89" t="s">
        <v>805</v>
      </c>
      <c r="I116" s="66" t="s">
        <v>1158</v>
      </c>
      <c r="J116" s="90"/>
      <c r="K116" s="90"/>
      <c r="L116" s="90"/>
      <c r="M116" s="91"/>
      <c r="N116" s="91"/>
      <c r="O116" s="91"/>
    </row>
    <row r="117" spans="2:15" ht="45" customHeight="1" x14ac:dyDescent="0.3">
      <c r="B117" s="86">
        <v>114</v>
      </c>
      <c r="C117" s="63" t="s">
        <v>1161</v>
      </c>
      <c r="D117" s="87" t="s">
        <v>1162</v>
      </c>
      <c r="E117" s="64">
        <v>45657</v>
      </c>
      <c r="F117" s="88">
        <v>15165200</v>
      </c>
      <c r="G117" s="67" t="s">
        <v>951</v>
      </c>
      <c r="H117" s="89" t="s">
        <v>805</v>
      </c>
      <c r="I117" s="66" t="s">
        <v>1163</v>
      </c>
      <c r="J117" s="90"/>
      <c r="K117" s="90"/>
      <c r="L117" s="90"/>
      <c r="M117" s="91"/>
      <c r="N117" s="91"/>
      <c r="O117" s="91"/>
    </row>
    <row r="118" spans="2:15" ht="50.25" customHeight="1" x14ac:dyDescent="0.3">
      <c r="B118" s="86">
        <v>115</v>
      </c>
      <c r="C118" s="63" t="s">
        <v>1164</v>
      </c>
      <c r="D118" s="87" t="s">
        <v>1165</v>
      </c>
      <c r="E118" s="64">
        <v>45657</v>
      </c>
      <c r="F118" s="88">
        <v>1827900</v>
      </c>
      <c r="G118" s="67" t="s">
        <v>951</v>
      </c>
      <c r="H118" s="89" t="s">
        <v>805</v>
      </c>
      <c r="I118" s="66" t="s">
        <v>1158</v>
      </c>
      <c r="J118" s="90"/>
      <c r="K118" s="90"/>
      <c r="L118" s="90"/>
      <c r="M118" s="91"/>
      <c r="N118" s="91"/>
      <c r="O118" s="91"/>
    </row>
    <row r="119" spans="2:15" ht="45" customHeight="1" x14ac:dyDescent="0.3">
      <c r="B119" s="86">
        <v>116</v>
      </c>
      <c r="C119" s="63" t="s">
        <v>1166</v>
      </c>
      <c r="D119" s="87" t="s">
        <v>1167</v>
      </c>
      <c r="E119" s="64">
        <v>45657</v>
      </c>
      <c r="F119" s="88">
        <v>4200000</v>
      </c>
      <c r="G119" s="67" t="s">
        <v>951</v>
      </c>
      <c r="H119" s="89" t="s">
        <v>805</v>
      </c>
      <c r="I119" s="66" t="s">
        <v>1168</v>
      </c>
      <c r="J119" s="90"/>
      <c r="K119" s="90"/>
      <c r="L119" s="90"/>
      <c r="M119" s="91"/>
      <c r="N119" s="91"/>
      <c r="O119" s="91"/>
    </row>
    <row r="120" spans="2:15" ht="66.75" customHeight="1" x14ac:dyDescent="0.3">
      <c r="B120" s="86">
        <v>117</v>
      </c>
      <c r="C120" s="63" t="s">
        <v>1147</v>
      </c>
      <c r="D120" s="87" t="s">
        <v>1169</v>
      </c>
      <c r="E120" s="64">
        <v>45657</v>
      </c>
      <c r="F120" s="88">
        <v>14780800</v>
      </c>
      <c r="G120" s="67" t="s">
        <v>951</v>
      </c>
      <c r="H120" s="89" t="s">
        <v>805</v>
      </c>
      <c r="I120" s="66" t="s">
        <v>1170</v>
      </c>
      <c r="J120" s="90"/>
      <c r="K120" s="90"/>
      <c r="L120" s="90"/>
      <c r="M120" s="91"/>
      <c r="N120" s="91"/>
      <c r="O120" s="91"/>
    </row>
    <row r="121" spans="2:15" ht="66.75" customHeight="1" x14ac:dyDescent="0.3">
      <c r="B121" s="86">
        <v>118</v>
      </c>
      <c r="C121" s="63" t="s">
        <v>1171</v>
      </c>
      <c r="D121" s="87" t="s">
        <v>1172</v>
      </c>
      <c r="E121" s="64">
        <v>45657</v>
      </c>
      <c r="F121" s="88">
        <v>9547600</v>
      </c>
      <c r="G121" s="67" t="s">
        <v>951</v>
      </c>
      <c r="H121" s="89" t="s">
        <v>805</v>
      </c>
      <c r="I121" s="66" t="s">
        <v>1173</v>
      </c>
      <c r="J121" s="90"/>
      <c r="K121" s="90"/>
      <c r="L121" s="90"/>
      <c r="M121" s="91"/>
      <c r="N121" s="91"/>
      <c r="O121" s="91"/>
    </row>
    <row r="122" spans="2:15" ht="102" x14ac:dyDescent="0.3">
      <c r="B122" s="86">
        <v>119</v>
      </c>
      <c r="C122" s="63" t="s">
        <v>1174</v>
      </c>
      <c r="D122" s="87" t="s">
        <v>1175</v>
      </c>
      <c r="E122" s="64">
        <v>45657</v>
      </c>
      <c r="F122" s="88">
        <v>4131800</v>
      </c>
      <c r="G122" s="67" t="s">
        <v>951</v>
      </c>
      <c r="H122" s="89" t="s">
        <v>805</v>
      </c>
      <c r="I122" s="66" t="s">
        <v>1176</v>
      </c>
      <c r="J122" s="90"/>
      <c r="K122" s="90"/>
      <c r="L122" s="90"/>
      <c r="M122" s="91"/>
      <c r="N122" s="91"/>
      <c r="O122" s="91"/>
    </row>
    <row r="123" spans="2:15" ht="56.25" customHeight="1" x14ac:dyDescent="0.3">
      <c r="B123" s="86">
        <v>120</v>
      </c>
      <c r="C123" s="63" t="s">
        <v>1177</v>
      </c>
      <c r="D123" s="87" t="s">
        <v>1178</v>
      </c>
      <c r="E123" s="64">
        <v>45657</v>
      </c>
      <c r="F123" s="88">
        <v>2917800</v>
      </c>
      <c r="G123" s="67" t="s">
        <v>951</v>
      </c>
      <c r="H123" s="89" t="s">
        <v>805</v>
      </c>
      <c r="I123" s="66" t="s">
        <v>1000</v>
      </c>
      <c r="J123" s="90"/>
      <c r="K123" s="90"/>
      <c r="L123" s="90"/>
      <c r="M123" s="91"/>
      <c r="N123" s="91"/>
      <c r="O123" s="91"/>
    </row>
    <row r="124" spans="2:15" ht="48.75" customHeight="1" x14ac:dyDescent="0.3">
      <c r="B124" s="86">
        <v>121</v>
      </c>
      <c r="C124" s="63" t="s">
        <v>1179</v>
      </c>
      <c r="D124" s="87" t="s">
        <v>1180</v>
      </c>
      <c r="E124" s="64">
        <v>45657</v>
      </c>
      <c r="F124" s="88">
        <v>2493300</v>
      </c>
      <c r="G124" s="67" t="s">
        <v>951</v>
      </c>
      <c r="H124" s="89" t="s">
        <v>805</v>
      </c>
      <c r="I124" s="66" t="s">
        <v>1008</v>
      </c>
      <c r="J124" s="90"/>
      <c r="K124" s="90"/>
      <c r="L124" s="90"/>
      <c r="M124" s="91"/>
      <c r="N124" s="91"/>
      <c r="O124" s="91"/>
    </row>
    <row r="125" spans="2:15" ht="54.75" customHeight="1" x14ac:dyDescent="0.3">
      <c r="B125" s="86">
        <v>122</v>
      </c>
      <c r="C125" s="63" t="s">
        <v>1044</v>
      </c>
      <c r="D125" s="87" t="s">
        <v>1181</v>
      </c>
      <c r="E125" s="64">
        <v>45657</v>
      </c>
      <c r="F125" s="88">
        <v>3228800</v>
      </c>
      <c r="G125" s="67" t="s">
        <v>951</v>
      </c>
      <c r="H125" s="89" t="s">
        <v>805</v>
      </c>
      <c r="I125" s="66" t="s">
        <v>1008</v>
      </c>
      <c r="J125" s="90"/>
      <c r="K125" s="90"/>
      <c r="L125" s="90"/>
      <c r="M125" s="91"/>
      <c r="N125" s="91"/>
      <c r="O125" s="91"/>
    </row>
    <row r="126" spans="2:15" ht="57" customHeight="1" x14ac:dyDescent="0.3">
      <c r="B126" s="86">
        <v>123</v>
      </c>
      <c r="C126" s="63" t="s">
        <v>1182</v>
      </c>
      <c r="D126" s="87" t="s">
        <v>1183</v>
      </c>
      <c r="E126" s="64">
        <v>45657</v>
      </c>
      <c r="F126" s="88">
        <v>9883300</v>
      </c>
      <c r="G126" s="67" t="s">
        <v>951</v>
      </c>
      <c r="H126" s="89" t="s">
        <v>805</v>
      </c>
      <c r="I126" s="66" t="s">
        <v>1008</v>
      </c>
      <c r="J126" s="90"/>
      <c r="K126" s="90"/>
      <c r="L126" s="90"/>
      <c r="M126" s="91"/>
      <c r="N126" s="91"/>
      <c r="O126" s="91"/>
    </row>
    <row r="127" spans="2:15" ht="54" customHeight="1" x14ac:dyDescent="0.3">
      <c r="B127" s="86">
        <v>124</v>
      </c>
      <c r="C127" s="63" t="s">
        <v>1184</v>
      </c>
      <c r="D127" s="87" t="s">
        <v>1185</v>
      </c>
      <c r="E127" s="64">
        <v>45657</v>
      </c>
      <c r="F127" s="88">
        <v>54453400</v>
      </c>
      <c r="G127" s="67" t="s">
        <v>951</v>
      </c>
      <c r="H127" s="89" t="s">
        <v>805</v>
      </c>
      <c r="I127" s="66" t="s">
        <v>1008</v>
      </c>
      <c r="J127" s="90"/>
      <c r="K127" s="90"/>
      <c r="L127" s="90"/>
      <c r="M127" s="91"/>
      <c r="N127" s="91"/>
      <c r="O127" s="91"/>
    </row>
    <row r="128" spans="2:15" ht="48" customHeight="1" x14ac:dyDescent="0.3">
      <c r="B128" s="86">
        <v>125</v>
      </c>
      <c r="C128" s="63" t="s">
        <v>1186</v>
      </c>
      <c r="D128" s="87" t="s">
        <v>1187</v>
      </c>
      <c r="E128" s="64">
        <v>45657</v>
      </c>
      <c r="F128" s="88">
        <v>936000</v>
      </c>
      <c r="G128" s="67" t="s">
        <v>951</v>
      </c>
      <c r="H128" s="89" t="s">
        <v>805</v>
      </c>
      <c r="I128" s="66" t="s">
        <v>1008</v>
      </c>
      <c r="J128" s="90"/>
      <c r="K128" s="90"/>
      <c r="L128" s="90"/>
      <c r="M128" s="91"/>
      <c r="N128" s="91"/>
      <c r="O128" s="91"/>
    </row>
    <row r="129" spans="2:15" ht="58.5" customHeight="1" x14ac:dyDescent="0.3">
      <c r="B129" s="86">
        <v>126</v>
      </c>
      <c r="C129" s="63" t="s">
        <v>1188</v>
      </c>
      <c r="D129" s="87" t="s">
        <v>1189</v>
      </c>
      <c r="E129" s="64">
        <v>45657</v>
      </c>
      <c r="F129" s="88">
        <v>1418600</v>
      </c>
      <c r="G129" s="67" t="s">
        <v>951</v>
      </c>
      <c r="H129" s="89" t="s">
        <v>805</v>
      </c>
      <c r="I129" s="66" t="s">
        <v>1008</v>
      </c>
      <c r="J129" s="90"/>
      <c r="K129" s="90"/>
      <c r="L129" s="90"/>
      <c r="M129" s="91"/>
      <c r="N129" s="91"/>
      <c r="O129" s="91"/>
    </row>
    <row r="130" spans="2:15" ht="57.75" customHeight="1" x14ac:dyDescent="0.3">
      <c r="B130" s="86">
        <v>127</v>
      </c>
      <c r="C130" s="63" t="s">
        <v>1190</v>
      </c>
      <c r="D130" s="87" t="s">
        <v>1191</v>
      </c>
      <c r="E130" s="64">
        <v>45657</v>
      </c>
      <c r="F130" s="88">
        <v>9725200</v>
      </c>
      <c r="G130" s="67" t="s">
        <v>951</v>
      </c>
      <c r="H130" s="89" t="s">
        <v>805</v>
      </c>
      <c r="I130" s="89" t="s">
        <v>811</v>
      </c>
      <c r="J130" s="90"/>
      <c r="K130" s="90"/>
      <c r="L130" s="90"/>
      <c r="M130" s="91"/>
      <c r="N130" s="91"/>
      <c r="O130" s="91"/>
    </row>
    <row r="131" spans="2:15" ht="57" customHeight="1" x14ac:dyDescent="0.3">
      <c r="B131" s="86">
        <v>128</v>
      </c>
      <c r="C131" s="63" t="s">
        <v>1192</v>
      </c>
      <c r="D131" s="87" t="s">
        <v>1193</v>
      </c>
      <c r="E131" s="64">
        <v>45657</v>
      </c>
      <c r="F131" s="88">
        <v>625300</v>
      </c>
      <c r="G131" s="67" t="s">
        <v>951</v>
      </c>
      <c r="H131" s="89" t="s">
        <v>805</v>
      </c>
      <c r="I131" s="89" t="s">
        <v>1194</v>
      </c>
      <c r="J131" s="90"/>
      <c r="K131" s="90"/>
      <c r="L131" s="90"/>
      <c r="M131" s="91"/>
      <c r="N131" s="91"/>
      <c r="O131" s="91"/>
    </row>
    <row r="132" spans="2:15" ht="97.5" customHeight="1" x14ac:dyDescent="0.3">
      <c r="B132" s="86">
        <v>129</v>
      </c>
      <c r="C132" s="63" t="s">
        <v>1195</v>
      </c>
      <c r="D132" s="87" t="s">
        <v>1196</v>
      </c>
      <c r="E132" s="64">
        <v>45657</v>
      </c>
      <c r="F132" s="88">
        <v>232501200</v>
      </c>
      <c r="G132" s="67" t="s">
        <v>951</v>
      </c>
      <c r="H132" s="89" t="s">
        <v>805</v>
      </c>
      <c r="I132" s="66" t="s">
        <v>1197</v>
      </c>
      <c r="J132" s="90"/>
      <c r="K132" s="90"/>
      <c r="L132" s="90"/>
      <c r="M132" s="91"/>
      <c r="N132" s="91"/>
      <c r="O132" s="91"/>
    </row>
    <row r="133" spans="2:15" ht="72" customHeight="1" x14ac:dyDescent="0.3">
      <c r="B133" s="86">
        <v>130</v>
      </c>
      <c r="C133" s="63" t="s">
        <v>1198</v>
      </c>
      <c r="D133" s="87" t="s">
        <v>1199</v>
      </c>
      <c r="E133" s="64">
        <v>45657</v>
      </c>
      <c r="F133" s="88">
        <v>5379500</v>
      </c>
      <c r="G133" s="67" t="s">
        <v>951</v>
      </c>
      <c r="H133" s="89" t="s">
        <v>805</v>
      </c>
      <c r="I133" s="66" t="s">
        <v>867</v>
      </c>
      <c r="J133" s="90"/>
      <c r="K133" s="90"/>
      <c r="L133" s="90"/>
      <c r="M133" s="91"/>
      <c r="N133" s="91"/>
      <c r="O133" s="91"/>
    </row>
    <row r="134" spans="2:15" ht="78" customHeight="1" x14ac:dyDescent="0.3">
      <c r="B134" s="86">
        <v>131</v>
      </c>
      <c r="C134" s="63" t="s">
        <v>209</v>
      </c>
      <c r="D134" s="87" t="s">
        <v>1200</v>
      </c>
      <c r="E134" s="64">
        <v>45657</v>
      </c>
      <c r="F134" s="88">
        <v>5325500</v>
      </c>
      <c r="G134" s="67" t="s">
        <v>951</v>
      </c>
      <c r="H134" s="89" t="s">
        <v>805</v>
      </c>
      <c r="I134" s="66" t="s">
        <v>1201</v>
      </c>
      <c r="J134" s="90"/>
      <c r="K134" s="90"/>
      <c r="L134" s="90"/>
      <c r="M134" s="91"/>
      <c r="N134" s="91"/>
      <c r="O134" s="91"/>
    </row>
    <row r="135" spans="2:15" ht="25.5" x14ac:dyDescent="0.3">
      <c r="B135" s="86">
        <v>132</v>
      </c>
      <c r="C135" s="63" t="s">
        <v>1202</v>
      </c>
      <c r="D135" s="87" t="s">
        <v>1203</v>
      </c>
      <c r="E135" s="64">
        <v>45657</v>
      </c>
      <c r="F135" s="88">
        <v>6462600</v>
      </c>
      <c r="G135" s="67" t="s">
        <v>951</v>
      </c>
      <c r="H135" s="89" t="s">
        <v>805</v>
      </c>
      <c r="I135" s="66" t="s">
        <v>1204</v>
      </c>
      <c r="J135" s="90"/>
      <c r="K135" s="90"/>
      <c r="L135" s="90"/>
      <c r="M135" s="91"/>
      <c r="N135" s="91"/>
      <c r="O135" s="91"/>
    </row>
    <row r="136" spans="2:15" ht="69.75" customHeight="1" x14ac:dyDescent="0.3">
      <c r="B136" s="86">
        <v>133</v>
      </c>
      <c r="C136" s="63" t="s">
        <v>1205</v>
      </c>
      <c r="D136" s="87" t="s">
        <v>1206</v>
      </c>
      <c r="E136" s="64">
        <v>45657</v>
      </c>
      <c r="F136" s="88">
        <v>110582300</v>
      </c>
      <c r="G136" s="67" t="s">
        <v>951</v>
      </c>
      <c r="H136" s="89" t="s">
        <v>805</v>
      </c>
      <c r="I136" s="66" t="s">
        <v>1207</v>
      </c>
      <c r="J136" s="90"/>
      <c r="K136" s="90"/>
      <c r="L136" s="90"/>
      <c r="M136" s="91"/>
      <c r="N136" s="91"/>
      <c r="O136" s="91"/>
    </row>
    <row r="137" spans="2:15" ht="63" customHeight="1" x14ac:dyDescent="0.3">
      <c r="B137" s="86">
        <v>134</v>
      </c>
      <c r="C137" s="63" t="s">
        <v>1208</v>
      </c>
      <c r="D137" s="87" t="s">
        <v>1209</v>
      </c>
      <c r="E137" s="64">
        <v>45657</v>
      </c>
      <c r="F137" s="88">
        <v>4990100</v>
      </c>
      <c r="G137" s="67" t="s">
        <v>951</v>
      </c>
      <c r="H137" s="89" t="s">
        <v>805</v>
      </c>
      <c r="I137" s="66" t="s">
        <v>1176</v>
      </c>
      <c r="J137" s="90"/>
      <c r="K137" s="90"/>
      <c r="L137" s="90"/>
      <c r="M137" s="91"/>
      <c r="N137" s="91"/>
      <c r="O137" s="91"/>
    </row>
    <row r="138" spans="2:15" ht="48.75" customHeight="1" x14ac:dyDescent="0.3">
      <c r="B138" s="86">
        <v>135</v>
      </c>
      <c r="C138" s="63" t="s">
        <v>1210</v>
      </c>
      <c r="D138" s="87" t="s">
        <v>1211</v>
      </c>
      <c r="E138" s="64">
        <v>45657</v>
      </c>
      <c r="F138" s="88">
        <v>69283700</v>
      </c>
      <c r="G138" s="67" t="s">
        <v>951</v>
      </c>
      <c r="H138" s="89" t="s">
        <v>805</v>
      </c>
      <c r="I138" s="66" t="s">
        <v>1212</v>
      </c>
      <c r="J138" s="90"/>
      <c r="K138" s="90"/>
      <c r="L138" s="90"/>
      <c r="M138" s="91"/>
      <c r="N138" s="91"/>
      <c r="O138" s="91"/>
    </row>
    <row r="139" spans="2:15" ht="69.75" customHeight="1" x14ac:dyDescent="0.3">
      <c r="B139" s="86">
        <v>136</v>
      </c>
      <c r="C139" s="63" t="s">
        <v>1213</v>
      </c>
      <c r="D139" s="87" t="s">
        <v>1214</v>
      </c>
      <c r="E139" s="64">
        <v>45657</v>
      </c>
      <c r="F139" s="88">
        <v>1347800</v>
      </c>
      <c r="G139" s="65" t="s">
        <v>1215</v>
      </c>
      <c r="H139" s="89" t="s">
        <v>805</v>
      </c>
      <c r="I139" s="66" t="s">
        <v>1216</v>
      </c>
      <c r="J139" s="90"/>
      <c r="K139" s="90"/>
      <c r="L139" s="90"/>
      <c r="M139" s="91"/>
      <c r="N139" s="91"/>
      <c r="O139" s="91"/>
    </row>
    <row r="140" spans="2:15" ht="58.5" customHeight="1" x14ac:dyDescent="0.3">
      <c r="B140" s="86">
        <v>137</v>
      </c>
      <c r="C140" s="63" t="s">
        <v>1217</v>
      </c>
      <c r="D140" s="87" t="s">
        <v>1218</v>
      </c>
      <c r="E140" s="64">
        <v>45657</v>
      </c>
      <c r="F140" s="88">
        <v>2225500</v>
      </c>
      <c r="G140" s="65" t="s">
        <v>1215</v>
      </c>
      <c r="H140" s="89" t="s">
        <v>805</v>
      </c>
      <c r="I140" s="66" t="s">
        <v>1219</v>
      </c>
      <c r="J140" s="90"/>
      <c r="K140" s="90"/>
      <c r="L140" s="90"/>
      <c r="M140" s="91" t="s">
        <v>25</v>
      </c>
      <c r="N140" s="91" t="s">
        <v>892</v>
      </c>
      <c r="O140" s="91"/>
    </row>
    <row r="141" spans="2:15" ht="68.25" customHeight="1" x14ac:dyDescent="0.3">
      <c r="B141" s="86">
        <v>138</v>
      </c>
      <c r="C141" s="63" t="s">
        <v>1220</v>
      </c>
      <c r="D141" s="87" t="s">
        <v>1221</v>
      </c>
      <c r="E141" s="64">
        <v>45657</v>
      </c>
      <c r="F141" s="88">
        <v>5672800</v>
      </c>
      <c r="G141" s="67" t="s">
        <v>1215</v>
      </c>
      <c r="H141" s="89" t="s">
        <v>805</v>
      </c>
      <c r="I141" s="66" t="s">
        <v>824</v>
      </c>
      <c r="J141" s="90"/>
      <c r="K141" s="90"/>
      <c r="L141" s="90"/>
      <c r="M141" s="91"/>
      <c r="N141" s="91"/>
      <c r="O141" s="91"/>
    </row>
    <row r="142" spans="2:15" ht="61.5" customHeight="1" x14ac:dyDescent="0.3">
      <c r="B142" s="86">
        <v>139</v>
      </c>
      <c r="C142" s="63" t="s">
        <v>1222</v>
      </c>
      <c r="D142" s="87" t="s">
        <v>1223</v>
      </c>
      <c r="E142" s="64">
        <v>45657</v>
      </c>
      <c r="F142" s="88">
        <v>11972800</v>
      </c>
      <c r="G142" s="67" t="s">
        <v>1215</v>
      </c>
      <c r="H142" s="89" t="s">
        <v>805</v>
      </c>
      <c r="I142" s="66" t="s">
        <v>1224</v>
      </c>
      <c r="J142" s="90"/>
      <c r="K142" s="90"/>
      <c r="L142" s="90"/>
      <c r="M142" s="91"/>
      <c r="N142" s="91"/>
      <c r="O142" s="91"/>
    </row>
    <row r="143" spans="2:15" ht="66" customHeight="1" x14ac:dyDescent="0.3">
      <c r="B143" s="86">
        <v>140</v>
      </c>
      <c r="C143" s="63" t="s">
        <v>209</v>
      </c>
      <c r="D143" s="87" t="s">
        <v>1225</v>
      </c>
      <c r="E143" s="64">
        <v>45657</v>
      </c>
      <c r="F143" s="88">
        <v>2570900</v>
      </c>
      <c r="G143" s="67" t="s">
        <v>1215</v>
      </c>
      <c r="H143" s="89" t="s">
        <v>805</v>
      </c>
      <c r="I143" s="66" t="s">
        <v>1226</v>
      </c>
      <c r="J143" s="90"/>
      <c r="K143" s="90"/>
      <c r="L143" s="90"/>
      <c r="M143" s="91" t="s">
        <v>25</v>
      </c>
      <c r="N143" s="91" t="s">
        <v>892</v>
      </c>
      <c r="O143" s="91"/>
    </row>
    <row r="144" spans="2:15" ht="59.25" customHeight="1" x14ac:dyDescent="0.3">
      <c r="B144" s="86">
        <v>141</v>
      </c>
      <c r="C144" s="63" t="s">
        <v>1227</v>
      </c>
      <c r="D144" s="87" t="s">
        <v>1228</v>
      </c>
      <c r="E144" s="64">
        <v>45657</v>
      </c>
      <c r="F144" s="88">
        <v>1125400</v>
      </c>
      <c r="G144" s="67" t="s">
        <v>1215</v>
      </c>
      <c r="H144" s="89" t="s">
        <v>805</v>
      </c>
      <c r="I144" s="66" t="s">
        <v>1229</v>
      </c>
      <c r="J144" s="90"/>
      <c r="K144" s="90"/>
      <c r="L144" s="90"/>
      <c r="M144" s="91"/>
      <c r="N144" s="91"/>
      <c r="O144" s="91"/>
    </row>
    <row r="145" spans="2:15" ht="56.25" customHeight="1" x14ac:dyDescent="0.3">
      <c r="B145" s="86">
        <v>142</v>
      </c>
      <c r="C145" s="63" t="s">
        <v>1230</v>
      </c>
      <c r="D145" s="87" t="s">
        <v>1231</v>
      </c>
      <c r="E145" s="64">
        <v>45657</v>
      </c>
      <c r="F145" s="88">
        <v>1452100</v>
      </c>
      <c r="G145" s="67" t="s">
        <v>1215</v>
      </c>
      <c r="H145" s="89" t="s">
        <v>805</v>
      </c>
      <c r="I145" s="66" t="s">
        <v>1232</v>
      </c>
      <c r="J145" s="90"/>
      <c r="K145" s="90"/>
      <c r="L145" s="90"/>
      <c r="M145" s="91"/>
      <c r="N145" s="91"/>
      <c r="O145" s="91"/>
    </row>
    <row r="146" spans="2:15" ht="56.25" customHeight="1" x14ac:dyDescent="0.3">
      <c r="B146" s="86">
        <v>143</v>
      </c>
      <c r="C146" s="63" t="s">
        <v>1233</v>
      </c>
      <c r="D146" s="87" t="s">
        <v>1234</v>
      </c>
      <c r="E146" s="64">
        <v>45657</v>
      </c>
      <c r="F146" s="88">
        <v>2308600</v>
      </c>
      <c r="G146" s="67" t="s">
        <v>1235</v>
      </c>
      <c r="H146" s="89" t="s">
        <v>805</v>
      </c>
      <c r="I146" s="66" t="s">
        <v>867</v>
      </c>
      <c r="J146" s="90"/>
      <c r="K146" s="90"/>
      <c r="L146" s="90"/>
      <c r="M146" s="91"/>
      <c r="N146" s="91"/>
      <c r="O146" s="91"/>
    </row>
    <row r="147" spans="2:15" ht="32.25" customHeight="1" x14ac:dyDescent="0.3">
      <c r="B147" s="86">
        <v>144</v>
      </c>
      <c r="C147" s="63" t="s">
        <v>1236</v>
      </c>
      <c r="D147" s="87" t="s">
        <v>1237</v>
      </c>
      <c r="E147" s="64">
        <v>45657</v>
      </c>
      <c r="F147" s="88">
        <v>4502200</v>
      </c>
      <c r="G147" s="67" t="s">
        <v>1235</v>
      </c>
      <c r="H147" s="89" t="s">
        <v>805</v>
      </c>
      <c r="I147" s="66" t="s">
        <v>1238</v>
      </c>
      <c r="J147" s="90"/>
      <c r="K147" s="90"/>
      <c r="L147" s="90"/>
      <c r="M147" s="91" t="s">
        <v>25</v>
      </c>
      <c r="N147" s="91"/>
      <c r="O147" s="91"/>
    </row>
    <row r="148" spans="2:15" ht="72" customHeight="1" x14ac:dyDescent="0.3">
      <c r="B148" s="86">
        <v>145</v>
      </c>
      <c r="C148" s="63" t="s">
        <v>1239</v>
      </c>
      <c r="D148" s="87" t="s">
        <v>1240</v>
      </c>
      <c r="E148" s="64">
        <v>45657</v>
      </c>
      <c r="F148" s="88">
        <v>2295500</v>
      </c>
      <c r="G148" s="67" t="s">
        <v>1235</v>
      </c>
      <c r="H148" s="89" t="s">
        <v>805</v>
      </c>
      <c r="I148" s="66" t="s">
        <v>824</v>
      </c>
      <c r="J148" s="90"/>
      <c r="K148" s="90"/>
      <c r="L148" s="90"/>
      <c r="M148" s="91"/>
      <c r="N148" s="91" t="s">
        <v>1241</v>
      </c>
      <c r="O148" s="91"/>
    </row>
    <row r="149" spans="2:15" ht="59.25" customHeight="1" x14ac:dyDescent="0.3">
      <c r="B149" s="86">
        <v>146</v>
      </c>
      <c r="C149" s="63" t="s">
        <v>1242</v>
      </c>
      <c r="D149" s="87" t="s">
        <v>1243</v>
      </c>
      <c r="E149" s="64">
        <v>45657</v>
      </c>
      <c r="F149" s="88">
        <v>1436100</v>
      </c>
      <c r="G149" s="67" t="s">
        <v>1235</v>
      </c>
      <c r="H149" s="89" t="s">
        <v>805</v>
      </c>
      <c r="I149" s="66" t="s">
        <v>1244</v>
      </c>
      <c r="J149" s="90"/>
      <c r="K149" s="90"/>
      <c r="L149" s="90"/>
      <c r="M149" s="91"/>
      <c r="N149" s="91"/>
      <c r="O149" s="91"/>
    </row>
    <row r="150" spans="2:15" ht="75" customHeight="1" x14ac:dyDescent="0.3">
      <c r="B150" s="86">
        <v>147</v>
      </c>
      <c r="C150" s="63" t="s">
        <v>732</v>
      </c>
      <c r="D150" s="87" t="s">
        <v>1245</v>
      </c>
      <c r="E150" s="64">
        <v>45657</v>
      </c>
      <c r="F150" s="88">
        <v>2074500</v>
      </c>
      <c r="G150" s="67" t="s">
        <v>1235</v>
      </c>
      <c r="H150" s="89" t="s">
        <v>805</v>
      </c>
      <c r="I150" s="66" t="s">
        <v>867</v>
      </c>
      <c r="J150" s="90"/>
      <c r="K150" s="90"/>
      <c r="L150" s="90"/>
      <c r="M150" s="91"/>
      <c r="N150" s="91"/>
      <c r="O150" s="91"/>
    </row>
    <row r="151" spans="2:15" ht="69.75" customHeight="1" x14ac:dyDescent="0.3">
      <c r="B151" s="86">
        <v>148</v>
      </c>
      <c r="C151" s="63" t="s">
        <v>916</v>
      </c>
      <c r="D151" s="87" t="s">
        <v>1246</v>
      </c>
      <c r="E151" s="64">
        <v>45657</v>
      </c>
      <c r="F151" s="88">
        <v>1955000</v>
      </c>
      <c r="G151" s="67" t="s">
        <v>1235</v>
      </c>
      <c r="H151" s="89" t="s">
        <v>805</v>
      </c>
      <c r="I151" s="66" t="s">
        <v>1247</v>
      </c>
      <c r="J151" s="90"/>
      <c r="K151" s="90"/>
      <c r="L151" s="90"/>
      <c r="M151" s="91" t="s">
        <v>25</v>
      </c>
      <c r="N151" s="91"/>
      <c r="O151" s="91"/>
    </row>
    <row r="152" spans="2:15" ht="84.75" customHeight="1" x14ac:dyDescent="0.3">
      <c r="B152" s="86">
        <v>149</v>
      </c>
      <c r="C152" s="63" t="s">
        <v>1248</v>
      </c>
      <c r="D152" s="87" t="s">
        <v>1249</v>
      </c>
      <c r="E152" s="64">
        <v>45657</v>
      </c>
      <c r="F152" s="88">
        <v>3769800</v>
      </c>
      <c r="G152" s="67" t="s">
        <v>1250</v>
      </c>
      <c r="H152" s="89" t="s">
        <v>805</v>
      </c>
      <c r="I152" s="66" t="s">
        <v>824</v>
      </c>
      <c r="J152" s="90"/>
      <c r="K152" s="90"/>
      <c r="L152" s="90"/>
      <c r="M152" s="91"/>
      <c r="N152" s="91"/>
      <c r="O152" s="91"/>
    </row>
    <row r="153" spans="2:15" ht="63" customHeight="1" x14ac:dyDescent="0.3">
      <c r="B153" s="86">
        <v>150</v>
      </c>
      <c r="C153" s="63" t="s">
        <v>209</v>
      </c>
      <c r="D153" s="87" t="s">
        <v>1251</v>
      </c>
      <c r="E153" s="64">
        <v>45657</v>
      </c>
      <c r="F153" s="88">
        <v>2570900</v>
      </c>
      <c r="G153" s="67" t="s">
        <v>1252</v>
      </c>
      <c r="H153" s="89" t="s">
        <v>805</v>
      </c>
      <c r="I153" s="66" t="s">
        <v>1253</v>
      </c>
      <c r="J153" s="90"/>
      <c r="K153" s="90"/>
      <c r="L153" s="90"/>
      <c r="M153" s="91" t="s">
        <v>25</v>
      </c>
      <c r="N153" s="91"/>
      <c r="O153" s="91"/>
    </row>
    <row r="154" spans="2:15" ht="48.75" customHeight="1" x14ac:dyDescent="0.3">
      <c r="B154" s="86">
        <v>151</v>
      </c>
      <c r="C154" s="63" t="s">
        <v>1254</v>
      </c>
      <c r="D154" s="87" t="s">
        <v>1255</v>
      </c>
      <c r="E154" s="64">
        <v>45657</v>
      </c>
      <c r="F154" s="88">
        <v>4208200</v>
      </c>
      <c r="G154" s="67" t="s">
        <v>1252</v>
      </c>
      <c r="H154" s="89" t="s">
        <v>805</v>
      </c>
      <c r="I154" s="66" t="s">
        <v>1256</v>
      </c>
      <c r="J154" s="90"/>
      <c r="K154" s="90"/>
      <c r="L154" s="90"/>
      <c r="M154" s="91" t="s">
        <v>25</v>
      </c>
      <c r="N154" s="91"/>
      <c r="O154" s="91"/>
    </row>
    <row r="155" spans="2:15" ht="77.25" customHeight="1" x14ac:dyDescent="0.3">
      <c r="B155" s="86">
        <v>152</v>
      </c>
      <c r="C155" s="63" t="s">
        <v>1257</v>
      </c>
      <c r="D155" s="87" t="s">
        <v>1258</v>
      </c>
      <c r="E155" s="64">
        <v>45657</v>
      </c>
      <c r="F155" s="88">
        <v>5233700</v>
      </c>
      <c r="G155" s="67" t="s">
        <v>1252</v>
      </c>
      <c r="H155" s="89" t="s">
        <v>805</v>
      </c>
      <c r="I155" s="66" t="s">
        <v>1259</v>
      </c>
      <c r="J155" s="90"/>
      <c r="K155" s="90"/>
      <c r="L155" s="90"/>
      <c r="M155" s="91"/>
      <c r="N155" s="91"/>
      <c r="O155" s="91"/>
    </row>
    <row r="156" spans="2:15" ht="45.75" customHeight="1" x14ac:dyDescent="0.3">
      <c r="B156" s="86">
        <v>153</v>
      </c>
      <c r="C156" s="63" t="s">
        <v>1260</v>
      </c>
      <c r="D156" s="87" t="s">
        <v>1261</v>
      </c>
      <c r="E156" s="64">
        <v>45657</v>
      </c>
      <c r="F156" s="88">
        <v>1210900</v>
      </c>
      <c r="G156" s="67" t="s">
        <v>1262</v>
      </c>
      <c r="H156" s="89" t="s">
        <v>805</v>
      </c>
      <c r="I156" s="66"/>
      <c r="J156" s="90"/>
      <c r="K156" s="90"/>
      <c r="L156" s="90"/>
      <c r="M156" s="91"/>
      <c r="N156" s="91" t="s">
        <v>1263</v>
      </c>
      <c r="O156" s="91"/>
    </row>
    <row r="157" spans="2:15" ht="35.25" customHeight="1" x14ac:dyDescent="0.3">
      <c r="B157" s="86">
        <v>154</v>
      </c>
      <c r="C157" s="69" t="s">
        <v>1264</v>
      </c>
      <c r="D157" s="87" t="s">
        <v>1265</v>
      </c>
      <c r="E157" s="70">
        <v>45657</v>
      </c>
      <c r="F157" s="88">
        <v>173300000</v>
      </c>
      <c r="G157" s="67" t="s">
        <v>1266</v>
      </c>
      <c r="H157" s="89" t="s">
        <v>805</v>
      </c>
      <c r="I157" s="66" t="s">
        <v>1267</v>
      </c>
      <c r="J157" s="90"/>
      <c r="K157" s="90"/>
      <c r="L157" s="90"/>
      <c r="M157" s="91"/>
      <c r="N157" s="91"/>
      <c r="O157" s="91"/>
    </row>
    <row r="158" spans="2:15" ht="43.5" customHeight="1" x14ac:dyDescent="0.3">
      <c r="B158" s="86">
        <v>155</v>
      </c>
      <c r="C158" s="69" t="s">
        <v>1268</v>
      </c>
      <c r="D158" s="87" t="s">
        <v>1269</v>
      </c>
      <c r="E158" s="70">
        <v>45657</v>
      </c>
      <c r="F158" s="88">
        <v>12500000</v>
      </c>
      <c r="G158" s="67" t="s">
        <v>1266</v>
      </c>
      <c r="H158" s="89" t="s">
        <v>805</v>
      </c>
      <c r="I158" s="66" t="s">
        <v>1267</v>
      </c>
      <c r="J158" s="90"/>
      <c r="K158" s="90"/>
      <c r="L158" s="90"/>
      <c r="M158" s="91" t="s">
        <v>25</v>
      </c>
      <c r="N158" s="91"/>
      <c r="O158" s="91"/>
    </row>
    <row r="159" spans="2:15" ht="47.25" customHeight="1" x14ac:dyDescent="0.3">
      <c r="B159" s="86">
        <v>156</v>
      </c>
      <c r="C159" s="63" t="s">
        <v>1270</v>
      </c>
      <c r="D159" s="87" t="s">
        <v>1271</v>
      </c>
      <c r="E159" s="64">
        <v>45657</v>
      </c>
      <c r="F159" s="88">
        <v>701400</v>
      </c>
      <c r="G159" s="67" t="s">
        <v>1266</v>
      </c>
      <c r="H159" s="89" t="s">
        <v>805</v>
      </c>
      <c r="I159" s="66" t="s">
        <v>1272</v>
      </c>
      <c r="J159" s="90"/>
      <c r="K159" s="90"/>
      <c r="L159" s="90"/>
      <c r="M159" s="91"/>
      <c r="N159" s="91"/>
      <c r="O159" s="91"/>
    </row>
    <row r="160" spans="2:15" ht="45" customHeight="1" x14ac:dyDescent="0.3">
      <c r="B160" s="86">
        <v>157</v>
      </c>
      <c r="C160" s="63" t="s">
        <v>1273</v>
      </c>
      <c r="D160" s="87" t="s">
        <v>1274</v>
      </c>
      <c r="E160" s="64">
        <v>45657</v>
      </c>
      <c r="F160" s="88">
        <v>718600</v>
      </c>
      <c r="G160" s="65" t="s">
        <v>1266</v>
      </c>
      <c r="H160" s="89" t="s">
        <v>805</v>
      </c>
      <c r="I160" s="66" t="s">
        <v>1275</v>
      </c>
      <c r="J160" s="90"/>
      <c r="K160" s="90"/>
      <c r="L160" s="90"/>
      <c r="M160" s="91"/>
      <c r="N160" s="91"/>
      <c r="O160" s="91"/>
    </row>
    <row r="161" spans="2:15" ht="53.25" customHeight="1" x14ac:dyDescent="0.3">
      <c r="B161" s="86">
        <v>158</v>
      </c>
      <c r="C161" s="63" t="s">
        <v>878</v>
      </c>
      <c r="D161" s="87" t="s">
        <v>1276</v>
      </c>
      <c r="E161" s="64">
        <v>45657</v>
      </c>
      <c r="F161" s="88">
        <v>1024600</v>
      </c>
      <c r="G161" s="67" t="s">
        <v>1266</v>
      </c>
      <c r="H161" s="89" t="s">
        <v>805</v>
      </c>
      <c r="I161" s="66" t="s">
        <v>1277</v>
      </c>
      <c r="J161" s="90"/>
      <c r="K161" s="90"/>
      <c r="L161" s="90"/>
      <c r="M161" s="91" t="s">
        <v>25</v>
      </c>
      <c r="N161" s="91"/>
      <c r="O161" s="91"/>
    </row>
    <row r="162" spans="2:15" ht="53.25" customHeight="1" x14ac:dyDescent="0.3">
      <c r="B162" s="86">
        <v>159</v>
      </c>
      <c r="C162" s="63" t="s">
        <v>939</v>
      </c>
      <c r="D162" s="87" t="s">
        <v>1278</v>
      </c>
      <c r="E162" s="64">
        <v>45657</v>
      </c>
      <c r="F162" s="88">
        <v>921500</v>
      </c>
      <c r="G162" s="67" t="s">
        <v>1266</v>
      </c>
      <c r="H162" s="89" t="s">
        <v>805</v>
      </c>
      <c r="I162" s="66" t="s">
        <v>1279</v>
      </c>
      <c r="J162" s="90"/>
      <c r="K162" s="90"/>
      <c r="L162" s="90"/>
      <c r="M162" s="91"/>
      <c r="N162" s="91"/>
      <c r="O162" s="91"/>
    </row>
    <row r="163" spans="2:15" ht="78" customHeight="1" x14ac:dyDescent="0.3">
      <c r="B163" s="86">
        <v>160</v>
      </c>
      <c r="C163" s="63" t="s">
        <v>1280</v>
      </c>
      <c r="D163" s="87" t="s">
        <v>1281</v>
      </c>
      <c r="E163" s="64">
        <v>45657</v>
      </c>
      <c r="F163" s="88">
        <v>3569700</v>
      </c>
      <c r="G163" s="67" t="s">
        <v>1266</v>
      </c>
      <c r="H163" s="89" t="s">
        <v>805</v>
      </c>
      <c r="I163" s="66" t="s">
        <v>1282</v>
      </c>
      <c r="J163" s="90"/>
      <c r="K163" s="90"/>
      <c r="L163" s="90"/>
      <c r="M163" s="91" t="s">
        <v>25</v>
      </c>
      <c r="N163" s="91"/>
      <c r="O163" s="91"/>
    </row>
    <row r="164" spans="2:15" ht="25.5" x14ac:dyDescent="0.3">
      <c r="B164" s="86">
        <v>161</v>
      </c>
      <c r="C164" s="63" t="s">
        <v>700</v>
      </c>
      <c r="D164" s="87" t="s">
        <v>1283</v>
      </c>
      <c r="E164" s="64">
        <v>45657</v>
      </c>
      <c r="F164" s="88">
        <v>22300400</v>
      </c>
      <c r="G164" s="67" t="s">
        <v>1266</v>
      </c>
      <c r="H164" s="89" t="s">
        <v>805</v>
      </c>
      <c r="I164" s="66" t="s">
        <v>1284</v>
      </c>
      <c r="J164" s="90"/>
      <c r="K164" s="90"/>
      <c r="L164" s="90"/>
      <c r="M164" s="91" t="s">
        <v>25</v>
      </c>
      <c r="N164" s="91"/>
      <c r="O164" s="91"/>
    </row>
    <row r="165" spans="2:15" ht="103.5" customHeight="1" x14ac:dyDescent="0.3">
      <c r="B165" s="86">
        <v>162</v>
      </c>
      <c r="C165" s="63" t="s">
        <v>700</v>
      </c>
      <c r="D165" s="87" t="s">
        <v>1285</v>
      </c>
      <c r="E165" s="64">
        <v>45657</v>
      </c>
      <c r="F165" s="88">
        <v>2756200</v>
      </c>
      <c r="G165" s="67" t="s">
        <v>1266</v>
      </c>
      <c r="H165" s="89" t="s">
        <v>805</v>
      </c>
      <c r="I165" s="66" t="s">
        <v>1286</v>
      </c>
      <c r="J165" s="90"/>
      <c r="K165" s="90"/>
      <c r="L165" s="90"/>
      <c r="M165" s="91"/>
      <c r="N165" s="91"/>
      <c r="O165" s="91"/>
    </row>
    <row r="166" spans="2:15" ht="138" customHeight="1" x14ac:dyDescent="0.3">
      <c r="B166" s="86">
        <v>163</v>
      </c>
      <c r="C166" s="63" t="s">
        <v>1287</v>
      </c>
      <c r="D166" s="87" t="s">
        <v>1288</v>
      </c>
      <c r="E166" s="64">
        <v>45657</v>
      </c>
      <c r="F166" s="88">
        <v>2129700</v>
      </c>
      <c r="G166" s="67" t="s">
        <v>1266</v>
      </c>
      <c r="H166" s="89" t="s">
        <v>805</v>
      </c>
      <c r="I166" s="66" t="s">
        <v>1289</v>
      </c>
      <c r="J166" s="90"/>
      <c r="K166" s="90"/>
      <c r="L166" s="90"/>
      <c r="M166" s="91" t="s">
        <v>25</v>
      </c>
      <c r="N166" s="91"/>
      <c r="O166" s="91"/>
    </row>
    <row r="167" spans="2:15" ht="120" customHeight="1" x14ac:dyDescent="0.3">
      <c r="B167" s="86">
        <v>164</v>
      </c>
      <c r="C167" s="63" t="s">
        <v>1290</v>
      </c>
      <c r="D167" s="87" t="s">
        <v>1291</v>
      </c>
      <c r="E167" s="64">
        <v>45657</v>
      </c>
      <c r="F167" s="88">
        <v>3758400</v>
      </c>
      <c r="G167" s="68" t="s">
        <v>1292</v>
      </c>
      <c r="H167" s="89" t="s">
        <v>805</v>
      </c>
      <c r="I167" s="66" t="s">
        <v>824</v>
      </c>
      <c r="J167" s="90"/>
      <c r="K167" s="90"/>
      <c r="L167" s="90"/>
      <c r="M167" s="91"/>
      <c r="N167" s="91"/>
      <c r="O167" s="91"/>
    </row>
    <row r="168" spans="2:15" ht="61.5" customHeight="1" x14ac:dyDescent="0.3">
      <c r="B168" s="86">
        <v>165</v>
      </c>
      <c r="C168" s="63" t="s">
        <v>1293</v>
      </c>
      <c r="D168" s="87" t="s">
        <v>1294</v>
      </c>
      <c r="E168" s="64">
        <v>45657</v>
      </c>
      <c r="F168" s="88">
        <v>7639000</v>
      </c>
      <c r="G168" s="92" t="s">
        <v>1292</v>
      </c>
      <c r="H168" s="89" t="s">
        <v>805</v>
      </c>
      <c r="I168" s="66" t="s">
        <v>811</v>
      </c>
      <c r="J168" s="90"/>
      <c r="K168" s="90"/>
      <c r="L168" s="90"/>
      <c r="M168" s="91"/>
      <c r="N168" s="91"/>
      <c r="O168" s="91"/>
    </row>
    <row r="169" spans="2:15" ht="72.75" customHeight="1" x14ac:dyDescent="0.3">
      <c r="B169" s="86">
        <v>166</v>
      </c>
      <c r="C169" s="63" t="s">
        <v>1295</v>
      </c>
      <c r="D169" s="87" t="s">
        <v>1296</v>
      </c>
      <c r="E169" s="64">
        <v>45657</v>
      </c>
      <c r="F169" s="88">
        <v>1858000</v>
      </c>
      <c r="G169" s="67" t="s">
        <v>1292</v>
      </c>
      <c r="H169" s="89" t="s">
        <v>805</v>
      </c>
      <c r="I169" s="66" t="s">
        <v>824</v>
      </c>
      <c r="J169" s="90"/>
      <c r="K169" s="90"/>
      <c r="L169" s="90"/>
      <c r="M169" s="91"/>
      <c r="N169" s="91"/>
      <c r="O169" s="91"/>
    </row>
    <row r="170" spans="2:15" ht="108" customHeight="1" x14ac:dyDescent="0.3">
      <c r="B170" s="86">
        <v>167</v>
      </c>
      <c r="C170" s="63" t="s">
        <v>1297</v>
      </c>
      <c r="D170" s="87" t="s">
        <v>1298</v>
      </c>
      <c r="E170" s="64">
        <v>45657</v>
      </c>
      <c r="F170" s="88">
        <v>1826000</v>
      </c>
      <c r="G170" s="65" t="s">
        <v>1292</v>
      </c>
      <c r="H170" s="89" t="s">
        <v>805</v>
      </c>
      <c r="I170" s="66" t="s">
        <v>1293</v>
      </c>
      <c r="J170" s="90"/>
      <c r="K170" s="90"/>
      <c r="L170" s="90"/>
      <c r="M170" s="91"/>
      <c r="N170" s="91"/>
      <c r="O170" s="91"/>
    </row>
    <row r="171" spans="2:15" ht="63.75" customHeight="1" x14ac:dyDescent="0.3">
      <c r="B171" s="86">
        <v>168</v>
      </c>
      <c r="C171" s="63" t="s">
        <v>1299</v>
      </c>
      <c r="D171" s="87" t="s">
        <v>1300</v>
      </c>
      <c r="E171" s="64">
        <v>45657</v>
      </c>
      <c r="F171" s="88">
        <v>1256600</v>
      </c>
      <c r="G171" s="67" t="s">
        <v>1292</v>
      </c>
      <c r="H171" s="89" t="s">
        <v>805</v>
      </c>
      <c r="I171" s="66" t="s">
        <v>1301</v>
      </c>
      <c r="J171" s="90"/>
      <c r="K171" s="90"/>
      <c r="L171" s="90"/>
      <c r="M171" s="91" t="s">
        <v>25</v>
      </c>
      <c r="N171" s="91"/>
      <c r="O171" s="91"/>
    </row>
    <row r="172" spans="2:15" ht="48" customHeight="1" x14ac:dyDescent="0.3">
      <c r="B172" s="86">
        <v>169</v>
      </c>
      <c r="C172" s="63" t="s">
        <v>1299</v>
      </c>
      <c r="D172" s="87" t="s">
        <v>1302</v>
      </c>
      <c r="E172" s="64">
        <v>45657</v>
      </c>
      <c r="F172" s="88">
        <v>1194900</v>
      </c>
      <c r="G172" s="67" t="s">
        <v>1292</v>
      </c>
      <c r="H172" s="89" t="s">
        <v>805</v>
      </c>
      <c r="I172" s="66" t="s">
        <v>1301</v>
      </c>
      <c r="J172" s="90"/>
      <c r="K172" s="90"/>
      <c r="L172" s="90"/>
      <c r="M172" s="91" t="s">
        <v>25</v>
      </c>
      <c r="N172" s="91"/>
      <c r="O172" s="91"/>
    </row>
    <row r="173" spans="2:15" ht="50.25" customHeight="1" x14ac:dyDescent="0.3">
      <c r="B173" s="86">
        <v>170</v>
      </c>
      <c r="C173" s="63" t="s">
        <v>1303</v>
      </c>
      <c r="D173" s="87" t="s">
        <v>1304</v>
      </c>
      <c r="E173" s="64">
        <v>45657</v>
      </c>
      <c r="F173" s="88">
        <v>1248100</v>
      </c>
      <c r="G173" s="67" t="s">
        <v>1292</v>
      </c>
      <c r="H173" s="89" t="s">
        <v>805</v>
      </c>
      <c r="I173" s="66" t="s">
        <v>1305</v>
      </c>
      <c r="J173" s="90"/>
      <c r="K173" s="90"/>
      <c r="L173" s="90"/>
      <c r="M173" s="91"/>
      <c r="N173" s="91"/>
      <c r="O173" s="91"/>
    </row>
    <row r="174" spans="2:15" ht="76.5" customHeight="1" x14ac:dyDescent="0.3">
      <c r="B174" s="86">
        <v>171</v>
      </c>
      <c r="C174" s="63" t="s">
        <v>1306</v>
      </c>
      <c r="D174" s="87" t="s">
        <v>1307</v>
      </c>
      <c r="E174" s="64">
        <v>45657</v>
      </c>
      <c r="F174" s="88">
        <v>3649400</v>
      </c>
      <c r="G174" s="67" t="s">
        <v>1292</v>
      </c>
      <c r="H174" s="89" t="s">
        <v>805</v>
      </c>
      <c r="I174" s="66" t="s">
        <v>1308</v>
      </c>
      <c r="J174" s="90"/>
      <c r="K174" s="90"/>
      <c r="L174" s="90"/>
      <c r="M174" s="91" t="s">
        <v>25</v>
      </c>
      <c r="N174" s="93" t="s">
        <v>2518</v>
      </c>
      <c r="O174" s="91"/>
    </row>
    <row r="175" spans="2:15" ht="95.25" customHeight="1" x14ac:dyDescent="0.3">
      <c r="B175" s="86">
        <v>172</v>
      </c>
      <c r="C175" s="63" t="s">
        <v>1309</v>
      </c>
      <c r="D175" s="87" t="s">
        <v>1310</v>
      </c>
      <c r="E175" s="64">
        <v>45657</v>
      </c>
      <c r="F175" s="88">
        <v>11506200</v>
      </c>
      <c r="G175" s="67" t="s">
        <v>1292</v>
      </c>
      <c r="H175" s="89" t="s">
        <v>805</v>
      </c>
      <c r="I175" s="66" t="s">
        <v>1311</v>
      </c>
      <c r="J175" s="90"/>
      <c r="K175" s="90"/>
      <c r="L175" s="90"/>
      <c r="M175" s="91" t="s">
        <v>25</v>
      </c>
      <c r="N175" s="93" t="s">
        <v>2519</v>
      </c>
      <c r="O175" s="91"/>
    </row>
    <row r="176" spans="2:15" ht="67.5" customHeight="1" x14ac:dyDescent="0.3">
      <c r="B176" s="86">
        <v>173</v>
      </c>
      <c r="C176" s="63" t="s">
        <v>1312</v>
      </c>
      <c r="D176" s="87" t="s">
        <v>1313</v>
      </c>
      <c r="E176" s="64">
        <v>45657</v>
      </c>
      <c r="F176" s="88">
        <v>101786200</v>
      </c>
      <c r="G176" s="67" t="s">
        <v>1292</v>
      </c>
      <c r="H176" s="89" t="s">
        <v>805</v>
      </c>
      <c r="I176" s="66" t="s">
        <v>1232</v>
      </c>
      <c r="J176" s="90"/>
      <c r="K176" s="90"/>
      <c r="L176" s="90"/>
      <c r="M176" s="91" t="s">
        <v>25</v>
      </c>
      <c r="N176" s="93" t="s">
        <v>2518</v>
      </c>
      <c r="O176" s="91"/>
    </row>
    <row r="177" spans="2:15" ht="99" customHeight="1" x14ac:dyDescent="0.3">
      <c r="B177" s="86">
        <v>174</v>
      </c>
      <c r="C177" s="63" t="s">
        <v>1257</v>
      </c>
      <c r="D177" s="87" t="s">
        <v>1314</v>
      </c>
      <c r="E177" s="64">
        <v>45657</v>
      </c>
      <c r="F177" s="88">
        <v>2458000</v>
      </c>
      <c r="G177" s="67" t="s">
        <v>1292</v>
      </c>
      <c r="H177" s="89" t="s">
        <v>805</v>
      </c>
      <c r="I177" s="66" t="s">
        <v>867</v>
      </c>
      <c r="J177" s="90"/>
      <c r="K177" s="90"/>
      <c r="L177" s="90"/>
      <c r="M177" s="91"/>
      <c r="N177" s="91"/>
      <c r="O177" s="91"/>
    </row>
    <row r="178" spans="2:15" ht="84.75" customHeight="1" x14ac:dyDescent="0.3">
      <c r="B178" s="86">
        <v>175</v>
      </c>
      <c r="C178" s="63" t="s">
        <v>1315</v>
      </c>
      <c r="D178" s="87" t="s">
        <v>1316</v>
      </c>
      <c r="E178" s="64">
        <v>45657</v>
      </c>
      <c r="F178" s="88">
        <v>829500</v>
      </c>
      <c r="G178" s="67" t="s">
        <v>1292</v>
      </c>
      <c r="H178" s="89" t="s">
        <v>805</v>
      </c>
      <c r="I178" s="66" t="s">
        <v>867</v>
      </c>
      <c r="J178" s="90"/>
      <c r="K178" s="90"/>
      <c r="L178" s="90"/>
      <c r="M178" s="91"/>
      <c r="N178" s="91"/>
      <c r="O178" s="91"/>
    </row>
    <row r="179" spans="2:15" ht="120.75" customHeight="1" x14ac:dyDescent="0.3">
      <c r="B179" s="86">
        <v>176</v>
      </c>
      <c r="C179" s="63" t="s">
        <v>1317</v>
      </c>
      <c r="D179" s="87" t="s">
        <v>1318</v>
      </c>
      <c r="E179" s="64">
        <v>45657</v>
      </c>
      <c r="F179" s="88">
        <v>2129000</v>
      </c>
      <c r="G179" s="67" t="s">
        <v>1292</v>
      </c>
      <c r="H179" s="89" t="s">
        <v>805</v>
      </c>
      <c r="I179" s="66" t="s">
        <v>867</v>
      </c>
      <c r="J179" s="90"/>
      <c r="K179" s="90"/>
      <c r="L179" s="90"/>
      <c r="M179" s="91"/>
      <c r="N179" s="91"/>
      <c r="O179" s="91"/>
    </row>
    <row r="180" spans="2:15" ht="99.95" customHeight="1" x14ac:dyDescent="0.3">
      <c r="B180" s="86">
        <v>177</v>
      </c>
      <c r="C180" s="63" t="s">
        <v>1319</v>
      </c>
      <c r="D180" s="87" t="s">
        <v>1320</v>
      </c>
      <c r="E180" s="64">
        <v>45657</v>
      </c>
      <c r="F180" s="88">
        <v>1029900</v>
      </c>
      <c r="G180" s="67" t="s">
        <v>1292</v>
      </c>
      <c r="H180" s="89" t="s">
        <v>805</v>
      </c>
      <c r="I180" s="66" t="s">
        <v>1321</v>
      </c>
      <c r="J180" s="90"/>
      <c r="K180" s="90"/>
      <c r="L180" s="90"/>
      <c r="M180" s="91"/>
      <c r="N180" s="91"/>
      <c r="O180" s="91"/>
    </row>
    <row r="181" spans="2:15" ht="90.75" customHeight="1" x14ac:dyDescent="0.3">
      <c r="B181" s="86">
        <v>178</v>
      </c>
      <c r="C181" s="63" t="s">
        <v>1322</v>
      </c>
      <c r="D181" s="87" t="s">
        <v>1323</v>
      </c>
      <c r="E181" s="64">
        <v>45657</v>
      </c>
      <c r="F181" s="88">
        <v>2107400</v>
      </c>
      <c r="G181" s="67" t="s">
        <v>1292</v>
      </c>
      <c r="H181" s="89" t="s">
        <v>805</v>
      </c>
      <c r="I181" s="66" t="s">
        <v>1324</v>
      </c>
      <c r="J181" s="90"/>
      <c r="K181" s="90"/>
      <c r="L181" s="90"/>
      <c r="M181" s="91" t="s">
        <v>25</v>
      </c>
      <c r="N181" s="93" t="s">
        <v>2520</v>
      </c>
      <c r="O181" s="91"/>
    </row>
    <row r="182" spans="2:15" ht="87.75" customHeight="1" x14ac:dyDescent="0.3">
      <c r="B182" s="86">
        <v>179</v>
      </c>
      <c r="C182" s="63" t="s">
        <v>1325</v>
      </c>
      <c r="D182" s="87" t="s">
        <v>1326</v>
      </c>
      <c r="E182" s="64">
        <v>45657</v>
      </c>
      <c r="F182" s="88">
        <v>3492600</v>
      </c>
      <c r="G182" s="67" t="s">
        <v>1292</v>
      </c>
      <c r="H182" s="89" t="s">
        <v>805</v>
      </c>
      <c r="I182" s="66" t="s">
        <v>1324</v>
      </c>
      <c r="J182" s="90"/>
      <c r="K182" s="90"/>
      <c r="L182" s="90"/>
      <c r="M182" s="91" t="s">
        <v>25</v>
      </c>
      <c r="N182" s="93" t="s">
        <v>2520</v>
      </c>
      <c r="O182" s="91"/>
    </row>
    <row r="183" spans="2:15" ht="111.75" customHeight="1" x14ac:dyDescent="0.3">
      <c r="B183" s="86">
        <v>180</v>
      </c>
      <c r="C183" s="63" t="s">
        <v>1327</v>
      </c>
      <c r="D183" s="87" t="s">
        <v>1328</v>
      </c>
      <c r="E183" s="64">
        <v>45657</v>
      </c>
      <c r="F183" s="88">
        <v>10413300</v>
      </c>
      <c r="G183" s="67" t="s">
        <v>1292</v>
      </c>
      <c r="H183" s="89" t="s">
        <v>805</v>
      </c>
      <c r="I183" s="66" t="s">
        <v>1324</v>
      </c>
      <c r="J183" s="90"/>
      <c r="K183" s="90"/>
      <c r="L183" s="90"/>
      <c r="M183" s="91"/>
      <c r="N183" s="91"/>
      <c r="O183" s="91"/>
    </row>
    <row r="184" spans="2:15" ht="87" customHeight="1" x14ac:dyDescent="0.3">
      <c r="B184" s="86">
        <v>181</v>
      </c>
      <c r="C184" s="63" t="s">
        <v>1329</v>
      </c>
      <c r="D184" s="87" t="s">
        <v>1330</v>
      </c>
      <c r="E184" s="64">
        <v>45657</v>
      </c>
      <c r="F184" s="88">
        <v>5262400</v>
      </c>
      <c r="G184" s="67" t="s">
        <v>1292</v>
      </c>
      <c r="H184" s="89" t="s">
        <v>805</v>
      </c>
      <c r="I184" s="66" t="s">
        <v>1324</v>
      </c>
      <c r="J184" s="90"/>
      <c r="K184" s="90"/>
      <c r="L184" s="90"/>
      <c r="M184" s="91" t="s">
        <v>25</v>
      </c>
      <c r="N184" s="93" t="s">
        <v>2520</v>
      </c>
      <c r="O184" s="91"/>
    </row>
    <row r="185" spans="2:15" ht="84" customHeight="1" x14ac:dyDescent="0.3">
      <c r="B185" s="86">
        <v>182</v>
      </c>
      <c r="C185" s="63" t="s">
        <v>1331</v>
      </c>
      <c r="D185" s="87" t="s">
        <v>1332</v>
      </c>
      <c r="E185" s="64">
        <v>45657</v>
      </c>
      <c r="F185" s="88">
        <v>712800</v>
      </c>
      <c r="G185" s="67" t="s">
        <v>1292</v>
      </c>
      <c r="H185" s="89" t="s">
        <v>805</v>
      </c>
      <c r="I185" s="66" t="s">
        <v>1324</v>
      </c>
      <c r="J185" s="90"/>
      <c r="K185" s="90"/>
      <c r="L185" s="90"/>
      <c r="M185" s="91"/>
      <c r="N185" s="91"/>
      <c r="O185" s="91"/>
    </row>
    <row r="186" spans="2:15" ht="97.5" customHeight="1" x14ac:dyDescent="0.3">
      <c r="B186" s="86">
        <v>183</v>
      </c>
      <c r="C186" s="63" t="s">
        <v>1333</v>
      </c>
      <c r="D186" s="87" t="s">
        <v>1334</v>
      </c>
      <c r="E186" s="64">
        <v>45657</v>
      </c>
      <c r="F186" s="88">
        <v>2773800</v>
      </c>
      <c r="G186" s="67" t="s">
        <v>1292</v>
      </c>
      <c r="H186" s="89" t="s">
        <v>805</v>
      </c>
      <c r="I186" s="66" t="s">
        <v>1292</v>
      </c>
      <c r="J186" s="90"/>
      <c r="K186" s="90"/>
      <c r="L186" s="90"/>
      <c r="M186" s="91"/>
      <c r="N186" s="91"/>
      <c r="O186" s="91"/>
    </row>
    <row r="187" spans="2:15" ht="93.75" customHeight="1" x14ac:dyDescent="0.3">
      <c r="B187" s="86">
        <v>184</v>
      </c>
      <c r="C187" s="63" t="s">
        <v>1335</v>
      </c>
      <c r="D187" s="87" t="s">
        <v>1336</v>
      </c>
      <c r="E187" s="64">
        <v>45657</v>
      </c>
      <c r="F187" s="88">
        <v>2441300</v>
      </c>
      <c r="G187" s="67" t="s">
        <v>1292</v>
      </c>
      <c r="H187" s="89" t="s">
        <v>805</v>
      </c>
      <c r="I187" s="66" t="s">
        <v>1337</v>
      </c>
      <c r="J187" s="90"/>
      <c r="K187" s="90"/>
      <c r="L187" s="90"/>
      <c r="M187" s="91"/>
      <c r="N187" s="91"/>
      <c r="O187" s="91"/>
    </row>
    <row r="188" spans="2:15" ht="72.75" customHeight="1" x14ac:dyDescent="0.3">
      <c r="B188" s="86">
        <v>185</v>
      </c>
      <c r="C188" s="63" t="s">
        <v>1335</v>
      </c>
      <c r="D188" s="87" t="s">
        <v>1338</v>
      </c>
      <c r="E188" s="64">
        <v>45657</v>
      </c>
      <c r="F188" s="88">
        <v>2509000</v>
      </c>
      <c r="G188" s="67" t="s">
        <v>1292</v>
      </c>
      <c r="H188" s="89" t="s">
        <v>805</v>
      </c>
      <c r="I188" s="66" t="s">
        <v>1339</v>
      </c>
      <c r="J188" s="90"/>
      <c r="K188" s="90"/>
      <c r="L188" s="90"/>
      <c r="M188" s="91"/>
      <c r="N188" s="91"/>
      <c r="O188" s="91"/>
    </row>
    <row r="189" spans="2:15" ht="68.25" customHeight="1" x14ac:dyDescent="0.3">
      <c r="B189" s="86">
        <v>186</v>
      </c>
      <c r="C189" s="63" t="s">
        <v>1340</v>
      </c>
      <c r="D189" s="87" t="s">
        <v>1341</v>
      </c>
      <c r="E189" s="64">
        <v>45657</v>
      </c>
      <c r="F189" s="88">
        <v>13692300</v>
      </c>
      <c r="G189" s="92" t="s">
        <v>1292</v>
      </c>
      <c r="H189" s="89" t="s">
        <v>805</v>
      </c>
      <c r="I189" s="66" t="s">
        <v>811</v>
      </c>
      <c r="J189" s="90"/>
      <c r="K189" s="90"/>
      <c r="L189" s="90"/>
      <c r="M189" s="91"/>
      <c r="N189" s="91"/>
      <c r="O189" s="91"/>
    </row>
    <row r="190" spans="2:15" ht="60.75" customHeight="1" x14ac:dyDescent="0.3">
      <c r="B190" s="86">
        <v>187</v>
      </c>
      <c r="C190" s="63" t="s">
        <v>1342</v>
      </c>
      <c r="D190" s="87" t="s">
        <v>1343</v>
      </c>
      <c r="E190" s="64">
        <v>45657</v>
      </c>
      <c r="F190" s="88">
        <v>2307600</v>
      </c>
      <c r="G190" s="67" t="s">
        <v>1292</v>
      </c>
      <c r="H190" s="89" t="s">
        <v>805</v>
      </c>
      <c r="I190" s="66" t="s">
        <v>1344</v>
      </c>
      <c r="J190" s="90"/>
      <c r="K190" s="90"/>
      <c r="L190" s="90"/>
      <c r="M190" s="91"/>
      <c r="N190" s="91"/>
      <c r="O190" s="91"/>
    </row>
    <row r="191" spans="2:15" ht="66" customHeight="1" x14ac:dyDescent="0.3">
      <c r="B191" s="86">
        <v>188</v>
      </c>
      <c r="C191" s="63" t="s">
        <v>1345</v>
      </c>
      <c r="D191" s="87" t="s">
        <v>1346</v>
      </c>
      <c r="E191" s="64">
        <v>45657</v>
      </c>
      <c r="F191" s="88">
        <v>44020000</v>
      </c>
      <c r="G191" s="67" t="s">
        <v>1292</v>
      </c>
      <c r="H191" s="89" t="s">
        <v>805</v>
      </c>
      <c r="I191" s="66" t="s">
        <v>1347</v>
      </c>
      <c r="J191" s="90"/>
      <c r="K191" s="90"/>
      <c r="L191" s="90"/>
      <c r="M191" s="91"/>
      <c r="N191" s="91"/>
      <c r="O191" s="91"/>
    </row>
    <row r="192" spans="2:15" ht="59.25" customHeight="1" x14ac:dyDescent="0.3">
      <c r="B192" s="86">
        <v>189</v>
      </c>
      <c r="C192" s="63" t="s">
        <v>575</v>
      </c>
      <c r="D192" s="87" t="s">
        <v>1348</v>
      </c>
      <c r="E192" s="64">
        <v>45657</v>
      </c>
      <c r="F192" s="88">
        <v>4851800</v>
      </c>
      <c r="G192" s="67" t="s">
        <v>1292</v>
      </c>
      <c r="H192" s="89" t="s">
        <v>805</v>
      </c>
      <c r="I192" s="66" t="s">
        <v>1349</v>
      </c>
      <c r="J192" s="90"/>
      <c r="K192" s="90"/>
      <c r="L192" s="90"/>
      <c r="M192" s="91"/>
      <c r="N192" s="91"/>
      <c r="O192" s="91"/>
    </row>
    <row r="193" spans="2:15" ht="60.75" customHeight="1" x14ac:dyDescent="0.3">
      <c r="B193" s="86">
        <v>190</v>
      </c>
      <c r="C193" s="63" t="s">
        <v>1350</v>
      </c>
      <c r="D193" s="87" t="s">
        <v>1351</v>
      </c>
      <c r="E193" s="64">
        <v>45657</v>
      </c>
      <c r="F193" s="88">
        <v>9656300</v>
      </c>
      <c r="G193" s="67" t="s">
        <v>1292</v>
      </c>
      <c r="H193" s="89" t="s">
        <v>805</v>
      </c>
      <c r="I193" s="66" t="s">
        <v>1352</v>
      </c>
      <c r="J193" s="90"/>
      <c r="K193" s="90"/>
      <c r="L193" s="90"/>
      <c r="M193" s="91" t="s">
        <v>25</v>
      </c>
      <c r="N193" s="91" t="s">
        <v>1353</v>
      </c>
      <c r="O193" s="91"/>
    </row>
    <row r="194" spans="2:15" ht="103.5" customHeight="1" x14ac:dyDescent="0.3">
      <c r="B194" s="86">
        <v>191</v>
      </c>
      <c r="C194" s="63" t="s">
        <v>575</v>
      </c>
      <c r="D194" s="87" t="s">
        <v>1354</v>
      </c>
      <c r="E194" s="64">
        <v>45657</v>
      </c>
      <c r="F194" s="88">
        <v>3313400</v>
      </c>
      <c r="G194" s="92" t="s">
        <v>1292</v>
      </c>
      <c r="H194" s="89" t="s">
        <v>805</v>
      </c>
      <c r="I194" s="89" t="s">
        <v>1115</v>
      </c>
      <c r="J194" s="90"/>
      <c r="K194" s="90"/>
      <c r="L194" s="90"/>
      <c r="M194" s="91"/>
      <c r="N194" s="91"/>
      <c r="O194" s="91"/>
    </row>
    <row r="195" spans="2:15" ht="98.25" customHeight="1" x14ac:dyDescent="0.3">
      <c r="B195" s="86">
        <v>192</v>
      </c>
      <c r="C195" s="63" t="s">
        <v>1355</v>
      </c>
      <c r="D195" s="87" t="s">
        <v>1356</v>
      </c>
      <c r="E195" s="64">
        <v>45657</v>
      </c>
      <c r="F195" s="88">
        <v>10988700</v>
      </c>
      <c r="G195" s="67" t="s">
        <v>1292</v>
      </c>
      <c r="H195" s="89" t="s">
        <v>805</v>
      </c>
      <c r="I195" s="66" t="s">
        <v>1357</v>
      </c>
      <c r="J195" s="90"/>
      <c r="K195" s="90"/>
      <c r="L195" s="90"/>
      <c r="M195" s="91" t="s">
        <v>25</v>
      </c>
      <c r="N195" s="93" t="s">
        <v>2521</v>
      </c>
      <c r="O195" s="91"/>
    </row>
    <row r="196" spans="2:15" ht="98.25" customHeight="1" x14ac:dyDescent="0.3">
      <c r="B196" s="86">
        <v>193</v>
      </c>
      <c r="C196" s="63" t="s">
        <v>1358</v>
      </c>
      <c r="D196" s="87" t="s">
        <v>1359</v>
      </c>
      <c r="E196" s="64">
        <v>45657</v>
      </c>
      <c r="F196" s="88">
        <v>9749200</v>
      </c>
      <c r="G196" s="67" t="s">
        <v>1292</v>
      </c>
      <c r="H196" s="89" t="s">
        <v>805</v>
      </c>
      <c r="I196" s="66" t="s">
        <v>1360</v>
      </c>
      <c r="J196" s="90"/>
      <c r="K196" s="90"/>
      <c r="L196" s="90"/>
      <c r="M196" s="91" t="s">
        <v>25</v>
      </c>
      <c r="N196" s="93"/>
      <c r="O196" s="91"/>
    </row>
    <row r="197" spans="2:15" ht="98.25" customHeight="1" x14ac:dyDescent="0.3">
      <c r="B197" s="86">
        <v>194</v>
      </c>
      <c r="C197" s="63" t="s">
        <v>548</v>
      </c>
      <c r="D197" s="87" t="s">
        <v>1361</v>
      </c>
      <c r="E197" s="64">
        <v>45657</v>
      </c>
      <c r="F197" s="88">
        <v>2556200</v>
      </c>
      <c r="G197" s="67" t="s">
        <v>1292</v>
      </c>
      <c r="H197" s="89" t="s">
        <v>805</v>
      </c>
      <c r="I197" s="66" t="s">
        <v>1362</v>
      </c>
      <c r="J197" s="90"/>
      <c r="K197" s="90"/>
      <c r="L197" s="90"/>
      <c r="M197" s="91"/>
      <c r="N197" s="93"/>
      <c r="O197" s="91"/>
    </row>
    <row r="198" spans="2:15" ht="80.25" customHeight="1" x14ac:dyDescent="0.3">
      <c r="B198" s="86">
        <v>195</v>
      </c>
      <c r="C198" s="63" t="s">
        <v>1363</v>
      </c>
      <c r="D198" s="87" t="s">
        <v>1364</v>
      </c>
      <c r="E198" s="64">
        <v>45657</v>
      </c>
      <c r="F198" s="88">
        <v>924200</v>
      </c>
      <c r="G198" s="67" t="s">
        <v>1292</v>
      </c>
      <c r="H198" s="89" t="s">
        <v>805</v>
      </c>
      <c r="I198" s="66" t="s">
        <v>1357</v>
      </c>
      <c r="J198" s="90"/>
      <c r="K198" s="90"/>
      <c r="L198" s="90"/>
      <c r="M198" s="91" t="s">
        <v>25</v>
      </c>
      <c r="N198" s="91"/>
      <c r="O198" s="91"/>
    </row>
    <row r="199" spans="2:15" ht="75.75" customHeight="1" x14ac:dyDescent="0.3">
      <c r="B199" s="86">
        <v>196</v>
      </c>
      <c r="C199" s="63" t="s">
        <v>1365</v>
      </c>
      <c r="D199" s="87" t="s">
        <v>1366</v>
      </c>
      <c r="E199" s="64">
        <v>45657</v>
      </c>
      <c r="F199" s="88">
        <v>4157300</v>
      </c>
      <c r="G199" s="67" t="s">
        <v>1292</v>
      </c>
      <c r="H199" s="89" t="s">
        <v>805</v>
      </c>
      <c r="I199" s="66" t="s">
        <v>1367</v>
      </c>
      <c r="J199" s="90"/>
      <c r="K199" s="90"/>
      <c r="L199" s="90"/>
      <c r="M199" s="91" t="s">
        <v>25</v>
      </c>
      <c r="N199" s="91" t="s">
        <v>2522</v>
      </c>
      <c r="O199" s="91"/>
    </row>
    <row r="200" spans="2:15" ht="45.75" customHeight="1" x14ac:dyDescent="0.3">
      <c r="B200" s="86">
        <v>197</v>
      </c>
      <c r="C200" s="63" t="s">
        <v>1368</v>
      </c>
      <c r="D200" s="87" t="s">
        <v>1369</v>
      </c>
      <c r="E200" s="64">
        <v>45657</v>
      </c>
      <c r="F200" s="88">
        <v>10470000</v>
      </c>
      <c r="G200" s="92" t="s">
        <v>1292</v>
      </c>
      <c r="H200" s="89" t="s">
        <v>805</v>
      </c>
      <c r="I200" s="89" t="s">
        <v>1115</v>
      </c>
      <c r="J200" s="90"/>
      <c r="K200" s="90"/>
      <c r="L200" s="90"/>
      <c r="M200" s="91"/>
      <c r="N200" s="91"/>
      <c r="O200" s="91"/>
    </row>
    <row r="201" spans="2:15" ht="66.75" customHeight="1" x14ac:dyDescent="0.3">
      <c r="B201" s="86">
        <v>198</v>
      </c>
      <c r="C201" s="63" t="s">
        <v>548</v>
      </c>
      <c r="D201" s="87" t="s">
        <v>1370</v>
      </c>
      <c r="E201" s="64">
        <v>45657</v>
      </c>
      <c r="F201" s="88">
        <v>2249500</v>
      </c>
      <c r="G201" s="67" t="s">
        <v>1292</v>
      </c>
      <c r="H201" s="89" t="s">
        <v>805</v>
      </c>
      <c r="I201" s="66" t="s">
        <v>1371</v>
      </c>
      <c r="J201" s="90"/>
      <c r="K201" s="90"/>
      <c r="L201" s="90"/>
      <c r="M201" s="91"/>
      <c r="N201" s="91"/>
      <c r="O201" s="91"/>
    </row>
    <row r="202" spans="2:15" ht="71.25" customHeight="1" x14ac:dyDescent="0.3">
      <c r="B202" s="86">
        <v>199</v>
      </c>
      <c r="C202" s="63" t="s">
        <v>575</v>
      </c>
      <c r="D202" s="87" t="s">
        <v>1372</v>
      </c>
      <c r="E202" s="64">
        <v>45657</v>
      </c>
      <c r="F202" s="88">
        <v>2544200</v>
      </c>
      <c r="G202" s="67" t="s">
        <v>1292</v>
      </c>
      <c r="H202" s="89" t="s">
        <v>805</v>
      </c>
      <c r="I202" s="66" t="s">
        <v>1373</v>
      </c>
      <c r="J202" s="90"/>
      <c r="K202" s="90"/>
      <c r="L202" s="90"/>
      <c r="M202" s="91"/>
      <c r="N202" s="91"/>
      <c r="O202" s="91"/>
    </row>
    <row r="203" spans="2:15" ht="96.75" customHeight="1" x14ac:dyDescent="0.3">
      <c r="B203" s="86">
        <v>200</v>
      </c>
      <c r="C203" s="63" t="s">
        <v>1133</v>
      </c>
      <c r="D203" s="87" t="s">
        <v>1374</v>
      </c>
      <c r="E203" s="64">
        <v>45657</v>
      </c>
      <c r="F203" s="88">
        <v>5235100</v>
      </c>
      <c r="G203" s="67" t="s">
        <v>1292</v>
      </c>
      <c r="H203" s="89" t="s">
        <v>805</v>
      </c>
      <c r="I203" s="66" t="s">
        <v>1375</v>
      </c>
      <c r="J203" s="90"/>
      <c r="K203" s="90"/>
      <c r="L203" s="90"/>
      <c r="M203" s="91"/>
      <c r="N203" s="91"/>
      <c r="O203" s="91"/>
    </row>
    <row r="204" spans="2:15" ht="85.5" customHeight="1" x14ac:dyDescent="0.3">
      <c r="B204" s="86">
        <v>201</v>
      </c>
      <c r="C204" s="63" t="s">
        <v>1376</v>
      </c>
      <c r="D204" s="87" t="s">
        <v>1377</v>
      </c>
      <c r="E204" s="64">
        <v>45657</v>
      </c>
      <c r="F204" s="88">
        <v>3018800</v>
      </c>
      <c r="G204" s="92" t="s">
        <v>1292</v>
      </c>
      <c r="H204" s="89" t="s">
        <v>805</v>
      </c>
      <c r="I204" s="89" t="s">
        <v>1115</v>
      </c>
      <c r="J204" s="90"/>
      <c r="K204" s="90"/>
      <c r="L204" s="90"/>
      <c r="M204" s="91"/>
      <c r="N204" s="91"/>
      <c r="O204" s="91"/>
    </row>
    <row r="205" spans="2:15" ht="56.25" customHeight="1" x14ac:dyDescent="0.3">
      <c r="B205" s="86">
        <v>202</v>
      </c>
      <c r="C205" s="63" t="s">
        <v>1378</v>
      </c>
      <c r="D205" s="87" t="s">
        <v>1379</v>
      </c>
      <c r="E205" s="64">
        <v>45657</v>
      </c>
      <c r="F205" s="88">
        <v>5168900</v>
      </c>
      <c r="G205" s="67" t="s">
        <v>1292</v>
      </c>
      <c r="H205" s="89" t="s">
        <v>805</v>
      </c>
      <c r="I205" s="66" t="s">
        <v>1380</v>
      </c>
      <c r="J205" s="90"/>
      <c r="K205" s="90"/>
      <c r="L205" s="90"/>
      <c r="M205" s="91"/>
      <c r="N205" s="91"/>
      <c r="O205" s="91"/>
    </row>
    <row r="206" spans="2:15" ht="75.75" customHeight="1" x14ac:dyDescent="0.3">
      <c r="B206" s="86">
        <v>203</v>
      </c>
      <c r="C206" s="63" t="s">
        <v>1381</v>
      </c>
      <c r="D206" s="87" t="s">
        <v>1382</v>
      </c>
      <c r="E206" s="64">
        <v>45657</v>
      </c>
      <c r="F206" s="88">
        <v>16327700</v>
      </c>
      <c r="G206" s="67" t="s">
        <v>1292</v>
      </c>
      <c r="H206" s="89" t="s">
        <v>805</v>
      </c>
      <c r="I206" s="66" t="s">
        <v>1383</v>
      </c>
      <c r="J206" s="90"/>
      <c r="K206" s="90"/>
      <c r="L206" s="90"/>
      <c r="M206" s="91"/>
      <c r="N206" s="91"/>
      <c r="O206" s="91"/>
    </row>
    <row r="207" spans="2:15" ht="81.75" customHeight="1" x14ac:dyDescent="0.3">
      <c r="B207" s="86">
        <v>204</v>
      </c>
      <c r="C207" s="63" t="s">
        <v>548</v>
      </c>
      <c r="D207" s="87" t="s">
        <v>1384</v>
      </c>
      <c r="E207" s="64">
        <v>45657</v>
      </c>
      <c r="F207" s="88">
        <v>1247800</v>
      </c>
      <c r="G207" s="67" t="s">
        <v>1292</v>
      </c>
      <c r="H207" s="89" t="s">
        <v>805</v>
      </c>
      <c r="I207" s="66" t="s">
        <v>1385</v>
      </c>
      <c r="J207" s="90"/>
      <c r="K207" s="90"/>
      <c r="L207" s="90"/>
      <c r="M207" s="91"/>
      <c r="N207" s="91"/>
      <c r="O207" s="91"/>
    </row>
    <row r="208" spans="2:15" ht="87.75" customHeight="1" x14ac:dyDescent="0.3">
      <c r="B208" s="86">
        <v>205</v>
      </c>
      <c r="C208" s="63" t="s">
        <v>1386</v>
      </c>
      <c r="D208" s="87" t="s">
        <v>1387</v>
      </c>
      <c r="E208" s="64">
        <v>45657</v>
      </c>
      <c r="F208" s="88">
        <v>3812300</v>
      </c>
      <c r="G208" s="67" t="s">
        <v>1292</v>
      </c>
      <c r="H208" s="89" t="s">
        <v>805</v>
      </c>
      <c r="I208" s="66" t="s">
        <v>1388</v>
      </c>
      <c r="J208" s="90"/>
      <c r="K208" s="90"/>
      <c r="L208" s="90"/>
      <c r="M208" s="91"/>
      <c r="N208" s="91"/>
      <c r="O208" s="91"/>
    </row>
    <row r="209" spans="2:15" ht="104.25" customHeight="1" x14ac:dyDescent="0.3">
      <c r="B209" s="86">
        <v>206</v>
      </c>
      <c r="C209" s="63" t="s">
        <v>1335</v>
      </c>
      <c r="D209" s="87" t="s">
        <v>1389</v>
      </c>
      <c r="E209" s="64">
        <v>45657</v>
      </c>
      <c r="F209" s="88">
        <v>3022500</v>
      </c>
      <c r="G209" s="67" t="s">
        <v>1292</v>
      </c>
      <c r="H209" s="89" t="s">
        <v>805</v>
      </c>
      <c r="I209" s="66" t="s">
        <v>1390</v>
      </c>
      <c r="J209" s="90"/>
      <c r="K209" s="90"/>
      <c r="L209" s="90"/>
      <c r="M209" s="91" t="s">
        <v>25</v>
      </c>
      <c r="N209" s="91"/>
      <c r="O209" s="91"/>
    </row>
    <row r="210" spans="2:15" ht="66.75" customHeight="1" x14ac:dyDescent="0.3">
      <c r="B210" s="86">
        <v>207</v>
      </c>
      <c r="C210" s="71" t="s">
        <v>1391</v>
      </c>
      <c r="D210" s="94" t="s">
        <v>1392</v>
      </c>
      <c r="E210" s="72">
        <v>45657</v>
      </c>
      <c r="F210" s="95">
        <v>1540100</v>
      </c>
      <c r="G210" s="73" t="s">
        <v>1393</v>
      </c>
      <c r="H210" s="96" t="s">
        <v>805</v>
      </c>
      <c r="I210" s="74" t="s">
        <v>1394</v>
      </c>
      <c r="J210" s="97"/>
      <c r="K210" s="97"/>
      <c r="L210" s="97"/>
      <c r="M210" s="91"/>
      <c r="N210" s="91"/>
      <c r="O210" s="91"/>
    </row>
    <row r="211" spans="2:15" ht="65.25" customHeight="1" x14ac:dyDescent="0.3">
      <c r="B211" s="86">
        <v>208</v>
      </c>
      <c r="C211" s="63" t="s">
        <v>1395</v>
      </c>
      <c r="D211" s="87" t="s">
        <v>1396</v>
      </c>
      <c r="E211" s="64">
        <v>45657</v>
      </c>
      <c r="F211" s="88">
        <v>744500</v>
      </c>
      <c r="G211" s="67" t="s">
        <v>1397</v>
      </c>
      <c r="H211" s="89" t="s">
        <v>805</v>
      </c>
      <c r="I211" s="66" t="s">
        <v>1398</v>
      </c>
      <c r="J211" s="90"/>
      <c r="K211" s="90"/>
      <c r="L211" s="90"/>
      <c r="M211" s="91"/>
      <c r="N211" s="98"/>
      <c r="O211" s="91"/>
    </row>
    <row r="212" spans="2:15" ht="84" customHeight="1" x14ac:dyDescent="0.3">
      <c r="B212" s="86">
        <v>209</v>
      </c>
      <c r="C212" s="63" t="s">
        <v>1399</v>
      </c>
      <c r="D212" s="87" t="s">
        <v>1400</v>
      </c>
      <c r="E212" s="64">
        <v>45657</v>
      </c>
      <c r="F212" s="88">
        <v>755100</v>
      </c>
      <c r="G212" s="67" t="s">
        <v>1397</v>
      </c>
      <c r="H212" s="89" t="s">
        <v>805</v>
      </c>
      <c r="I212" s="66" t="s">
        <v>824</v>
      </c>
      <c r="J212" s="90"/>
      <c r="K212" s="90"/>
      <c r="L212" s="90"/>
      <c r="M212" s="91" t="s">
        <v>25</v>
      </c>
      <c r="N212" s="98"/>
      <c r="O212" s="91"/>
    </row>
    <row r="213" spans="2:15" ht="78.75" customHeight="1" x14ac:dyDescent="0.3">
      <c r="B213" s="86">
        <v>210</v>
      </c>
      <c r="C213" s="63" t="s">
        <v>1401</v>
      </c>
      <c r="D213" s="87" t="s">
        <v>1402</v>
      </c>
      <c r="E213" s="64">
        <v>45657</v>
      </c>
      <c r="F213" s="88">
        <v>887200</v>
      </c>
      <c r="G213" s="67" t="s">
        <v>1397</v>
      </c>
      <c r="H213" s="89" t="s">
        <v>805</v>
      </c>
      <c r="I213" s="66" t="s">
        <v>824</v>
      </c>
      <c r="J213" s="90"/>
      <c r="K213" s="90"/>
      <c r="L213" s="90"/>
      <c r="M213" s="91"/>
      <c r="N213" s="98"/>
      <c r="O213" s="91"/>
    </row>
    <row r="214" spans="2:15" ht="93.75" customHeight="1" x14ac:dyDescent="0.3">
      <c r="B214" s="86">
        <v>211</v>
      </c>
      <c r="C214" s="63" t="s">
        <v>1403</v>
      </c>
      <c r="D214" s="87" t="s">
        <v>1404</v>
      </c>
      <c r="E214" s="64">
        <v>45657</v>
      </c>
      <c r="F214" s="88">
        <v>6741800</v>
      </c>
      <c r="G214" s="67" t="s">
        <v>1397</v>
      </c>
      <c r="H214" s="89" t="s">
        <v>805</v>
      </c>
      <c r="I214" s="66" t="s">
        <v>824</v>
      </c>
      <c r="J214" s="90"/>
      <c r="K214" s="90"/>
      <c r="L214" s="90"/>
      <c r="M214" s="91" t="s">
        <v>25</v>
      </c>
      <c r="N214" s="98" t="s">
        <v>1405</v>
      </c>
      <c r="O214" s="91"/>
    </row>
    <row r="215" spans="2:15" ht="141.75" customHeight="1" x14ac:dyDescent="0.3">
      <c r="B215" s="86">
        <v>212</v>
      </c>
      <c r="C215" s="63" t="s">
        <v>1406</v>
      </c>
      <c r="D215" s="87" t="s">
        <v>1407</v>
      </c>
      <c r="E215" s="64">
        <v>45657</v>
      </c>
      <c r="F215" s="88">
        <v>3630300</v>
      </c>
      <c r="G215" s="67" t="s">
        <v>1397</v>
      </c>
      <c r="H215" s="89" t="s">
        <v>805</v>
      </c>
      <c r="I215" s="66" t="s">
        <v>824</v>
      </c>
      <c r="J215" s="90"/>
      <c r="K215" s="90"/>
      <c r="L215" s="90"/>
      <c r="M215" s="91"/>
      <c r="N215" s="98" t="s">
        <v>1408</v>
      </c>
      <c r="O215" s="91"/>
    </row>
    <row r="216" spans="2:15" ht="90" customHeight="1" x14ac:dyDescent="0.3">
      <c r="B216" s="86">
        <v>213</v>
      </c>
      <c r="C216" s="63" t="s">
        <v>1409</v>
      </c>
      <c r="D216" s="87" t="s">
        <v>1410</v>
      </c>
      <c r="E216" s="64">
        <v>45657</v>
      </c>
      <c r="F216" s="88">
        <v>876100</v>
      </c>
      <c r="G216" s="67" t="s">
        <v>1397</v>
      </c>
      <c r="H216" s="89" t="s">
        <v>805</v>
      </c>
      <c r="I216" s="66" t="s">
        <v>824</v>
      </c>
      <c r="J216" s="90"/>
      <c r="K216" s="90"/>
      <c r="L216" s="90"/>
      <c r="M216" s="91" t="s">
        <v>25</v>
      </c>
      <c r="N216" s="98"/>
      <c r="O216" s="91"/>
    </row>
    <row r="217" spans="2:15" ht="97.5" customHeight="1" x14ac:dyDescent="0.3">
      <c r="B217" s="86">
        <v>214</v>
      </c>
      <c r="C217" s="63" t="s">
        <v>1411</v>
      </c>
      <c r="D217" s="87" t="s">
        <v>1412</v>
      </c>
      <c r="E217" s="64">
        <v>45657</v>
      </c>
      <c r="F217" s="88">
        <v>7135800</v>
      </c>
      <c r="G217" s="67" t="s">
        <v>1397</v>
      </c>
      <c r="H217" s="89" t="s">
        <v>805</v>
      </c>
      <c r="I217" s="66" t="s">
        <v>824</v>
      </c>
      <c r="J217" s="90"/>
      <c r="K217" s="90"/>
      <c r="L217" s="90"/>
      <c r="M217" s="91" t="s">
        <v>25</v>
      </c>
      <c r="N217" s="98" t="s">
        <v>1413</v>
      </c>
      <c r="O217" s="91"/>
    </row>
    <row r="218" spans="2:15" ht="78.75" customHeight="1" x14ac:dyDescent="0.3">
      <c r="B218" s="86">
        <v>215</v>
      </c>
      <c r="C218" s="63" t="s">
        <v>1414</v>
      </c>
      <c r="D218" s="87" t="s">
        <v>1415</v>
      </c>
      <c r="E218" s="64">
        <v>45657</v>
      </c>
      <c r="F218" s="88">
        <v>2369900</v>
      </c>
      <c r="G218" s="67" t="s">
        <v>1397</v>
      </c>
      <c r="H218" s="89" t="s">
        <v>805</v>
      </c>
      <c r="I218" s="66" t="s">
        <v>824</v>
      </c>
      <c r="J218" s="90"/>
      <c r="K218" s="90"/>
      <c r="L218" s="90"/>
      <c r="M218" s="91" t="s">
        <v>25</v>
      </c>
      <c r="N218" s="98" t="s">
        <v>1416</v>
      </c>
      <c r="O218" s="91"/>
    </row>
    <row r="219" spans="2:15" ht="109.5" customHeight="1" x14ac:dyDescent="0.3">
      <c r="B219" s="86">
        <v>216</v>
      </c>
      <c r="C219" s="63" t="s">
        <v>1417</v>
      </c>
      <c r="D219" s="87" t="s">
        <v>1418</v>
      </c>
      <c r="E219" s="64">
        <v>45657</v>
      </c>
      <c r="F219" s="88">
        <v>3769800</v>
      </c>
      <c r="G219" s="67" t="s">
        <v>1397</v>
      </c>
      <c r="H219" s="89" t="s">
        <v>805</v>
      </c>
      <c r="I219" s="66" t="s">
        <v>824</v>
      </c>
      <c r="J219" s="90"/>
      <c r="K219" s="90"/>
      <c r="L219" s="90"/>
      <c r="M219" s="91" t="s">
        <v>25</v>
      </c>
      <c r="N219" s="98" t="s">
        <v>1419</v>
      </c>
      <c r="O219" s="91"/>
    </row>
    <row r="220" spans="2:15" ht="38.25" x14ac:dyDescent="0.3">
      <c r="B220" s="86">
        <v>217</v>
      </c>
      <c r="C220" s="63" t="s">
        <v>1420</v>
      </c>
      <c r="D220" s="87" t="s">
        <v>1421</v>
      </c>
      <c r="E220" s="64">
        <v>45657</v>
      </c>
      <c r="F220" s="88">
        <v>816800</v>
      </c>
      <c r="G220" s="67" t="s">
        <v>1397</v>
      </c>
      <c r="H220" s="89" t="s">
        <v>805</v>
      </c>
      <c r="I220" s="66" t="s">
        <v>824</v>
      </c>
      <c r="J220" s="90"/>
      <c r="K220" s="90"/>
      <c r="L220" s="90"/>
      <c r="M220" s="91" t="s">
        <v>25</v>
      </c>
      <c r="N220" s="98" t="s">
        <v>1422</v>
      </c>
      <c r="O220" s="91"/>
    </row>
    <row r="221" spans="2:15" ht="102.75" customHeight="1" x14ac:dyDescent="0.3">
      <c r="B221" s="86">
        <v>218</v>
      </c>
      <c r="C221" s="63" t="s">
        <v>1423</v>
      </c>
      <c r="D221" s="87" t="s">
        <v>1424</v>
      </c>
      <c r="E221" s="64">
        <v>45657</v>
      </c>
      <c r="F221" s="88">
        <v>2950100</v>
      </c>
      <c r="G221" s="67" t="s">
        <v>1397</v>
      </c>
      <c r="H221" s="89" t="s">
        <v>805</v>
      </c>
      <c r="I221" s="66" t="s">
        <v>824</v>
      </c>
      <c r="J221" s="90"/>
      <c r="K221" s="90"/>
      <c r="L221" s="90"/>
      <c r="M221" s="91" t="s">
        <v>25</v>
      </c>
      <c r="N221" s="98" t="s">
        <v>1425</v>
      </c>
      <c r="O221" s="91"/>
    </row>
    <row r="222" spans="2:15" ht="106.5" customHeight="1" x14ac:dyDescent="0.3">
      <c r="B222" s="86">
        <v>219</v>
      </c>
      <c r="C222" s="63" t="s">
        <v>1426</v>
      </c>
      <c r="D222" s="87" t="s">
        <v>1427</v>
      </c>
      <c r="E222" s="64">
        <v>45657</v>
      </c>
      <c r="F222" s="88">
        <v>9002800</v>
      </c>
      <c r="G222" s="67" t="s">
        <v>1397</v>
      </c>
      <c r="H222" s="89" t="s">
        <v>805</v>
      </c>
      <c r="I222" s="66" t="s">
        <v>1428</v>
      </c>
      <c r="J222" s="90"/>
      <c r="K222" s="90"/>
      <c r="L222" s="90"/>
      <c r="M222" s="91"/>
      <c r="N222" s="98"/>
      <c r="O222" s="91"/>
    </row>
    <row r="223" spans="2:15" ht="115.5" customHeight="1" x14ac:dyDescent="0.3">
      <c r="B223" s="86">
        <v>220</v>
      </c>
      <c r="C223" s="63" t="s">
        <v>1429</v>
      </c>
      <c r="D223" s="87" t="s">
        <v>1430</v>
      </c>
      <c r="E223" s="64">
        <v>45657</v>
      </c>
      <c r="F223" s="88">
        <v>6925300</v>
      </c>
      <c r="G223" s="67" t="s">
        <v>1397</v>
      </c>
      <c r="H223" s="89" t="s">
        <v>805</v>
      </c>
      <c r="I223" s="66" t="s">
        <v>1428</v>
      </c>
      <c r="J223" s="90"/>
      <c r="K223" s="90"/>
      <c r="L223" s="90"/>
      <c r="M223" s="91"/>
      <c r="N223" s="98"/>
      <c r="O223" s="91"/>
    </row>
    <row r="224" spans="2:15" ht="85.5" customHeight="1" x14ac:dyDescent="0.3">
      <c r="B224" s="86">
        <v>221</v>
      </c>
      <c r="C224" s="63" t="s">
        <v>1431</v>
      </c>
      <c r="D224" s="87" t="s">
        <v>1432</v>
      </c>
      <c r="E224" s="64">
        <v>45657</v>
      </c>
      <c r="F224" s="88">
        <v>3982900</v>
      </c>
      <c r="G224" s="67" t="s">
        <v>1397</v>
      </c>
      <c r="H224" s="89" t="s">
        <v>805</v>
      </c>
      <c r="I224" s="66" t="s">
        <v>1433</v>
      </c>
      <c r="J224" s="90"/>
      <c r="K224" s="90"/>
      <c r="L224" s="90"/>
      <c r="M224" s="91"/>
      <c r="N224" s="98"/>
      <c r="O224" s="91"/>
    </row>
    <row r="225" spans="2:15" ht="93" customHeight="1" x14ac:dyDescent="0.3">
      <c r="B225" s="86">
        <v>222</v>
      </c>
      <c r="C225" s="63" t="s">
        <v>1434</v>
      </c>
      <c r="D225" s="87" t="s">
        <v>1435</v>
      </c>
      <c r="E225" s="64">
        <v>45657</v>
      </c>
      <c r="F225" s="88">
        <v>33669300</v>
      </c>
      <c r="G225" s="67" t="s">
        <v>1397</v>
      </c>
      <c r="H225" s="89" t="s">
        <v>805</v>
      </c>
      <c r="I225" s="66" t="s">
        <v>1433</v>
      </c>
      <c r="J225" s="90"/>
      <c r="K225" s="90"/>
      <c r="L225" s="90"/>
      <c r="M225" s="91" t="s">
        <v>25</v>
      </c>
      <c r="N225" s="98" t="s">
        <v>1436</v>
      </c>
      <c r="O225" s="91"/>
    </row>
    <row r="226" spans="2:15" ht="140.25" customHeight="1" x14ac:dyDescent="0.3">
      <c r="B226" s="86">
        <v>223</v>
      </c>
      <c r="C226" s="63" t="s">
        <v>1437</v>
      </c>
      <c r="D226" s="87" t="s">
        <v>1438</v>
      </c>
      <c r="E226" s="64">
        <v>45657</v>
      </c>
      <c r="F226" s="88">
        <v>992600</v>
      </c>
      <c r="G226" s="67" t="s">
        <v>1397</v>
      </c>
      <c r="H226" s="89" t="s">
        <v>805</v>
      </c>
      <c r="I226" s="66" t="s">
        <v>1433</v>
      </c>
      <c r="J226" s="90"/>
      <c r="K226" s="90"/>
      <c r="L226" s="90"/>
      <c r="M226" s="91"/>
      <c r="N226" s="98"/>
      <c r="O226" s="91"/>
    </row>
    <row r="227" spans="2:15" ht="45.75" customHeight="1" x14ac:dyDescent="0.3">
      <c r="B227" s="86">
        <v>224</v>
      </c>
      <c r="C227" s="63" t="s">
        <v>1439</v>
      </c>
      <c r="D227" s="87" t="s">
        <v>1440</v>
      </c>
      <c r="E227" s="64">
        <v>45657</v>
      </c>
      <c r="F227" s="88">
        <v>2155500</v>
      </c>
      <c r="G227" s="67" t="s">
        <v>1397</v>
      </c>
      <c r="H227" s="89" t="s">
        <v>805</v>
      </c>
      <c r="I227" s="66" t="s">
        <v>1433</v>
      </c>
      <c r="J227" s="90"/>
      <c r="K227" s="90"/>
      <c r="L227" s="90"/>
      <c r="M227" s="91"/>
      <c r="N227" s="98"/>
      <c r="O227" s="91"/>
    </row>
    <row r="228" spans="2:15" ht="126" customHeight="1" x14ac:dyDescent="0.3">
      <c r="B228" s="86">
        <v>225</v>
      </c>
      <c r="C228" s="63" t="s">
        <v>1441</v>
      </c>
      <c r="D228" s="87" t="s">
        <v>1442</v>
      </c>
      <c r="E228" s="64">
        <v>45657</v>
      </c>
      <c r="F228" s="88">
        <v>14725000</v>
      </c>
      <c r="G228" s="67" t="s">
        <v>1397</v>
      </c>
      <c r="H228" s="89" t="s">
        <v>805</v>
      </c>
      <c r="I228" s="66" t="s">
        <v>1443</v>
      </c>
      <c r="J228" s="90"/>
      <c r="K228" s="90"/>
      <c r="L228" s="90"/>
      <c r="M228" s="91" t="s">
        <v>25</v>
      </c>
      <c r="N228" s="98" t="s">
        <v>1416</v>
      </c>
      <c r="O228" s="91"/>
    </row>
    <row r="229" spans="2:15" ht="70.5" customHeight="1" x14ac:dyDescent="0.3">
      <c r="B229" s="86">
        <v>226</v>
      </c>
      <c r="C229" s="63" t="s">
        <v>1444</v>
      </c>
      <c r="D229" s="87" t="s">
        <v>1445</v>
      </c>
      <c r="E229" s="64">
        <v>45657</v>
      </c>
      <c r="F229" s="88">
        <v>9455000</v>
      </c>
      <c r="G229" s="67" t="s">
        <v>1397</v>
      </c>
      <c r="H229" s="89" t="s">
        <v>805</v>
      </c>
      <c r="I229" s="66" t="s">
        <v>1446</v>
      </c>
      <c r="J229" s="90"/>
      <c r="K229" s="90"/>
      <c r="L229" s="90"/>
      <c r="M229" s="91" t="s">
        <v>25</v>
      </c>
      <c r="N229" s="98" t="s">
        <v>1416</v>
      </c>
      <c r="O229" s="91"/>
    </row>
    <row r="230" spans="2:15" ht="100.5" customHeight="1" x14ac:dyDescent="0.3">
      <c r="B230" s="86">
        <v>227</v>
      </c>
      <c r="C230" s="63" t="s">
        <v>1447</v>
      </c>
      <c r="D230" s="87" t="s">
        <v>1448</v>
      </c>
      <c r="E230" s="64">
        <v>45657</v>
      </c>
      <c r="F230" s="88">
        <v>1074400</v>
      </c>
      <c r="G230" s="67" t="s">
        <v>1397</v>
      </c>
      <c r="H230" s="89" t="s">
        <v>805</v>
      </c>
      <c r="I230" s="66" t="s">
        <v>1449</v>
      </c>
      <c r="J230" s="90"/>
      <c r="K230" s="90"/>
      <c r="L230" s="90"/>
      <c r="M230" s="91" t="s">
        <v>25</v>
      </c>
      <c r="N230" s="98" t="s">
        <v>13</v>
      </c>
      <c r="O230" s="91"/>
    </row>
    <row r="231" spans="2:15" ht="49.5" customHeight="1" x14ac:dyDescent="0.3">
      <c r="B231" s="86">
        <v>228</v>
      </c>
      <c r="C231" s="63" t="s">
        <v>1450</v>
      </c>
      <c r="D231" s="87" t="s">
        <v>1451</v>
      </c>
      <c r="E231" s="64">
        <v>45657</v>
      </c>
      <c r="F231" s="88">
        <v>10056900</v>
      </c>
      <c r="G231" s="67" t="s">
        <v>1397</v>
      </c>
      <c r="H231" s="89" t="s">
        <v>805</v>
      </c>
      <c r="I231" s="66" t="s">
        <v>1452</v>
      </c>
      <c r="J231" s="90"/>
      <c r="K231" s="90"/>
      <c r="L231" s="90"/>
      <c r="M231" s="91"/>
      <c r="N231" s="98"/>
      <c r="O231" s="91"/>
    </row>
    <row r="232" spans="2:15" ht="78" customHeight="1" x14ac:dyDescent="0.3">
      <c r="B232" s="86">
        <v>229</v>
      </c>
      <c r="C232" s="63" t="s">
        <v>466</v>
      </c>
      <c r="D232" s="87" t="s">
        <v>1453</v>
      </c>
      <c r="E232" s="64">
        <v>45657</v>
      </c>
      <c r="F232" s="88">
        <v>1588500</v>
      </c>
      <c r="G232" s="67" t="s">
        <v>1397</v>
      </c>
      <c r="H232" s="89" t="s">
        <v>805</v>
      </c>
      <c r="I232" s="66" t="s">
        <v>1454</v>
      </c>
      <c r="J232" s="90"/>
      <c r="K232" s="90"/>
      <c r="L232" s="90"/>
      <c r="M232" s="91" t="s">
        <v>25</v>
      </c>
      <c r="N232" s="98" t="s">
        <v>1455</v>
      </c>
      <c r="O232" s="91"/>
    </row>
    <row r="233" spans="2:15" ht="54" customHeight="1" x14ac:dyDescent="0.3">
      <c r="B233" s="86">
        <v>230</v>
      </c>
      <c r="C233" s="63" t="s">
        <v>1456</v>
      </c>
      <c r="D233" s="87" t="s">
        <v>1457</v>
      </c>
      <c r="E233" s="64">
        <v>45657</v>
      </c>
      <c r="F233" s="88">
        <v>652500</v>
      </c>
      <c r="G233" s="67" t="s">
        <v>1397</v>
      </c>
      <c r="H233" s="89" t="s">
        <v>805</v>
      </c>
      <c r="I233" s="89" t="s">
        <v>1458</v>
      </c>
      <c r="J233" s="90"/>
      <c r="K233" s="90"/>
      <c r="L233" s="90"/>
      <c r="M233" s="91" t="s">
        <v>25</v>
      </c>
      <c r="N233" s="98" t="s">
        <v>1422</v>
      </c>
      <c r="O233" s="91"/>
    </row>
    <row r="234" spans="2:15" ht="75.75" customHeight="1" x14ac:dyDescent="0.3">
      <c r="B234" s="86">
        <v>231</v>
      </c>
      <c r="C234" s="63" t="s">
        <v>1459</v>
      </c>
      <c r="D234" s="87" t="s">
        <v>1460</v>
      </c>
      <c r="E234" s="64">
        <v>45657</v>
      </c>
      <c r="F234" s="88">
        <v>687000</v>
      </c>
      <c r="G234" s="67" t="s">
        <v>1397</v>
      </c>
      <c r="H234" s="89" t="s">
        <v>805</v>
      </c>
      <c r="I234" s="89" t="s">
        <v>1461</v>
      </c>
      <c r="J234" s="90"/>
      <c r="K234" s="90"/>
      <c r="L234" s="90"/>
      <c r="M234" s="91"/>
      <c r="N234" s="98"/>
      <c r="O234" s="91"/>
    </row>
    <row r="235" spans="2:15" ht="99.75" customHeight="1" x14ac:dyDescent="0.3">
      <c r="B235" s="86">
        <v>232</v>
      </c>
      <c r="C235" s="63" t="s">
        <v>1462</v>
      </c>
      <c r="D235" s="87" t="s">
        <v>1463</v>
      </c>
      <c r="E235" s="64">
        <v>45657</v>
      </c>
      <c r="F235" s="88">
        <v>1431100</v>
      </c>
      <c r="G235" s="67" t="s">
        <v>1464</v>
      </c>
      <c r="H235" s="89" t="s">
        <v>805</v>
      </c>
      <c r="I235" s="66" t="s">
        <v>1465</v>
      </c>
      <c r="J235" s="90"/>
      <c r="K235" s="90"/>
      <c r="L235" s="90"/>
      <c r="M235" s="91" t="s">
        <v>25</v>
      </c>
      <c r="N235" s="91"/>
      <c r="O235" s="91"/>
    </row>
    <row r="236" spans="2:15" ht="71.25" customHeight="1" x14ac:dyDescent="0.3">
      <c r="B236" s="86">
        <v>233</v>
      </c>
      <c r="C236" s="63" t="s">
        <v>387</v>
      </c>
      <c r="D236" s="87" t="s">
        <v>1466</v>
      </c>
      <c r="E236" s="64">
        <v>45657</v>
      </c>
      <c r="F236" s="88">
        <v>1581700</v>
      </c>
      <c r="G236" s="67" t="s">
        <v>1464</v>
      </c>
      <c r="H236" s="89" t="s">
        <v>805</v>
      </c>
      <c r="I236" s="66" t="s">
        <v>1467</v>
      </c>
      <c r="J236" s="90"/>
      <c r="K236" s="90"/>
      <c r="L236" s="90"/>
      <c r="M236" s="91" t="s">
        <v>25</v>
      </c>
      <c r="N236" s="91"/>
      <c r="O236" s="91"/>
    </row>
    <row r="237" spans="2:15" ht="89.25" customHeight="1" x14ac:dyDescent="0.3">
      <c r="B237" s="86">
        <v>234</v>
      </c>
      <c r="C237" s="63" t="s">
        <v>1468</v>
      </c>
      <c r="D237" s="87" t="s">
        <v>1469</v>
      </c>
      <c r="E237" s="64">
        <v>45657</v>
      </c>
      <c r="F237" s="88">
        <v>1581700</v>
      </c>
      <c r="G237" s="67" t="s">
        <v>1464</v>
      </c>
      <c r="H237" s="89" t="s">
        <v>805</v>
      </c>
      <c r="I237" s="66" t="s">
        <v>824</v>
      </c>
      <c r="J237" s="90"/>
      <c r="K237" s="90"/>
      <c r="L237" s="90"/>
      <c r="M237" s="91" t="s">
        <v>25</v>
      </c>
      <c r="N237" s="91" t="s">
        <v>1470</v>
      </c>
      <c r="O237" s="91"/>
    </row>
    <row r="238" spans="2:15" ht="87" customHeight="1" x14ac:dyDescent="0.3">
      <c r="B238" s="86">
        <v>235</v>
      </c>
      <c r="C238" s="63" t="s">
        <v>1471</v>
      </c>
      <c r="D238" s="87" t="s">
        <v>1472</v>
      </c>
      <c r="E238" s="64">
        <v>45657</v>
      </c>
      <c r="F238" s="88">
        <v>35723800</v>
      </c>
      <c r="G238" s="67" t="s">
        <v>1464</v>
      </c>
      <c r="H238" s="89" t="s">
        <v>805</v>
      </c>
      <c r="I238" s="66" t="s">
        <v>1473</v>
      </c>
      <c r="J238" s="90"/>
      <c r="K238" s="90"/>
      <c r="L238" s="90"/>
      <c r="M238" s="91"/>
      <c r="N238" s="91"/>
      <c r="O238" s="91"/>
    </row>
    <row r="239" spans="2:15" ht="53.25" customHeight="1" x14ac:dyDescent="0.3">
      <c r="B239" s="86">
        <v>236</v>
      </c>
      <c r="C239" s="63" t="s">
        <v>1474</v>
      </c>
      <c r="D239" s="87" t="s">
        <v>1475</v>
      </c>
      <c r="E239" s="64">
        <v>45657</v>
      </c>
      <c r="F239" s="88">
        <v>4431800</v>
      </c>
      <c r="G239" s="67" t="s">
        <v>1464</v>
      </c>
      <c r="H239" s="89" t="s">
        <v>805</v>
      </c>
      <c r="I239" s="66" t="s">
        <v>1476</v>
      </c>
      <c r="J239" s="90"/>
      <c r="K239" s="90"/>
      <c r="L239" s="90"/>
      <c r="M239" s="91"/>
      <c r="N239" s="91"/>
      <c r="O239" s="91"/>
    </row>
    <row r="240" spans="2:15" ht="108" customHeight="1" x14ac:dyDescent="0.3">
      <c r="B240" s="86">
        <v>237</v>
      </c>
      <c r="C240" s="63" t="s">
        <v>387</v>
      </c>
      <c r="D240" s="87" t="s">
        <v>1477</v>
      </c>
      <c r="E240" s="64">
        <v>45657</v>
      </c>
      <c r="F240" s="88">
        <v>4375800</v>
      </c>
      <c r="G240" s="67" t="s">
        <v>1464</v>
      </c>
      <c r="H240" s="89" t="s">
        <v>805</v>
      </c>
      <c r="I240" s="66" t="s">
        <v>1478</v>
      </c>
      <c r="J240" s="90"/>
      <c r="K240" s="90"/>
      <c r="L240" s="90"/>
      <c r="M240" s="91" t="s">
        <v>25</v>
      </c>
      <c r="N240" s="91"/>
      <c r="O240" s="91"/>
    </row>
    <row r="241" spans="2:15" ht="94.5" customHeight="1" x14ac:dyDescent="0.3">
      <c r="B241" s="86">
        <v>238</v>
      </c>
      <c r="C241" s="63" t="s">
        <v>387</v>
      </c>
      <c r="D241" s="87" t="s">
        <v>1479</v>
      </c>
      <c r="E241" s="64">
        <v>45657</v>
      </c>
      <c r="F241" s="88">
        <v>8751600</v>
      </c>
      <c r="G241" s="67" t="s">
        <v>1464</v>
      </c>
      <c r="H241" s="89" t="s">
        <v>805</v>
      </c>
      <c r="I241" s="66" t="s">
        <v>1480</v>
      </c>
      <c r="J241" s="90"/>
      <c r="K241" s="90"/>
      <c r="L241" s="90"/>
      <c r="M241" s="91"/>
      <c r="N241" s="91"/>
      <c r="O241" s="91"/>
    </row>
    <row r="242" spans="2:15" ht="87.75" customHeight="1" x14ac:dyDescent="0.3">
      <c r="B242" s="86">
        <v>239</v>
      </c>
      <c r="C242" s="63" t="s">
        <v>1481</v>
      </c>
      <c r="D242" s="87" t="s">
        <v>1482</v>
      </c>
      <c r="E242" s="64">
        <v>45657</v>
      </c>
      <c r="F242" s="88">
        <v>3811700</v>
      </c>
      <c r="G242" s="67" t="s">
        <v>1464</v>
      </c>
      <c r="H242" s="89" t="s">
        <v>805</v>
      </c>
      <c r="I242" s="66" t="s">
        <v>1483</v>
      </c>
      <c r="J242" s="90"/>
      <c r="K242" s="90"/>
      <c r="L242" s="90"/>
      <c r="M242" s="91"/>
      <c r="N242" s="91"/>
      <c r="O242" s="91"/>
    </row>
    <row r="243" spans="2:15" ht="78" customHeight="1" x14ac:dyDescent="0.3">
      <c r="B243" s="86">
        <v>240</v>
      </c>
      <c r="C243" s="63" t="s">
        <v>387</v>
      </c>
      <c r="D243" s="87" t="s">
        <v>1484</v>
      </c>
      <c r="E243" s="64">
        <v>45657</v>
      </c>
      <c r="F243" s="88">
        <v>3618500</v>
      </c>
      <c r="G243" s="67" t="s">
        <v>1464</v>
      </c>
      <c r="H243" s="89" t="s">
        <v>805</v>
      </c>
      <c r="I243" s="66" t="s">
        <v>1480</v>
      </c>
      <c r="J243" s="90"/>
      <c r="K243" s="90"/>
      <c r="L243" s="90"/>
      <c r="M243" s="91"/>
      <c r="N243" s="91"/>
      <c r="O243" s="91"/>
    </row>
    <row r="244" spans="2:15" ht="57.75" customHeight="1" x14ac:dyDescent="0.3">
      <c r="B244" s="86">
        <v>241</v>
      </c>
      <c r="C244" s="63" t="s">
        <v>387</v>
      </c>
      <c r="D244" s="87" t="s">
        <v>1485</v>
      </c>
      <c r="E244" s="64">
        <v>45657</v>
      </c>
      <c r="F244" s="88">
        <v>4144900</v>
      </c>
      <c r="G244" s="67" t="s">
        <v>1464</v>
      </c>
      <c r="H244" s="89" t="s">
        <v>805</v>
      </c>
      <c r="I244" s="66" t="s">
        <v>1486</v>
      </c>
      <c r="J244" s="90"/>
      <c r="K244" s="90"/>
      <c r="L244" s="90"/>
      <c r="M244" s="91" t="s">
        <v>25</v>
      </c>
      <c r="N244" s="91"/>
      <c r="O244" s="91"/>
    </row>
    <row r="245" spans="2:15" ht="85.5" customHeight="1" x14ac:dyDescent="0.3">
      <c r="B245" s="86">
        <v>242</v>
      </c>
      <c r="C245" s="63" t="s">
        <v>1487</v>
      </c>
      <c r="D245" s="87" t="s">
        <v>1488</v>
      </c>
      <c r="E245" s="64">
        <v>45657</v>
      </c>
      <c r="F245" s="88">
        <v>3551500</v>
      </c>
      <c r="G245" s="67" t="s">
        <v>1464</v>
      </c>
      <c r="H245" s="89" t="s">
        <v>805</v>
      </c>
      <c r="I245" s="66" t="s">
        <v>1489</v>
      </c>
      <c r="J245" s="90"/>
      <c r="K245" s="90"/>
      <c r="L245" s="90"/>
      <c r="M245" s="91"/>
      <c r="N245" s="91" t="s">
        <v>1490</v>
      </c>
      <c r="O245" s="91"/>
    </row>
    <row r="246" spans="2:15" ht="78" customHeight="1" x14ac:dyDescent="0.3">
      <c r="B246" s="86">
        <v>243</v>
      </c>
      <c r="C246" s="63" t="s">
        <v>1491</v>
      </c>
      <c r="D246" s="87" t="s">
        <v>1492</v>
      </c>
      <c r="E246" s="64">
        <v>45657</v>
      </c>
      <c r="F246" s="88">
        <v>2154800</v>
      </c>
      <c r="G246" s="67" t="s">
        <v>1464</v>
      </c>
      <c r="H246" s="89" t="s">
        <v>805</v>
      </c>
      <c r="I246" s="66" t="s">
        <v>1493</v>
      </c>
      <c r="J246" s="90"/>
      <c r="K246" s="90"/>
      <c r="L246" s="90"/>
      <c r="M246" s="91"/>
      <c r="N246" s="91"/>
      <c r="O246" s="91"/>
    </row>
    <row r="247" spans="2:15" ht="107.25" customHeight="1" x14ac:dyDescent="0.3">
      <c r="B247" s="86">
        <v>244</v>
      </c>
      <c r="C247" s="63" t="s">
        <v>1494</v>
      </c>
      <c r="D247" s="87" t="s">
        <v>1495</v>
      </c>
      <c r="E247" s="64">
        <v>45657</v>
      </c>
      <c r="F247" s="88">
        <v>1663200</v>
      </c>
      <c r="G247" s="65" t="s">
        <v>1496</v>
      </c>
      <c r="H247" s="89" t="s">
        <v>805</v>
      </c>
      <c r="I247" s="66" t="s">
        <v>829</v>
      </c>
      <c r="J247" s="90"/>
      <c r="K247" s="90"/>
      <c r="L247" s="90"/>
      <c r="M247" s="91" t="s">
        <v>25</v>
      </c>
      <c r="N247" s="91"/>
      <c r="O247" s="91"/>
    </row>
    <row r="248" spans="2:15" ht="61.5" customHeight="1" x14ac:dyDescent="0.3">
      <c r="B248" s="86">
        <v>245</v>
      </c>
      <c r="C248" s="63" t="s">
        <v>1497</v>
      </c>
      <c r="D248" s="87" t="s">
        <v>1498</v>
      </c>
      <c r="E248" s="64">
        <v>45657</v>
      </c>
      <c r="F248" s="88">
        <v>2423500</v>
      </c>
      <c r="G248" s="67" t="s">
        <v>1499</v>
      </c>
      <c r="H248" s="89" t="s">
        <v>805</v>
      </c>
      <c r="I248" s="66" t="s">
        <v>1500</v>
      </c>
      <c r="J248" s="90"/>
      <c r="K248" s="90"/>
      <c r="L248" s="90"/>
      <c r="M248" s="91" t="s">
        <v>25</v>
      </c>
      <c r="N248" s="91"/>
      <c r="O248" s="91"/>
    </row>
    <row r="249" spans="2:15" ht="95.25" customHeight="1" x14ac:dyDescent="0.3">
      <c r="B249" s="86">
        <v>246</v>
      </c>
      <c r="C249" s="63" t="s">
        <v>1474</v>
      </c>
      <c r="D249" s="87" t="s">
        <v>1501</v>
      </c>
      <c r="E249" s="64">
        <v>45657</v>
      </c>
      <c r="F249" s="88">
        <v>4684800</v>
      </c>
      <c r="G249" s="67" t="s">
        <v>1499</v>
      </c>
      <c r="H249" s="89" t="s">
        <v>805</v>
      </c>
      <c r="I249" s="66" t="s">
        <v>1502</v>
      </c>
      <c r="J249" s="90"/>
      <c r="K249" s="90"/>
      <c r="L249" s="90"/>
      <c r="M249" s="91" t="s">
        <v>25</v>
      </c>
      <c r="N249" s="91"/>
      <c r="O249" s="91"/>
    </row>
    <row r="250" spans="2:15" ht="78" customHeight="1" x14ac:dyDescent="0.3">
      <c r="B250" s="86">
        <v>247</v>
      </c>
      <c r="C250" s="63" t="s">
        <v>1503</v>
      </c>
      <c r="D250" s="87" t="s">
        <v>1504</v>
      </c>
      <c r="E250" s="64">
        <v>45657</v>
      </c>
      <c r="F250" s="88">
        <v>2878900</v>
      </c>
      <c r="G250" s="67" t="s">
        <v>1505</v>
      </c>
      <c r="H250" s="89" t="s">
        <v>805</v>
      </c>
      <c r="I250" s="66" t="s">
        <v>811</v>
      </c>
      <c r="J250" s="90"/>
      <c r="K250" s="90"/>
      <c r="L250" s="90"/>
      <c r="M250" s="91"/>
      <c r="N250" s="91"/>
      <c r="O250" s="91"/>
    </row>
    <row r="251" spans="2:15" ht="111.75" customHeight="1" x14ac:dyDescent="0.3">
      <c r="B251" s="86">
        <v>248</v>
      </c>
      <c r="C251" s="63" t="s">
        <v>1506</v>
      </c>
      <c r="D251" s="87" t="s">
        <v>1507</v>
      </c>
      <c r="E251" s="64">
        <v>45657</v>
      </c>
      <c r="F251" s="88">
        <v>1565700</v>
      </c>
      <c r="G251" s="67" t="s">
        <v>1505</v>
      </c>
      <c r="H251" s="89" t="s">
        <v>805</v>
      </c>
      <c r="I251" s="66" t="s">
        <v>1508</v>
      </c>
      <c r="J251" s="90"/>
      <c r="K251" s="90"/>
      <c r="L251" s="90"/>
      <c r="M251" s="91"/>
      <c r="N251" s="91"/>
      <c r="O251" s="91"/>
    </row>
    <row r="252" spans="2:15" ht="75.75" customHeight="1" x14ac:dyDescent="0.3">
      <c r="B252" s="86">
        <v>249</v>
      </c>
      <c r="C252" s="63" t="s">
        <v>1509</v>
      </c>
      <c r="D252" s="87" t="s">
        <v>1510</v>
      </c>
      <c r="E252" s="64">
        <v>45657</v>
      </c>
      <c r="F252" s="88">
        <v>1284200</v>
      </c>
      <c r="G252" s="67" t="s">
        <v>1505</v>
      </c>
      <c r="H252" s="89" t="s">
        <v>805</v>
      </c>
      <c r="I252" s="66" t="s">
        <v>1508</v>
      </c>
      <c r="J252" s="90"/>
      <c r="K252" s="90"/>
      <c r="L252" s="90"/>
      <c r="M252" s="91"/>
      <c r="N252" s="91"/>
      <c r="O252" s="91"/>
    </row>
    <row r="253" spans="2:15" ht="65.25" customHeight="1" x14ac:dyDescent="0.3">
      <c r="B253" s="86">
        <v>250</v>
      </c>
      <c r="C253" s="63" t="s">
        <v>1511</v>
      </c>
      <c r="D253" s="87" t="s">
        <v>1512</v>
      </c>
      <c r="E253" s="64">
        <v>45657</v>
      </c>
      <c r="F253" s="88">
        <v>2111400</v>
      </c>
      <c r="G253" s="67" t="s">
        <v>1505</v>
      </c>
      <c r="H253" s="89" t="s">
        <v>805</v>
      </c>
      <c r="I253" s="66" t="s">
        <v>1508</v>
      </c>
      <c r="J253" s="90"/>
      <c r="K253" s="90"/>
      <c r="L253" s="90"/>
      <c r="M253" s="91"/>
      <c r="N253" s="91"/>
      <c r="O253" s="91"/>
    </row>
    <row r="254" spans="2:15" ht="64.5" customHeight="1" x14ac:dyDescent="0.3">
      <c r="B254" s="86">
        <v>251</v>
      </c>
      <c r="C254" s="63" t="s">
        <v>1513</v>
      </c>
      <c r="D254" s="87" t="s">
        <v>1514</v>
      </c>
      <c r="E254" s="64">
        <v>45657</v>
      </c>
      <c r="F254" s="88">
        <v>1544800</v>
      </c>
      <c r="G254" s="67" t="s">
        <v>1505</v>
      </c>
      <c r="H254" s="89" t="s">
        <v>805</v>
      </c>
      <c r="I254" s="66" t="s">
        <v>1508</v>
      </c>
      <c r="J254" s="90"/>
      <c r="K254" s="90"/>
      <c r="L254" s="90"/>
      <c r="M254" s="91"/>
      <c r="N254" s="91"/>
      <c r="O254" s="91"/>
    </row>
    <row r="255" spans="2:15" ht="86.25" customHeight="1" x14ac:dyDescent="0.3">
      <c r="B255" s="86">
        <v>252</v>
      </c>
      <c r="C255" s="63" t="s">
        <v>1515</v>
      </c>
      <c r="D255" s="87" t="s">
        <v>1516</v>
      </c>
      <c r="E255" s="64">
        <v>45657</v>
      </c>
      <c r="F255" s="88">
        <v>2317300</v>
      </c>
      <c r="G255" s="67" t="s">
        <v>1505</v>
      </c>
      <c r="H255" s="89" t="s">
        <v>805</v>
      </c>
      <c r="I255" s="66" t="s">
        <v>1517</v>
      </c>
      <c r="J255" s="90"/>
      <c r="K255" s="90"/>
      <c r="L255" s="90"/>
      <c r="M255" s="91"/>
      <c r="N255" s="91"/>
      <c r="O255" s="91"/>
    </row>
    <row r="256" spans="2:15" ht="108" customHeight="1" x14ac:dyDescent="0.3">
      <c r="B256" s="86">
        <v>253</v>
      </c>
      <c r="C256" s="63" t="s">
        <v>1518</v>
      </c>
      <c r="D256" s="87" t="s">
        <v>1519</v>
      </c>
      <c r="E256" s="64">
        <v>45657</v>
      </c>
      <c r="F256" s="88">
        <v>2763900</v>
      </c>
      <c r="G256" s="67" t="s">
        <v>1505</v>
      </c>
      <c r="H256" s="89" t="s">
        <v>805</v>
      </c>
      <c r="I256" s="66" t="s">
        <v>1520</v>
      </c>
      <c r="J256" s="90"/>
      <c r="K256" s="90"/>
      <c r="L256" s="90"/>
      <c r="M256" s="91"/>
      <c r="N256" s="91"/>
      <c r="O256" s="91"/>
    </row>
    <row r="257" spans="2:15" ht="73.5" customHeight="1" x14ac:dyDescent="0.3">
      <c r="B257" s="86">
        <v>254</v>
      </c>
      <c r="C257" s="63" t="s">
        <v>1521</v>
      </c>
      <c r="D257" s="87" t="s">
        <v>1522</v>
      </c>
      <c r="E257" s="64">
        <v>45657</v>
      </c>
      <c r="F257" s="88">
        <v>5533500</v>
      </c>
      <c r="G257" s="67" t="s">
        <v>1505</v>
      </c>
      <c r="H257" s="89" t="s">
        <v>805</v>
      </c>
      <c r="I257" s="66" t="s">
        <v>1523</v>
      </c>
      <c r="J257" s="90"/>
      <c r="K257" s="90"/>
      <c r="L257" s="90"/>
      <c r="M257" s="91"/>
      <c r="N257" s="91"/>
      <c r="O257" s="91"/>
    </row>
    <row r="258" spans="2:15" ht="60" customHeight="1" x14ac:dyDescent="0.3">
      <c r="B258" s="86">
        <v>255</v>
      </c>
      <c r="C258" s="63" t="s">
        <v>1257</v>
      </c>
      <c r="D258" s="87" t="s">
        <v>1524</v>
      </c>
      <c r="E258" s="64">
        <v>45657</v>
      </c>
      <c r="F258" s="88">
        <v>4953500</v>
      </c>
      <c r="G258" s="67" t="s">
        <v>1505</v>
      </c>
      <c r="H258" s="89" t="s">
        <v>805</v>
      </c>
      <c r="I258" s="66" t="s">
        <v>1525</v>
      </c>
      <c r="J258" s="90"/>
      <c r="K258" s="90"/>
      <c r="L258" s="90"/>
      <c r="M258" s="91"/>
      <c r="N258" s="91"/>
      <c r="O258" s="91"/>
    </row>
    <row r="259" spans="2:15" ht="167.25" customHeight="1" x14ac:dyDescent="0.3">
      <c r="B259" s="86">
        <v>256</v>
      </c>
      <c r="C259" s="63" t="s">
        <v>1239</v>
      </c>
      <c r="D259" s="87" t="s">
        <v>1526</v>
      </c>
      <c r="E259" s="64">
        <v>45657</v>
      </c>
      <c r="F259" s="88">
        <v>2662800</v>
      </c>
      <c r="G259" s="67" t="s">
        <v>1527</v>
      </c>
      <c r="H259" s="89" t="s">
        <v>805</v>
      </c>
      <c r="I259" s="66" t="s">
        <v>1528</v>
      </c>
      <c r="J259" s="90"/>
      <c r="K259" s="90"/>
      <c r="L259" s="90"/>
      <c r="M259" s="91" t="s">
        <v>25</v>
      </c>
      <c r="N259" s="91"/>
      <c r="O259" s="91"/>
    </row>
    <row r="260" spans="2:15" ht="70.5" customHeight="1" x14ac:dyDescent="0.3">
      <c r="B260" s="86">
        <v>257</v>
      </c>
      <c r="C260" s="63" t="s">
        <v>1529</v>
      </c>
      <c r="D260" s="87" t="s">
        <v>1530</v>
      </c>
      <c r="E260" s="64">
        <v>45657</v>
      </c>
      <c r="F260" s="88">
        <v>3889600</v>
      </c>
      <c r="G260" s="67" t="s">
        <v>1527</v>
      </c>
      <c r="H260" s="89" t="s">
        <v>805</v>
      </c>
      <c r="I260" s="66" t="s">
        <v>867</v>
      </c>
      <c r="J260" s="90"/>
      <c r="K260" s="90"/>
      <c r="L260" s="90"/>
      <c r="M260" s="91"/>
      <c r="N260" s="91"/>
      <c r="O260" s="91"/>
    </row>
    <row r="261" spans="2:15" ht="96.75" customHeight="1" x14ac:dyDescent="0.3">
      <c r="B261" s="86">
        <v>258</v>
      </c>
      <c r="C261" s="63" t="s">
        <v>1531</v>
      </c>
      <c r="D261" s="87" t="s">
        <v>1532</v>
      </c>
      <c r="E261" s="64">
        <v>45657</v>
      </c>
      <c r="F261" s="88">
        <v>4467300</v>
      </c>
      <c r="G261" s="67" t="s">
        <v>1527</v>
      </c>
      <c r="H261" s="89" t="s">
        <v>805</v>
      </c>
      <c r="I261" s="66" t="s">
        <v>1533</v>
      </c>
      <c r="J261" s="90"/>
      <c r="K261" s="90"/>
      <c r="L261" s="90"/>
      <c r="M261" s="91"/>
      <c r="N261" s="91"/>
      <c r="O261" s="91"/>
    </row>
    <row r="262" spans="2:15" ht="60" customHeight="1" x14ac:dyDescent="0.3">
      <c r="B262" s="86">
        <v>259</v>
      </c>
      <c r="C262" s="63" t="s">
        <v>1474</v>
      </c>
      <c r="D262" s="87" t="s">
        <v>1534</v>
      </c>
      <c r="E262" s="64">
        <v>45657</v>
      </c>
      <c r="F262" s="88">
        <v>9124300</v>
      </c>
      <c r="G262" s="67" t="s">
        <v>1527</v>
      </c>
      <c r="H262" s="89" t="s">
        <v>805</v>
      </c>
      <c r="I262" s="66" t="s">
        <v>1535</v>
      </c>
      <c r="J262" s="90"/>
      <c r="K262" s="90"/>
      <c r="L262" s="90"/>
      <c r="M262" s="91"/>
      <c r="N262" s="91"/>
      <c r="O262" s="91"/>
    </row>
    <row r="263" spans="2:15" ht="57" customHeight="1" x14ac:dyDescent="0.3">
      <c r="B263" s="86">
        <v>260</v>
      </c>
      <c r="C263" s="63" t="s">
        <v>916</v>
      </c>
      <c r="D263" s="87" t="s">
        <v>1536</v>
      </c>
      <c r="E263" s="64">
        <v>45657</v>
      </c>
      <c r="F263" s="88">
        <v>1243300</v>
      </c>
      <c r="G263" s="67" t="s">
        <v>1537</v>
      </c>
      <c r="H263" s="89" t="s">
        <v>805</v>
      </c>
      <c r="I263" s="66" t="s">
        <v>1538</v>
      </c>
      <c r="J263" s="90"/>
      <c r="K263" s="90"/>
      <c r="L263" s="90"/>
      <c r="M263" s="91"/>
      <c r="N263" s="91"/>
      <c r="O263" s="91"/>
    </row>
    <row r="264" spans="2:15" ht="51" x14ac:dyDescent="0.3">
      <c r="B264" s="86">
        <v>261</v>
      </c>
      <c r="C264" s="63" t="s">
        <v>916</v>
      </c>
      <c r="D264" s="87" t="s">
        <v>1539</v>
      </c>
      <c r="E264" s="64">
        <v>45657</v>
      </c>
      <c r="F264" s="88">
        <v>1751300</v>
      </c>
      <c r="G264" s="67" t="s">
        <v>1527</v>
      </c>
      <c r="H264" s="89" t="s">
        <v>805</v>
      </c>
      <c r="I264" s="66" t="s">
        <v>1540</v>
      </c>
      <c r="J264" s="90"/>
      <c r="K264" s="90"/>
      <c r="L264" s="90"/>
      <c r="M264" s="91" t="s">
        <v>25</v>
      </c>
      <c r="N264" s="91"/>
      <c r="O264" s="91"/>
    </row>
    <row r="265" spans="2:15" ht="65.25" customHeight="1" x14ac:dyDescent="0.3">
      <c r="B265" s="86">
        <v>262</v>
      </c>
      <c r="C265" s="63" t="s">
        <v>1541</v>
      </c>
      <c r="D265" s="87" t="s">
        <v>1542</v>
      </c>
      <c r="E265" s="64">
        <v>45657</v>
      </c>
      <c r="F265" s="88">
        <v>1635100</v>
      </c>
      <c r="G265" s="67" t="s">
        <v>1543</v>
      </c>
      <c r="H265" s="89" t="s">
        <v>805</v>
      </c>
      <c r="I265" s="66" t="s">
        <v>1544</v>
      </c>
      <c r="J265" s="90"/>
      <c r="K265" s="90"/>
      <c r="L265" s="90"/>
      <c r="M265" s="91"/>
      <c r="N265" s="91"/>
      <c r="O265" s="91"/>
    </row>
    <row r="266" spans="2:15" ht="55.5" customHeight="1" x14ac:dyDescent="0.3">
      <c r="B266" s="86">
        <v>263</v>
      </c>
      <c r="C266" s="63" t="s">
        <v>1545</v>
      </c>
      <c r="D266" s="87" t="s">
        <v>1546</v>
      </c>
      <c r="E266" s="64">
        <v>45657</v>
      </c>
      <c r="F266" s="88">
        <v>3328800</v>
      </c>
      <c r="G266" s="67" t="s">
        <v>1543</v>
      </c>
      <c r="H266" s="89" t="s">
        <v>805</v>
      </c>
      <c r="I266" s="66" t="s">
        <v>1547</v>
      </c>
      <c r="J266" s="90"/>
      <c r="K266" s="90"/>
      <c r="L266" s="90"/>
      <c r="M266" s="91" t="s">
        <v>25</v>
      </c>
      <c r="N266" s="91"/>
      <c r="O266" s="91"/>
    </row>
    <row r="267" spans="2:15" ht="106.5" customHeight="1" x14ac:dyDescent="0.3">
      <c r="B267" s="86">
        <v>264</v>
      </c>
      <c r="C267" s="63" t="s">
        <v>1548</v>
      </c>
      <c r="D267" s="87" t="s">
        <v>1549</v>
      </c>
      <c r="E267" s="64">
        <v>45657</v>
      </c>
      <c r="F267" s="88">
        <v>1269200</v>
      </c>
      <c r="G267" s="67" t="s">
        <v>1543</v>
      </c>
      <c r="H267" s="89" t="s">
        <v>805</v>
      </c>
      <c r="I267" s="66" t="s">
        <v>59</v>
      </c>
      <c r="J267" s="90"/>
      <c r="K267" s="90"/>
      <c r="L267" s="90"/>
      <c r="M267" s="91" t="s">
        <v>25</v>
      </c>
      <c r="N267" s="91"/>
      <c r="O267" s="91"/>
    </row>
    <row r="268" spans="2:15" ht="100.5" customHeight="1" x14ac:dyDescent="0.3">
      <c r="B268" s="86">
        <v>265</v>
      </c>
      <c r="C268" s="63" t="s">
        <v>1550</v>
      </c>
      <c r="D268" s="87" t="s">
        <v>1551</v>
      </c>
      <c r="E268" s="64">
        <v>45657</v>
      </c>
      <c r="F268" s="88">
        <v>1871600</v>
      </c>
      <c r="G268" s="67" t="s">
        <v>1543</v>
      </c>
      <c r="H268" s="89" t="s">
        <v>805</v>
      </c>
      <c r="I268" s="66" t="s">
        <v>1552</v>
      </c>
      <c r="J268" s="90"/>
      <c r="K268" s="90"/>
      <c r="L268" s="90"/>
      <c r="M268" s="91" t="s">
        <v>25</v>
      </c>
      <c r="N268" s="91" t="s">
        <v>1553</v>
      </c>
      <c r="O268" s="91"/>
    </row>
    <row r="269" spans="2:15" ht="54" x14ac:dyDescent="0.3">
      <c r="B269" s="86">
        <v>266</v>
      </c>
      <c r="C269" s="75" t="s">
        <v>1554</v>
      </c>
      <c r="D269" s="99" t="s">
        <v>1555</v>
      </c>
      <c r="E269" s="76">
        <v>45657</v>
      </c>
      <c r="F269" s="100">
        <v>1302000</v>
      </c>
      <c r="G269" s="77" t="s">
        <v>1543</v>
      </c>
      <c r="H269" s="101" t="s">
        <v>422</v>
      </c>
      <c r="I269" s="65" t="s">
        <v>1556</v>
      </c>
      <c r="J269" s="102"/>
      <c r="K269" s="102"/>
      <c r="L269" s="102"/>
      <c r="M269" s="102"/>
      <c r="N269" s="91"/>
      <c r="O269" s="91"/>
    </row>
    <row r="270" spans="2:15" ht="25.5" x14ac:dyDescent="0.3">
      <c r="B270" s="86">
        <v>267</v>
      </c>
      <c r="C270" s="58" t="s">
        <v>802</v>
      </c>
      <c r="D270" s="103" t="s">
        <v>803</v>
      </c>
      <c r="E270" s="59">
        <v>45657</v>
      </c>
      <c r="F270" s="104">
        <v>1681000</v>
      </c>
      <c r="G270" s="60" t="s">
        <v>804</v>
      </c>
      <c r="H270" s="105" t="s">
        <v>805</v>
      </c>
      <c r="I270" s="61" t="s">
        <v>806</v>
      </c>
      <c r="J270" s="106"/>
      <c r="K270" s="106"/>
      <c r="L270" s="106"/>
      <c r="M270" s="107"/>
      <c r="N270" s="107"/>
      <c r="O270" s="91"/>
    </row>
    <row r="271" spans="2:15" ht="38.25" x14ac:dyDescent="0.3">
      <c r="B271" s="86">
        <v>268</v>
      </c>
      <c r="C271" s="58" t="s">
        <v>807</v>
      </c>
      <c r="D271" s="103" t="s">
        <v>808</v>
      </c>
      <c r="E271" s="59">
        <v>45657</v>
      </c>
      <c r="F271" s="104">
        <v>1432900</v>
      </c>
      <c r="G271" s="60" t="s">
        <v>804</v>
      </c>
      <c r="H271" s="105" t="s">
        <v>805</v>
      </c>
      <c r="I271" s="61" t="s">
        <v>806</v>
      </c>
      <c r="J271" s="106"/>
      <c r="K271" s="106"/>
      <c r="L271" s="106"/>
      <c r="M271" s="107"/>
      <c r="N271" s="107"/>
      <c r="O271" s="91"/>
    </row>
    <row r="272" spans="2:15" ht="25.5" x14ac:dyDescent="0.3">
      <c r="B272" s="86">
        <v>269</v>
      </c>
      <c r="C272" s="58" t="s">
        <v>809</v>
      </c>
      <c r="D272" s="103" t="s">
        <v>810</v>
      </c>
      <c r="E272" s="59">
        <v>45657</v>
      </c>
      <c r="F272" s="104">
        <v>1354100</v>
      </c>
      <c r="G272" s="60" t="s">
        <v>804</v>
      </c>
      <c r="H272" s="105" t="s">
        <v>805</v>
      </c>
      <c r="I272" s="61" t="s">
        <v>811</v>
      </c>
      <c r="J272" s="106"/>
      <c r="K272" s="106"/>
      <c r="L272" s="106"/>
      <c r="M272" s="107"/>
      <c r="N272" s="107"/>
      <c r="O272" s="91"/>
    </row>
    <row r="273" spans="2:15" ht="25.5" x14ac:dyDescent="0.3">
      <c r="B273" s="86">
        <v>270</v>
      </c>
      <c r="C273" s="58" t="s">
        <v>812</v>
      </c>
      <c r="D273" s="103" t="s">
        <v>813</v>
      </c>
      <c r="E273" s="59">
        <v>45657</v>
      </c>
      <c r="F273" s="104">
        <v>4650000</v>
      </c>
      <c r="G273" s="60" t="s">
        <v>804</v>
      </c>
      <c r="H273" s="105" t="s">
        <v>805</v>
      </c>
      <c r="I273" s="61" t="s">
        <v>814</v>
      </c>
      <c r="J273" s="106"/>
      <c r="K273" s="106"/>
      <c r="L273" s="106"/>
      <c r="M273" s="107"/>
      <c r="N273" s="107"/>
      <c r="O273" s="91"/>
    </row>
    <row r="274" spans="2:15" x14ac:dyDescent="0.3">
      <c r="B274" s="86">
        <v>271</v>
      </c>
      <c r="C274" s="58" t="s">
        <v>815</v>
      </c>
      <c r="D274" s="103" t="s">
        <v>816</v>
      </c>
      <c r="E274" s="59">
        <v>45657</v>
      </c>
      <c r="F274" s="104">
        <v>82976600</v>
      </c>
      <c r="G274" s="60" t="s">
        <v>817</v>
      </c>
      <c r="H274" s="105" t="s">
        <v>805</v>
      </c>
      <c r="I274" s="61" t="s">
        <v>811</v>
      </c>
      <c r="J274" s="106"/>
      <c r="K274" s="106"/>
      <c r="L274" s="106"/>
      <c r="M274" s="107"/>
      <c r="N274" s="107"/>
      <c r="O274" s="91"/>
    </row>
    <row r="275" spans="2:15" x14ac:dyDescent="0.3">
      <c r="B275" s="86">
        <v>272</v>
      </c>
      <c r="C275" s="58" t="s">
        <v>818</v>
      </c>
      <c r="D275" s="103" t="s">
        <v>819</v>
      </c>
      <c r="E275" s="59">
        <v>45657</v>
      </c>
      <c r="F275" s="104">
        <v>3273600</v>
      </c>
      <c r="G275" s="60" t="s">
        <v>817</v>
      </c>
      <c r="H275" s="105" t="s">
        <v>805</v>
      </c>
      <c r="I275" s="61" t="s">
        <v>820</v>
      </c>
      <c r="J275" s="106"/>
      <c r="K275" s="106"/>
      <c r="L275" s="106"/>
      <c r="M275" s="107"/>
      <c r="N275" s="107"/>
      <c r="O275" s="91"/>
    </row>
    <row r="276" spans="2:15" x14ac:dyDescent="0.3">
      <c r="B276" s="86">
        <v>273</v>
      </c>
      <c r="C276" s="58" t="s">
        <v>818</v>
      </c>
      <c r="D276" s="103" t="s">
        <v>821</v>
      </c>
      <c r="E276" s="59">
        <v>45657</v>
      </c>
      <c r="F276" s="104">
        <v>7167500</v>
      </c>
      <c r="G276" s="60" t="s">
        <v>817</v>
      </c>
      <c r="H276" s="105" t="s">
        <v>805</v>
      </c>
      <c r="I276" s="61" t="s">
        <v>820</v>
      </c>
      <c r="J276" s="106"/>
      <c r="K276" s="106"/>
      <c r="L276" s="106"/>
      <c r="M276" s="107"/>
      <c r="N276" s="107"/>
      <c r="O276" s="91"/>
    </row>
    <row r="277" spans="2:15" ht="25.5" x14ac:dyDescent="0.3">
      <c r="B277" s="86">
        <v>274</v>
      </c>
      <c r="C277" s="58" t="s">
        <v>822</v>
      </c>
      <c r="D277" s="103" t="s">
        <v>823</v>
      </c>
      <c r="E277" s="59">
        <v>45657</v>
      </c>
      <c r="F277" s="104">
        <v>2485100</v>
      </c>
      <c r="G277" s="60" t="s">
        <v>817</v>
      </c>
      <c r="H277" s="105" t="s">
        <v>805</v>
      </c>
      <c r="I277" s="61" t="s">
        <v>824</v>
      </c>
      <c r="J277" s="106"/>
      <c r="K277" s="106"/>
      <c r="L277" s="106"/>
      <c r="M277" s="107"/>
      <c r="N277" s="107"/>
      <c r="O277" s="91"/>
    </row>
    <row r="278" spans="2:15" ht="25.5" x14ac:dyDescent="0.3">
      <c r="B278" s="86">
        <v>275</v>
      </c>
      <c r="C278" s="58" t="s">
        <v>825</v>
      </c>
      <c r="D278" s="103" t="s">
        <v>826</v>
      </c>
      <c r="E278" s="59">
        <v>45657</v>
      </c>
      <c r="F278" s="104">
        <v>115045000</v>
      </c>
      <c r="G278" s="60" t="s">
        <v>817</v>
      </c>
      <c r="H278" s="105" t="s">
        <v>805</v>
      </c>
      <c r="I278" s="61" t="s">
        <v>811</v>
      </c>
      <c r="J278" s="106"/>
      <c r="K278" s="106"/>
      <c r="L278" s="106"/>
      <c r="M278" s="107"/>
      <c r="N278" s="107"/>
      <c r="O278" s="91"/>
    </row>
    <row r="279" spans="2:15" ht="25.5" x14ac:dyDescent="0.3">
      <c r="B279" s="86">
        <v>276</v>
      </c>
      <c r="C279" s="58" t="s">
        <v>827</v>
      </c>
      <c r="D279" s="103" t="s">
        <v>828</v>
      </c>
      <c r="E279" s="59">
        <v>45657</v>
      </c>
      <c r="F279" s="104">
        <v>4021100</v>
      </c>
      <c r="G279" s="60" t="s">
        <v>817</v>
      </c>
      <c r="H279" s="105" t="s">
        <v>805</v>
      </c>
      <c r="I279" s="61" t="s">
        <v>829</v>
      </c>
      <c r="J279" s="106"/>
      <c r="K279" s="106"/>
      <c r="L279" s="106"/>
      <c r="M279" s="107"/>
      <c r="N279" s="107"/>
      <c r="O279" s="91"/>
    </row>
    <row r="280" spans="2:15" ht="25.5" x14ac:dyDescent="0.3">
      <c r="B280" s="86">
        <v>277</v>
      </c>
      <c r="C280" s="58" t="s">
        <v>830</v>
      </c>
      <c r="D280" s="103" t="s">
        <v>831</v>
      </c>
      <c r="E280" s="59">
        <v>45657</v>
      </c>
      <c r="F280" s="104">
        <v>3749200</v>
      </c>
      <c r="G280" s="60" t="s">
        <v>817</v>
      </c>
      <c r="H280" s="105" t="s">
        <v>805</v>
      </c>
      <c r="I280" s="61" t="s">
        <v>832</v>
      </c>
      <c r="J280" s="106"/>
      <c r="K280" s="106"/>
      <c r="L280" s="106"/>
      <c r="M280" s="107"/>
      <c r="N280" s="107"/>
      <c r="O280" s="91"/>
    </row>
    <row r="281" spans="2:15" ht="25.5" x14ac:dyDescent="0.3">
      <c r="B281" s="86">
        <v>278</v>
      </c>
      <c r="C281" s="58" t="s">
        <v>830</v>
      </c>
      <c r="D281" s="103" t="s">
        <v>831</v>
      </c>
      <c r="E281" s="59">
        <v>45657</v>
      </c>
      <c r="F281" s="104">
        <v>3749200</v>
      </c>
      <c r="G281" s="60" t="s">
        <v>817</v>
      </c>
      <c r="H281" s="105" t="s">
        <v>805</v>
      </c>
      <c r="I281" s="61" t="s">
        <v>832</v>
      </c>
      <c r="J281" s="106"/>
      <c r="K281" s="106"/>
      <c r="L281" s="106"/>
      <c r="M281" s="107"/>
      <c r="N281" s="107"/>
      <c r="O281" s="91"/>
    </row>
    <row r="282" spans="2:15" ht="25.5" x14ac:dyDescent="0.3">
      <c r="B282" s="86">
        <v>279</v>
      </c>
      <c r="C282" s="58" t="s">
        <v>833</v>
      </c>
      <c r="D282" s="103" t="s">
        <v>834</v>
      </c>
      <c r="E282" s="59">
        <v>45657</v>
      </c>
      <c r="F282" s="104">
        <v>3749183.3333333335</v>
      </c>
      <c r="G282" s="60" t="s">
        <v>817</v>
      </c>
      <c r="H282" s="105" t="s">
        <v>805</v>
      </c>
      <c r="I282" s="61" t="s">
        <v>832</v>
      </c>
      <c r="J282" s="106"/>
      <c r="K282" s="106"/>
      <c r="L282" s="106"/>
      <c r="M282" s="107"/>
      <c r="N282" s="107"/>
      <c r="O282" s="91"/>
    </row>
    <row r="283" spans="2:15" ht="25.5" x14ac:dyDescent="0.3">
      <c r="B283" s="86">
        <v>280</v>
      </c>
      <c r="C283" s="58" t="s">
        <v>833</v>
      </c>
      <c r="D283" s="103" t="s">
        <v>834</v>
      </c>
      <c r="E283" s="59">
        <v>45657</v>
      </c>
      <c r="F283" s="104">
        <v>3749183.3333333335</v>
      </c>
      <c r="G283" s="60" t="s">
        <v>817</v>
      </c>
      <c r="H283" s="105" t="s">
        <v>805</v>
      </c>
      <c r="I283" s="61" t="s">
        <v>832</v>
      </c>
      <c r="J283" s="106"/>
      <c r="K283" s="106"/>
      <c r="L283" s="106"/>
      <c r="M283" s="107"/>
      <c r="N283" s="107"/>
      <c r="O283" s="91"/>
    </row>
    <row r="284" spans="2:15" ht="42" customHeight="1" x14ac:dyDescent="0.3">
      <c r="B284" s="86">
        <v>281</v>
      </c>
      <c r="C284" s="58" t="s">
        <v>833</v>
      </c>
      <c r="D284" s="103" t="s">
        <v>834</v>
      </c>
      <c r="E284" s="59">
        <v>45657</v>
      </c>
      <c r="F284" s="104">
        <v>3749183.3333333335</v>
      </c>
      <c r="G284" s="60" t="s">
        <v>817</v>
      </c>
      <c r="H284" s="105" t="s">
        <v>805</v>
      </c>
      <c r="I284" s="61" t="s">
        <v>832</v>
      </c>
      <c r="J284" s="106"/>
      <c r="K284" s="106"/>
      <c r="L284" s="106"/>
      <c r="M284" s="107"/>
      <c r="N284" s="107"/>
      <c r="O284" s="91"/>
    </row>
    <row r="285" spans="2:15" ht="25.5" x14ac:dyDescent="0.3">
      <c r="B285" s="86">
        <v>282</v>
      </c>
      <c r="C285" s="58" t="s">
        <v>833</v>
      </c>
      <c r="D285" s="103" t="s">
        <v>834</v>
      </c>
      <c r="E285" s="59">
        <v>45657</v>
      </c>
      <c r="F285" s="104">
        <v>3749183.3333333335</v>
      </c>
      <c r="G285" s="60" t="s">
        <v>817</v>
      </c>
      <c r="H285" s="105" t="s">
        <v>805</v>
      </c>
      <c r="I285" s="61" t="s">
        <v>832</v>
      </c>
      <c r="J285" s="106"/>
      <c r="K285" s="106"/>
      <c r="L285" s="106"/>
      <c r="M285" s="107"/>
      <c r="N285" s="107"/>
      <c r="O285" s="91"/>
    </row>
    <row r="286" spans="2:15" ht="25.5" x14ac:dyDescent="0.3">
      <c r="B286" s="86">
        <v>283</v>
      </c>
      <c r="C286" s="58" t="s">
        <v>833</v>
      </c>
      <c r="D286" s="103" t="s">
        <v>834</v>
      </c>
      <c r="E286" s="59">
        <v>45657</v>
      </c>
      <c r="F286" s="104">
        <v>3749183.3333333335</v>
      </c>
      <c r="G286" s="62" t="s">
        <v>817</v>
      </c>
      <c r="H286" s="105" t="s">
        <v>805</v>
      </c>
      <c r="I286" s="61" t="s">
        <v>832</v>
      </c>
      <c r="J286" s="106"/>
      <c r="K286" s="106"/>
      <c r="L286" s="106"/>
      <c r="M286" s="107"/>
      <c r="N286" s="107"/>
      <c r="O286" s="91"/>
    </row>
    <row r="287" spans="2:15" ht="25.5" x14ac:dyDescent="0.3">
      <c r="B287" s="86">
        <v>284</v>
      </c>
      <c r="C287" s="58" t="s">
        <v>833</v>
      </c>
      <c r="D287" s="103" t="s">
        <v>834</v>
      </c>
      <c r="E287" s="59">
        <v>45657</v>
      </c>
      <c r="F287" s="104">
        <v>3749183.3333333335</v>
      </c>
      <c r="G287" s="60" t="s">
        <v>817</v>
      </c>
      <c r="H287" s="105" t="s">
        <v>805</v>
      </c>
      <c r="I287" s="61" t="s">
        <v>832</v>
      </c>
      <c r="J287" s="106"/>
      <c r="K287" s="106"/>
      <c r="L287" s="106"/>
      <c r="M287" s="107"/>
      <c r="N287" s="107"/>
      <c r="O287" s="91"/>
    </row>
    <row r="288" spans="2:15" x14ac:dyDescent="0.3">
      <c r="B288" s="86">
        <v>285</v>
      </c>
      <c r="C288" s="58" t="s">
        <v>835</v>
      </c>
      <c r="D288" s="103" t="s">
        <v>836</v>
      </c>
      <c r="E288" s="59">
        <v>45657</v>
      </c>
      <c r="F288" s="104">
        <v>5175000</v>
      </c>
      <c r="G288" s="60" t="s">
        <v>837</v>
      </c>
      <c r="H288" s="105" t="s">
        <v>805</v>
      </c>
      <c r="I288" s="61" t="s">
        <v>820</v>
      </c>
      <c r="J288" s="106"/>
      <c r="K288" s="106"/>
      <c r="L288" s="106"/>
      <c r="M288" s="107"/>
      <c r="N288" s="107"/>
      <c r="O288" s="91"/>
    </row>
    <row r="289" spans="2:15" ht="45.75" customHeight="1" x14ac:dyDescent="0.3">
      <c r="B289" s="86">
        <v>286</v>
      </c>
      <c r="C289" s="58" t="s">
        <v>838</v>
      </c>
      <c r="D289" s="103" t="s">
        <v>839</v>
      </c>
      <c r="E289" s="59">
        <v>45657</v>
      </c>
      <c r="F289" s="104">
        <v>56278500</v>
      </c>
      <c r="G289" s="60" t="s">
        <v>837</v>
      </c>
      <c r="H289" s="105" t="s">
        <v>805</v>
      </c>
      <c r="I289" s="61" t="s">
        <v>840</v>
      </c>
      <c r="J289" s="106"/>
      <c r="K289" s="106"/>
      <c r="L289" s="106"/>
      <c r="M289" s="107"/>
      <c r="N289" s="107"/>
      <c r="O289" s="91"/>
    </row>
    <row r="290" spans="2:15" ht="30.75" customHeight="1" x14ac:dyDescent="0.3">
      <c r="B290" s="86">
        <v>287</v>
      </c>
      <c r="C290" s="58" t="s">
        <v>841</v>
      </c>
      <c r="D290" s="103" t="s">
        <v>842</v>
      </c>
      <c r="E290" s="59">
        <v>45657</v>
      </c>
      <c r="F290" s="104">
        <v>2122200</v>
      </c>
      <c r="G290" s="60" t="s">
        <v>843</v>
      </c>
      <c r="H290" s="105" t="s">
        <v>805</v>
      </c>
      <c r="I290" s="61" t="s">
        <v>824</v>
      </c>
      <c r="J290" s="106"/>
      <c r="K290" s="106"/>
      <c r="L290" s="106"/>
      <c r="M290" s="107"/>
      <c r="N290" s="107"/>
      <c r="O290" s="91"/>
    </row>
    <row r="291" spans="2:15" ht="23.25" customHeight="1" x14ac:dyDescent="0.3">
      <c r="B291" s="86">
        <v>288</v>
      </c>
      <c r="C291" s="58" t="s">
        <v>844</v>
      </c>
      <c r="D291" s="103" t="s">
        <v>845</v>
      </c>
      <c r="E291" s="59">
        <v>45657</v>
      </c>
      <c r="F291" s="104">
        <v>701400</v>
      </c>
      <c r="G291" s="60" t="s">
        <v>843</v>
      </c>
      <c r="H291" s="105" t="s">
        <v>805</v>
      </c>
      <c r="I291" s="61" t="s">
        <v>824</v>
      </c>
      <c r="J291" s="106"/>
      <c r="K291" s="106"/>
      <c r="L291" s="106"/>
      <c r="M291" s="107"/>
      <c r="N291" s="107"/>
      <c r="O291" s="91"/>
    </row>
    <row r="292" spans="2:15" ht="23.25" customHeight="1" x14ac:dyDescent="0.3">
      <c r="B292" s="86">
        <v>289</v>
      </c>
      <c r="C292" s="58" t="s">
        <v>846</v>
      </c>
      <c r="D292" s="103" t="s">
        <v>847</v>
      </c>
      <c r="E292" s="59">
        <v>45657</v>
      </c>
      <c r="F292" s="104">
        <v>7740000</v>
      </c>
      <c r="G292" s="60" t="s">
        <v>843</v>
      </c>
      <c r="H292" s="105" t="s">
        <v>805</v>
      </c>
      <c r="I292" s="61" t="s">
        <v>824</v>
      </c>
      <c r="J292" s="106"/>
      <c r="K292" s="106"/>
      <c r="L292" s="106"/>
      <c r="M292" s="107"/>
      <c r="N292" s="107"/>
      <c r="O292" s="91"/>
    </row>
    <row r="293" spans="2:15" ht="23.25" customHeight="1" x14ac:dyDescent="0.3">
      <c r="B293" s="86">
        <v>290</v>
      </c>
      <c r="C293" s="58" t="s">
        <v>848</v>
      </c>
      <c r="D293" s="103" t="s">
        <v>849</v>
      </c>
      <c r="E293" s="59">
        <v>45657</v>
      </c>
      <c r="F293" s="104">
        <v>1035600</v>
      </c>
      <c r="G293" s="60" t="s">
        <v>843</v>
      </c>
      <c r="H293" s="105" t="s">
        <v>805</v>
      </c>
      <c r="I293" s="61" t="s">
        <v>824</v>
      </c>
      <c r="J293" s="106"/>
      <c r="K293" s="106"/>
      <c r="L293" s="106"/>
      <c r="M293" s="107"/>
      <c r="N293" s="107"/>
      <c r="O293" s="91"/>
    </row>
    <row r="294" spans="2:15" ht="23.25" customHeight="1" x14ac:dyDescent="0.3">
      <c r="B294" s="86">
        <v>291</v>
      </c>
      <c r="C294" s="58" t="s">
        <v>850</v>
      </c>
      <c r="D294" s="103" t="s">
        <v>851</v>
      </c>
      <c r="E294" s="59">
        <v>45657</v>
      </c>
      <c r="F294" s="104">
        <v>2041800</v>
      </c>
      <c r="G294" s="60" t="s">
        <v>843</v>
      </c>
      <c r="H294" s="105" t="s">
        <v>805</v>
      </c>
      <c r="I294" s="61" t="s">
        <v>824</v>
      </c>
      <c r="J294" s="106"/>
      <c r="K294" s="106"/>
      <c r="L294" s="106"/>
      <c r="M294" s="107"/>
      <c r="N294" s="107"/>
      <c r="O294" s="91"/>
    </row>
    <row r="295" spans="2:15" ht="47.25" customHeight="1" x14ac:dyDescent="0.3">
      <c r="B295" s="86">
        <v>292</v>
      </c>
      <c r="C295" s="58" t="s">
        <v>852</v>
      </c>
      <c r="D295" s="103" t="s">
        <v>853</v>
      </c>
      <c r="E295" s="59">
        <v>45657</v>
      </c>
      <c r="F295" s="104">
        <v>794700</v>
      </c>
      <c r="G295" s="60" t="s">
        <v>843</v>
      </c>
      <c r="H295" s="105" t="s">
        <v>805</v>
      </c>
      <c r="I295" s="61" t="s">
        <v>824</v>
      </c>
      <c r="J295" s="106"/>
      <c r="K295" s="106"/>
      <c r="L295" s="106"/>
      <c r="M295" s="107"/>
      <c r="N295" s="107"/>
      <c r="O295" s="91"/>
    </row>
    <row r="296" spans="2:15" ht="69" customHeight="1" x14ac:dyDescent="0.3">
      <c r="B296" s="86">
        <v>293</v>
      </c>
      <c r="C296" s="58" t="s">
        <v>854</v>
      </c>
      <c r="D296" s="103" t="s">
        <v>855</v>
      </c>
      <c r="E296" s="59">
        <v>45657</v>
      </c>
      <c r="F296" s="104">
        <v>770200</v>
      </c>
      <c r="G296" s="60" t="s">
        <v>843</v>
      </c>
      <c r="H296" s="105" t="s">
        <v>805</v>
      </c>
      <c r="I296" s="61" t="s">
        <v>824</v>
      </c>
      <c r="J296" s="106"/>
      <c r="K296" s="106"/>
      <c r="L296" s="106"/>
      <c r="M296" s="107"/>
      <c r="N296" s="107"/>
      <c r="O296" s="91"/>
    </row>
    <row r="297" spans="2:15" ht="74.25" customHeight="1" x14ac:dyDescent="0.3">
      <c r="B297" s="86">
        <v>294</v>
      </c>
      <c r="C297" s="58" t="s">
        <v>856</v>
      </c>
      <c r="D297" s="103" t="s">
        <v>857</v>
      </c>
      <c r="E297" s="59">
        <v>45657</v>
      </c>
      <c r="F297" s="104">
        <v>2141600</v>
      </c>
      <c r="G297" s="60" t="s">
        <v>843</v>
      </c>
      <c r="H297" s="105" t="s">
        <v>805</v>
      </c>
      <c r="I297" s="61" t="s">
        <v>824</v>
      </c>
      <c r="J297" s="106"/>
      <c r="K297" s="106"/>
      <c r="L297" s="106"/>
      <c r="M297" s="107"/>
      <c r="N297" s="107"/>
      <c r="O297" s="91"/>
    </row>
    <row r="298" spans="2:15" ht="57.75" customHeight="1" x14ac:dyDescent="0.3">
      <c r="B298" s="86">
        <v>295</v>
      </c>
      <c r="C298" s="58" t="s">
        <v>858</v>
      </c>
      <c r="D298" s="103" t="s">
        <v>859</v>
      </c>
      <c r="E298" s="59">
        <v>45657</v>
      </c>
      <c r="F298" s="104">
        <v>17187700</v>
      </c>
      <c r="G298" s="60" t="s">
        <v>843</v>
      </c>
      <c r="H298" s="105" t="s">
        <v>805</v>
      </c>
      <c r="I298" s="61" t="s">
        <v>824</v>
      </c>
      <c r="J298" s="106"/>
      <c r="K298" s="106"/>
      <c r="L298" s="106"/>
      <c r="M298" s="107"/>
      <c r="N298" s="107"/>
      <c r="O298" s="91"/>
    </row>
    <row r="299" spans="2:15" ht="54" customHeight="1" x14ac:dyDescent="0.3">
      <c r="B299" s="86">
        <v>296</v>
      </c>
      <c r="C299" s="58" t="s">
        <v>822</v>
      </c>
      <c r="D299" s="103" t="s">
        <v>860</v>
      </c>
      <c r="E299" s="59">
        <v>45657</v>
      </c>
      <c r="F299" s="104">
        <v>4492000</v>
      </c>
      <c r="G299" s="60" t="s">
        <v>843</v>
      </c>
      <c r="H299" s="105" t="s">
        <v>805</v>
      </c>
      <c r="I299" s="61" t="s">
        <v>824</v>
      </c>
      <c r="J299" s="106"/>
      <c r="K299" s="106"/>
      <c r="L299" s="106"/>
      <c r="M299" s="107"/>
      <c r="N299" s="107"/>
      <c r="O299" s="91"/>
    </row>
    <row r="300" spans="2:15" ht="45" customHeight="1" x14ac:dyDescent="0.3">
      <c r="B300" s="86">
        <v>297</v>
      </c>
      <c r="C300" s="58" t="s">
        <v>861</v>
      </c>
      <c r="D300" s="103" t="s">
        <v>862</v>
      </c>
      <c r="E300" s="59">
        <v>45657</v>
      </c>
      <c r="F300" s="104">
        <v>986500</v>
      </c>
      <c r="G300" s="60" t="s">
        <v>843</v>
      </c>
      <c r="H300" s="105" t="s">
        <v>805</v>
      </c>
      <c r="I300" s="61" t="s">
        <v>843</v>
      </c>
      <c r="J300" s="106"/>
      <c r="K300" s="106"/>
      <c r="L300" s="106"/>
      <c r="M300" s="107"/>
      <c r="N300" s="107"/>
      <c r="O300" s="91"/>
    </row>
    <row r="301" spans="2:15" ht="40.5" customHeight="1" x14ac:dyDescent="0.3">
      <c r="B301" s="86">
        <v>298</v>
      </c>
      <c r="C301" s="58" t="s">
        <v>863</v>
      </c>
      <c r="D301" s="103" t="s">
        <v>864</v>
      </c>
      <c r="E301" s="59">
        <v>45657</v>
      </c>
      <c r="F301" s="104">
        <v>2596300</v>
      </c>
      <c r="G301" s="60" t="s">
        <v>843</v>
      </c>
      <c r="H301" s="105" t="s">
        <v>805</v>
      </c>
      <c r="I301" s="61" t="s">
        <v>824</v>
      </c>
      <c r="J301" s="106"/>
      <c r="K301" s="106"/>
      <c r="L301" s="106"/>
      <c r="M301" s="107"/>
      <c r="N301" s="107"/>
      <c r="O301" s="91"/>
    </row>
    <row r="302" spans="2:15" ht="65.25" customHeight="1" x14ac:dyDescent="0.3">
      <c r="B302" s="86">
        <v>299</v>
      </c>
      <c r="C302" s="58" t="s">
        <v>865</v>
      </c>
      <c r="D302" s="103" t="s">
        <v>866</v>
      </c>
      <c r="E302" s="59">
        <v>45657</v>
      </c>
      <c r="F302" s="104">
        <v>39659800</v>
      </c>
      <c r="G302" s="60" t="s">
        <v>843</v>
      </c>
      <c r="H302" s="105" t="s">
        <v>805</v>
      </c>
      <c r="I302" s="61" t="s">
        <v>867</v>
      </c>
      <c r="J302" s="106"/>
      <c r="K302" s="106"/>
      <c r="L302" s="106"/>
      <c r="M302" s="107"/>
      <c r="N302" s="107"/>
      <c r="O302" s="91"/>
    </row>
    <row r="303" spans="2:15" ht="57" customHeight="1" x14ac:dyDescent="0.3">
      <c r="B303" s="86">
        <v>300</v>
      </c>
      <c r="C303" s="58" t="s">
        <v>868</v>
      </c>
      <c r="D303" s="103" t="s">
        <v>869</v>
      </c>
      <c r="E303" s="59">
        <v>45657</v>
      </c>
      <c r="F303" s="104">
        <v>1430800</v>
      </c>
      <c r="G303" s="60" t="s">
        <v>843</v>
      </c>
      <c r="H303" s="105" t="s">
        <v>805</v>
      </c>
      <c r="I303" s="61" t="s">
        <v>867</v>
      </c>
      <c r="J303" s="106"/>
      <c r="K303" s="106"/>
      <c r="L303" s="106"/>
      <c r="M303" s="107"/>
      <c r="N303" s="107"/>
      <c r="O303" s="91"/>
    </row>
    <row r="304" spans="2:15" ht="63.75" customHeight="1" x14ac:dyDescent="0.3">
      <c r="B304" s="86">
        <v>301</v>
      </c>
      <c r="C304" s="58" t="s">
        <v>870</v>
      </c>
      <c r="D304" s="103" t="s">
        <v>871</v>
      </c>
      <c r="E304" s="59">
        <v>45657</v>
      </c>
      <c r="F304" s="104">
        <v>2057800</v>
      </c>
      <c r="G304" s="60" t="s">
        <v>843</v>
      </c>
      <c r="H304" s="105" t="s">
        <v>805</v>
      </c>
      <c r="I304" s="61" t="s">
        <v>867</v>
      </c>
      <c r="J304" s="106"/>
      <c r="K304" s="106"/>
      <c r="L304" s="106"/>
      <c r="M304" s="107"/>
      <c r="N304" s="107"/>
      <c r="O304" s="91"/>
    </row>
    <row r="305" spans="2:15" ht="27" customHeight="1" x14ac:dyDescent="0.3">
      <c r="B305" s="86">
        <v>302</v>
      </c>
      <c r="C305" s="58" t="s">
        <v>872</v>
      </c>
      <c r="D305" s="103" t="s">
        <v>873</v>
      </c>
      <c r="E305" s="59">
        <v>45657</v>
      </c>
      <c r="F305" s="104">
        <v>23169600</v>
      </c>
      <c r="G305" s="60" t="s">
        <v>843</v>
      </c>
      <c r="H305" s="105" t="s">
        <v>805</v>
      </c>
      <c r="I305" s="61" t="s">
        <v>820</v>
      </c>
      <c r="J305" s="106"/>
      <c r="K305" s="106"/>
      <c r="L305" s="106"/>
      <c r="M305" s="107"/>
      <c r="N305" s="107"/>
      <c r="O305" s="91"/>
    </row>
    <row r="306" spans="2:15" ht="22.5" customHeight="1" x14ac:dyDescent="0.3">
      <c r="B306" s="86">
        <v>303</v>
      </c>
      <c r="C306" s="58" t="s">
        <v>874</v>
      </c>
      <c r="D306" s="103" t="s">
        <v>875</v>
      </c>
      <c r="E306" s="59">
        <v>45657</v>
      </c>
      <c r="F306" s="104">
        <v>687100</v>
      </c>
      <c r="G306" s="108" t="s">
        <v>843</v>
      </c>
      <c r="H306" s="105" t="s">
        <v>805</v>
      </c>
      <c r="I306" s="105" t="s">
        <v>843</v>
      </c>
      <c r="J306" s="106"/>
      <c r="K306" s="106"/>
      <c r="L306" s="106"/>
      <c r="M306" s="107"/>
      <c r="N306" s="107"/>
      <c r="O306" s="91"/>
    </row>
    <row r="307" spans="2:15" ht="25.5" x14ac:dyDescent="0.3">
      <c r="B307" s="86">
        <v>304</v>
      </c>
      <c r="C307" s="58" t="s">
        <v>822</v>
      </c>
      <c r="D307" s="103" t="s">
        <v>876</v>
      </c>
      <c r="E307" s="59">
        <v>45657</v>
      </c>
      <c r="F307" s="104">
        <v>4366200</v>
      </c>
      <c r="G307" s="60" t="s">
        <v>877</v>
      </c>
      <c r="H307" s="105" t="s">
        <v>805</v>
      </c>
      <c r="I307" s="61" t="s">
        <v>824</v>
      </c>
      <c r="J307" s="106"/>
      <c r="K307" s="106"/>
      <c r="L307" s="106"/>
      <c r="M307" s="107"/>
      <c r="N307" s="107"/>
      <c r="O307" s="91"/>
    </row>
    <row r="308" spans="2:15" ht="78.75" customHeight="1" x14ac:dyDescent="0.3">
      <c r="B308" s="86">
        <v>305</v>
      </c>
      <c r="C308" s="58" t="s">
        <v>1557</v>
      </c>
      <c r="D308" s="103" t="s">
        <v>1558</v>
      </c>
      <c r="E308" s="59">
        <v>45657</v>
      </c>
      <c r="F308" s="104">
        <v>15091200</v>
      </c>
      <c r="G308" s="60" t="s">
        <v>1559</v>
      </c>
      <c r="H308" s="105" t="s">
        <v>805</v>
      </c>
      <c r="I308" s="61" t="s">
        <v>1560</v>
      </c>
      <c r="J308" s="106"/>
      <c r="K308" s="106"/>
      <c r="L308" s="106"/>
      <c r="M308" s="107"/>
      <c r="N308" s="107"/>
      <c r="O308" s="91"/>
    </row>
    <row r="309" spans="2:15" ht="142.5" customHeight="1" x14ac:dyDescent="0.3">
      <c r="B309" s="86">
        <v>306</v>
      </c>
      <c r="C309" s="58" t="s">
        <v>1561</v>
      </c>
      <c r="D309" s="103" t="s">
        <v>1562</v>
      </c>
      <c r="E309" s="59">
        <v>45657</v>
      </c>
      <c r="F309" s="104">
        <v>6493100</v>
      </c>
      <c r="G309" s="60" t="s">
        <v>1563</v>
      </c>
      <c r="H309" s="105" t="s">
        <v>805</v>
      </c>
      <c r="I309" s="61" t="s">
        <v>1564</v>
      </c>
      <c r="J309" s="106"/>
      <c r="K309" s="106"/>
      <c r="L309" s="106"/>
      <c r="M309" s="107"/>
      <c r="N309" s="107"/>
      <c r="O309" s="91"/>
    </row>
    <row r="310" spans="2:15" ht="82.5" customHeight="1" x14ac:dyDescent="0.3">
      <c r="B310" s="86">
        <v>307</v>
      </c>
      <c r="C310" s="58" t="s">
        <v>1565</v>
      </c>
      <c r="D310" s="103" t="s">
        <v>1566</v>
      </c>
      <c r="E310" s="59">
        <v>45657</v>
      </c>
      <c r="F310" s="104">
        <v>5325600</v>
      </c>
      <c r="G310" s="60" t="s">
        <v>1563</v>
      </c>
      <c r="H310" s="105" t="s">
        <v>805</v>
      </c>
      <c r="I310" s="61" t="s">
        <v>867</v>
      </c>
      <c r="J310" s="106"/>
      <c r="K310" s="106"/>
      <c r="L310" s="106"/>
      <c r="M310" s="107"/>
      <c r="N310" s="107"/>
      <c r="O310" s="91"/>
    </row>
    <row r="311" spans="2:15" ht="80.25" customHeight="1" x14ac:dyDescent="0.3">
      <c r="B311" s="86">
        <v>308</v>
      </c>
      <c r="C311" s="58" t="s">
        <v>1567</v>
      </c>
      <c r="D311" s="103" t="s">
        <v>1568</v>
      </c>
      <c r="E311" s="59">
        <v>45657</v>
      </c>
      <c r="F311" s="104">
        <v>2655200</v>
      </c>
      <c r="G311" s="60" t="s">
        <v>1563</v>
      </c>
      <c r="H311" s="105" t="s">
        <v>805</v>
      </c>
      <c r="I311" s="61" t="s">
        <v>1569</v>
      </c>
      <c r="J311" s="106"/>
      <c r="K311" s="106"/>
      <c r="L311" s="106"/>
      <c r="M311" s="107"/>
      <c r="N311" s="107"/>
      <c r="O311" s="91"/>
    </row>
    <row r="312" spans="2:15" ht="75" customHeight="1" x14ac:dyDescent="0.3">
      <c r="B312" s="86">
        <v>309</v>
      </c>
      <c r="C312" s="58" t="s">
        <v>916</v>
      </c>
      <c r="D312" s="103" t="s">
        <v>1570</v>
      </c>
      <c r="E312" s="59">
        <v>45657</v>
      </c>
      <c r="F312" s="104">
        <v>2903200</v>
      </c>
      <c r="G312" s="60" t="s">
        <v>1563</v>
      </c>
      <c r="H312" s="105" t="s">
        <v>805</v>
      </c>
      <c r="I312" s="61" t="s">
        <v>1571</v>
      </c>
      <c r="J312" s="106"/>
      <c r="K312" s="106"/>
      <c r="L312" s="106"/>
      <c r="M312" s="107"/>
      <c r="N312" s="107"/>
      <c r="O312" s="91"/>
    </row>
    <row r="313" spans="2:15" ht="66" customHeight="1" x14ac:dyDescent="0.3">
      <c r="B313" s="86">
        <v>310</v>
      </c>
      <c r="C313" s="58" t="s">
        <v>1572</v>
      </c>
      <c r="D313" s="103" t="s">
        <v>1573</v>
      </c>
      <c r="E313" s="59">
        <v>45657</v>
      </c>
      <c r="F313" s="104">
        <v>6482000</v>
      </c>
      <c r="G313" s="60" t="s">
        <v>1574</v>
      </c>
      <c r="H313" s="105" t="s">
        <v>805</v>
      </c>
      <c r="I313" s="61" t="s">
        <v>824</v>
      </c>
      <c r="J313" s="106"/>
      <c r="K313" s="106"/>
      <c r="L313" s="106"/>
      <c r="M313" s="107"/>
      <c r="N313" s="107"/>
      <c r="O313" s="91"/>
    </row>
    <row r="314" spans="2:15" ht="60.75" customHeight="1" x14ac:dyDescent="0.3">
      <c r="B314" s="86">
        <v>311</v>
      </c>
      <c r="C314" s="58" t="s">
        <v>1575</v>
      </c>
      <c r="D314" s="103" t="s">
        <v>1576</v>
      </c>
      <c r="E314" s="59">
        <v>45657</v>
      </c>
      <c r="F314" s="104">
        <v>28002300</v>
      </c>
      <c r="G314" s="60" t="s">
        <v>1574</v>
      </c>
      <c r="H314" s="105" t="s">
        <v>805</v>
      </c>
      <c r="I314" s="61" t="s">
        <v>1574</v>
      </c>
      <c r="J314" s="106"/>
      <c r="K314" s="106"/>
      <c r="L314" s="106"/>
      <c r="M314" s="107"/>
      <c r="N314" s="107"/>
      <c r="O314" s="91"/>
    </row>
    <row r="315" spans="2:15" ht="74.25" customHeight="1" x14ac:dyDescent="0.3">
      <c r="B315" s="86">
        <v>312</v>
      </c>
      <c r="C315" s="58" t="s">
        <v>1577</v>
      </c>
      <c r="D315" s="103" t="s">
        <v>1578</v>
      </c>
      <c r="E315" s="59">
        <v>45657</v>
      </c>
      <c r="F315" s="104">
        <v>3998800</v>
      </c>
      <c r="G315" s="60" t="s">
        <v>1579</v>
      </c>
      <c r="H315" s="105" t="s">
        <v>805</v>
      </c>
      <c r="I315" s="61" t="s">
        <v>1580</v>
      </c>
      <c r="J315" s="106"/>
      <c r="K315" s="106"/>
      <c r="L315" s="106"/>
      <c r="M315" s="107"/>
      <c r="N315" s="107"/>
      <c r="O315" s="91"/>
    </row>
    <row r="316" spans="2:15" ht="120" customHeight="1" x14ac:dyDescent="0.3">
      <c r="B316" s="86">
        <v>313</v>
      </c>
      <c r="C316" s="58" t="s">
        <v>1581</v>
      </c>
      <c r="D316" s="103" t="s">
        <v>1582</v>
      </c>
      <c r="E316" s="59">
        <v>45657</v>
      </c>
      <c r="F316" s="104">
        <v>5611100</v>
      </c>
      <c r="G316" s="60" t="s">
        <v>1583</v>
      </c>
      <c r="H316" s="105" t="s">
        <v>805</v>
      </c>
      <c r="I316" s="61" t="s">
        <v>1584</v>
      </c>
      <c r="J316" s="106"/>
      <c r="K316" s="106"/>
      <c r="L316" s="106"/>
      <c r="M316" s="107"/>
      <c r="N316" s="107"/>
      <c r="O316" s="91"/>
    </row>
    <row r="317" spans="2:15" ht="93" customHeight="1" x14ac:dyDescent="0.3">
      <c r="B317" s="86">
        <v>314</v>
      </c>
      <c r="C317" s="58" t="s">
        <v>1577</v>
      </c>
      <c r="D317" s="103" t="s">
        <v>1585</v>
      </c>
      <c r="E317" s="59">
        <v>45657</v>
      </c>
      <c r="F317" s="104">
        <v>1512200</v>
      </c>
      <c r="G317" s="60" t="s">
        <v>1586</v>
      </c>
      <c r="H317" s="105" t="s">
        <v>805</v>
      </c>
      <c r="I317" s="61" t="s">
        <v>1587</v>
      </c>
      <c r="J317" s="106"/>
      <c r="K317" s="106"/>
      <c r="L317" s="106"/>
      <c r="M317" s="107"/>
      <c r="N317" s="107"/>
      <c r="O317" s="91"/>
    </row>
    <row r="318" spans="2:15" ht="99.75" customHeight="1" x14ac:dyDescent="0.3">
      <c r="B318" s="86">
        <v>315</v>
      </c>
      <c r="C318" s="58" t="s">
        <v>1588</v>
      </c>
      <c r="D318" s="103" t="s">
        <v>1589</v>
      </c>
      <c r="E318" s="59">
        <v>45657</v>
      </c>
      <c r="F318" s="104">
        <v>3491500</v>
      </c>
      <c r="G318" s="60" t="s">
        <v>1590</v>
      </c>
      <c r="H318" s="105" t="s">
        <v>805</v>
      </c>
      <c r="I318" s="61" t="s">
        <v>824</v>
      </c>
      <c r="J318" s="106"/>
      <c r="K318" s="106"/>
      <c r="L318" s="106"/>
      <c r="M318" s="107"/>
      <c r="N318" s="107"/>
      <c r="O318" s="91"/>
    </row>
    <row r="319" spans="2:15" ht="173.25" customHeight="1" x14ac:dyDescent="0.3">
      <c r="B319" s="86">
        <v>316</v>
      </c>
      <c r="C319" s="58" t="s">
        <v>1591</v>
      </c>
      <c r="D319" s="103" t="s">
        <v>1592</v>
      </c>
      <c r="E319" s="59">
        <v>45657</v>
      </c>
      <c r="F319" s="104">
        <v>3709750</v>
      </c>
      <c r="G319" s="60" t="s">
        <v>1590</v>
      </c>
      <c r="H319" s="105" t="s">
        <v>805</v>
      </c>
      <c r="I319" s="61" t="s">
        <v>824</v>
      </c>
      <c r="J319" s="106"/>
      <c r="K319" s="106"/>
      <c r="L319" s="106"/>
      <c r="M319" s="107"/>
      <c r="N319" s="107"/>
      <c r="O319" s="91"/>
    </row>
    <row r="320" spans="2:15" ht="74.25" customHeight="1" x14ac:dyDescent="0.3">
      <c r="B320" s="86">
        <v>317</v>
      </c>
      <c r="C320" s="58" t="s">
        <v>1591</v>
      </c>
      <c r="D320" s="103" t="s">
        <v>1592</v>
      </c>
      <c r="E320" s="59">
        <v>45657</v>
      </c>
      <c r="F320" s="104">
        <v>3709750</v>
      </c>
      <c r="G320" s="60" t="s">
        <v>1590</v>
      </c>
      <c r="H320" s="105" t="s">
        <v>805</v>
      </c>
      <c r="I320" s="61" t="s">
        <v>824</v>
      </c>
      <c r="J320" s="106"/>
      <c r="K320" s="106"/>
      <c r="L320" s="106"/>
      <c r="M320" s="107"/>
      <c r="N320" s="107"/>
      <c r="O320" s="91"/>
    </row>
    <row r="321" spans="2:15" ht="59.25" customHeight="1" x14ac:dyDescent="0.3">
      <c r="B321" s="86">
        <v>318</v>
      </c>
      <c r="C321" s="58" t="s">
        <v>916</v>
      </c>
      <c r="D321" s="103" t="s">
        <v>1593</v>
      </c>
      <c r="E321" s="59">
        <v>45657</v>
      </c>
      <c r="F321" s="104">
        <v>1327200</v>
      </c>
      <c r="G321" s="60" t="s">
        <v>1594</v>
      </c>
      <c r="H321" s="105" t="s">
        <v>805</v>
      </c>
      <c r="I321" s="61" t="s">
        <v>1595</v>
      </c>
      <c r="J321" s="106"/>
      <c r="K321" s="106"/>
      <c r="L321" s="106"/>
      <c r="M321" s="107"/>
      <c r="N321" s="107"/>
      <c r="O321" s="91"/>
    </row>
    <row r="322" spans="2:15" ht="73.5" customHeight="1" x14ac:dyDescent="0.3">
      <c r="B322" s="86">
        <v>319</v>
      </c>
      <c r="C322" s="58" t="s">
        <v>1596</v>
      </c>
      <c r="D322" s="103" t="s">
        <v>1597</v>
      </c>
      <c r="E322" s="59">
        <v>45657</v>
      </c>
      <c r="F322" s="104">
        <v>3013500</v>
      </c>
      <c r="G322" s="60" t="s">
        <v>1598</v>
      </c>
      <c r="H322" s="105" t="s">
        <v>805</v>
      </c>
      <c r="I322" s="61" t="s">
        <v>1599</v>
      </c>
      <c r="J322" s="106"/>
      <c r="K322" s="106"/>
      <c r="L322" s="106"/>
      <c r="M322" s="107"/>
      <c r="N322" s="107"/>
      <c r="O322" s="91"/>
    </row>
    <row r="323" spans="2:15" ht="57.75" customHeight="1" x14ac:dyDescent="0.3">
      <c r="B323" s="86">
        <v>320</v>
      </c>
      <c r="C323" s="58" t="s">
        <v>916</v>
      </c>
      <c r="D323" s="103" t="s">
        <v>1600</v>
      </c>
      <c r="E323" s="59">
        <v>45657</v>
      </c>
      <c r="F323" s="104">
        <v>1203200</v>
      </c>
      <c r="G323" s="60" t="s">
        <v>1601</v>
      </c>
      <c r="H323" s="105" t="s">
        <v>805</v>
      </c>
      <c r="I323" s="61" t="s">
        <v>1599</v>
      </c>
      <c r="J323" s="106"/>
      <c r="K323" s="106"/>
      <c r="L323" s="106"/>
      <c r="M323" s="107"/>
      <c r="N323" s="107"/>
      <c r="O323" s="91"/>
    </row>
    <row r="324" spans="2:15" ht="65.25" customHeight="1" x14ac:dyDescent="0.3">
      <c r="B324" s="86">
        <v>321</v>
      </c>
      <c r="C324" s="58" t="s">
        <v>818</v>
      </c>
      <c r="D324" s="103" t="s">
        <v>1602</v>
      </c>
      <c r="E324" s="59">
        <v>45657</v>
      </c>
      <c r="F324" s="104">
        <v>5318300</v>
      </c>
      <c r="G324" s="60" t="s">
        <v>1603</v>
      </c>
      <c r="H324" s="105" t="s">
        <v>805</v>
      </c>
      <c r="I324" s="61" t="s">
        <v>820</v>
      </c>
      <c r="J324" s="106"/>
      <c r="K324" s="106"/>
      <c r="L324" s="106"/>
      <c r="M324" s="107"/>
      <c r="N324" s="107"/>
      <c r="O324" s="91"/>
    </row>
    <row r="325" spans="2:15" ht="78.75" customHeight="1" x14ac:dyDescent="0.3">
      <c r="B325" s="86">
        <v>322</v>
      </c>
      <c r="C325" s="58" t="s">
        <v>1604</v>
      </c>
      <c r="D325" s="103" t="s">
        <v>1605</v>
      </c>
      <c r="E325" s="59">
        <v>45657</v>
      </c>
      <c r="F325" s="104">
        <v>1091200</v>
      </c>
      <c r="G325" s="60" t="s">
        <v>1603</v>
      </c>
      <c r="H325" s="105" t="s">
        <v>805</v>
      </c>
      <c r="I325" s="61" t="s">
        <v>820</v>
      </c>
      <c r="J325" s="106"/>
      <c r="K325" s="106"/>
      <c r="L325" s="106"/>
      <c r="M325" s="107"/>
      <c r="N325" s="107"/>
      <c r="O325" s="91"/>
    </row>
    <row r="326" spans="2:15" ht="106.5" customHeight="1" x14ac:dyDescent="0.3">
      <c r="B326" s="86">
        <v>323</v>
      </c>
      <c r="C326" s="58" t="s">
        <v>1606</v>
      </c>
      <c r="D326" s="103" t="s">
        <v>1607</v>
      </c>
      <c r="E326" s="59">
        <v>45657</v>
      </c>
      <c r="F326" s="104">
        <v>989100</v>
      </c>
      <c r="G326" s="60" t="s">
        <v>1197</v>
      </c>
      <c r="H326" s="105" t="s">
        <v>805</v>
      </c>
      <c r="I326" s="61" t="s">
        <v>1197</v>
      </c>
      <c r="J326" s="106"/>
      <c r="K326" s="106"/>
      <c r="L326" s="106"/>
      <c r="M326" s="107"/>
      <c r="N326" s="107"/>
      <c r="O326" s="91"/>
    </row>
    <row r="327" spans="2:15" ht="76.5" customHeight="1" x14ac:dyDescent="0.3">
      <c r="B327" s="86">
        <v>324</v>
      </c>
      <c r="C327" s="58" t="s">
        <v>1608</v>
      </c>
      <c r="D327" s="103" t="s">
        <v>1609</v>
      </c>
      <c r="E327" s="59">
        <v>45657</v>
      </c>
      <c r="F327" s="104">
        <v>8722200</v>
      </c>
      <c r="G327" s="60" t="s">
        <v>1610</v>
      </c>
      <c r="H327" s="105" t="s">
        <v>805</v>
      </c>
      <c r="I327" s="61" t="s">
        <v>824</v>
      </c>
      <c r="J327" s="106"/>
      <c r="K327" s="106"/>
      <c r="L327" s="106"/>
      <c r="M327" s="107"/>
      <c r="N327" s="107"/>
      <c r="O327" s="91"/>
    </row>
    <row r="328" spans="2:15" ht="79.5" customHeight="1" x14ac:dyDescent="0.3">
      <c r="B328" s="86">
        <v>325</v>
      </c>
      <c r="C328" s="58" t="s">
        <v>1611</v>
      </c>
      <c r="D328" s="103" t="s">
        <v>1612</v>
      </c>
      <c r="E328" s="59">
        <v>45657</v>
      </c>
      <c r="F328" s="104">
        <v>1060600</v>
      </c>
      <c r="G328" s="60" t="s">
        <v>1613</v>
      </c>
      <c r="H328" s="105" t="s">
        <v>805</v>
      </c>
      <c r="I328" s="61" t="s">
        <v>811</v>
      </c>
      <c r="J328" s="106"/>
      <c r="K328" s="106"/>
      <c r="L328" s="106"/>
      <c r="M328" s="107"/>
      <c r="N328" s="107"/>
      <c r="O328" s="91"/>
    </row>
    <row r="329" spans="2:15" ht="40.5" x14ac:dyDescent="0.3">
      <c r="B329" s="86">
        <v>326</v>
      </c>
      <c r="C329" s="58" t="s">
        <v>1614</v>
      </c>
      <c r="D329" s="103" t="s">
        <v>1615</v>
      </c>
      <c r="E329" s="59">
        <v>45657</v>
      </c>
      <c r="F329" s="104">
        <v>3241000</v>
      </c>
      <c r="G329" s="60" t="s">
        <v>1616</v>
      </c>
      <c r="H329" s="105" t="s">
        <v>805</v>
      </c>
      <c r="I329" s="61" t="s">
        <v>843</v>
      </c>
      <c r="J329" s="106"/>
      <c r="K329" s="106"/>
      <c r="L329" s="106"/>
      <c r="M329" s="107"/>
      <c r="N329" s="107"/>
      <c r="O329" s="91"/>
    </row>
    <row r="330" spans="2:15" ht="54" customHeight="1" x14ac:dyDescent="0.3">
      <c r="B330" s="86">
        <v>327</v>
      </c>
      <c r="C330" s="58" t="s">
        <v>1617</v>
      </c>
      <c r="D330" s="103" t="s">
        <v>1618</v>
      </c>
      <c r="E330" s="59">
        <v>45657</v>
      </c>
      <c r="F330" s="104">
        <v>215063200</v>
      </c>
      <c r="G330" s="60" t="s">
        <v>1619</v>
      </c>
      <c r="H330" s="105" t="s">
        <v>805</v>
      </c>
      <c r="I330" s="61" t="s">
        <v>1619</v>
      </c>
      <c r="J330" s="106"/>
      <c r="K330" s="106"/>
      <c r="L330" s="106"/>
      <c r="M330" s="107"/>
      <c r="N330" s="107"/>
      <c r="O330" s="91"/>
    </row>
    <row r="331" spans="2:15" ht="54.75" customHeight="1" x14ac:dyDescent="0.3">
      <c r="B331" s="86">
        <v>328</v>
      </c>
      <c r="C331" s="58" t="s">
        <v>1620</v>
      </c>
      <c r="D331" s="103" t="s">
        <v>1621</v>
      </c>
      <c r="E331" s="59">
        <v>45657</v>
      </c>
      <c r="F331" s="104">
        <v>4885400</v>
      </c>
      <c r="G331" s="60" t="s">
        <v>1622</v>
      </c>
      <c r="H331" s="105" t="s">
        <v>805</v>
      </c>
      <c r="I331" s="61" t="s">
        <v>1622</v>
      </c>
      <c r="J331" s="106"/>
      <c r="K331" s="106"/>
      <c r="L331" s="106"/>
      <c r="M331" s="107"/>
      <c r="N331" s="107"/>
      <c r="O331" s="91"/>
    </row>
    <row r="334" spans="2:15" ht="15" customHeight="1" x14ac:dyDescent="0.3">
      <c r="B334" s="212" t="s">
        <v>2</v>
      </c>
      <c r="C334" s="216" t="s">
        <v>799</v>
      </c>
      <c r="D334" s="212" t="s">
        <v>800</v>
      </c>
      <c r="E334" s="212" t="s">
        <v>7</v>
      </c>
      <c r="F334" s="212" t="s">
        <v>8</v>
      </c>
      <c r="G334" s="212" t="s">
        <v>9</v>
      </c>
      <c r="H334" s="212" t="s">
        <v>11</v>
      </c>
      <c r="I334" s="212"/>
      <c r="J334" s="213" t="s">
        <v>12</v>
      </c>
      <c r="K334" s="213"/>
      <c r="L334" s="213"/>
      <c r="M334" s="212" t="s">
        <v>801</v>
      </c>
      <c r="N334" s="212" t="s">
        <v>6</v>
      </c>
      <c r="O334" s="212" t="s">
        <v>14</v>
      </c>
    </row>
    <row r="335" spans="2:15" ht="27" x14ac:dyDescent="0.3">
      <c r="B335" s="212"/>
      <c r="C335" s="216"/>
      <c r="D335" s="212"/>
      <c r="E335" s="212"/>
      <c r="F335" s="212"/>
      <c r="G335" s="212"/>
      <c r="H335" s="212"/>
      <c r="I335" s="212"/>
      <c r="J335" s="109" t="s">
        <v>15</v>
      </c>
      <c r="K335" s="109" t="s">
        <v>16</v>
      </c>
      <c r="L335" s="109" t="s">
        <v>17</v>
      </c>
      <c r="M335" s="212"/>
      <c r="N335" s="212"/>
      <c r="O335" s="212"/>
    </row>
    <row r="336" spans="2:15" ht="38.25" x14ac:dyDescent="0.3">
      <c r="B336" s="86">
        <v>1</v>
      </c>
      <c r="C336" s="63" t="s">
        <v>1623</v>
      </c>
      <c r="D336" s="87" t="s">
        <v>1624</v>
      </c>
      <c r="E336" s="64">
        <v>45657</v>
      </c>
      <c r="F336" s="88">
        <v>5415300</v>
      </c>
      <c r="G336" s="67" t="s">
        <v>1527</v>
      </c>
      <c r="H336" s="89" t="s">
        <v>805</v>
      </c>
      <c r="I336" s="66" t="s">
        <v>1625</v>
      </c>
      <c r="J336" s="90"/>
      <c r="K336" s="90"/>
      <c r="L336" s="90"/>
      <c r="M336" s="91"/>
      <c r="N336" s="91" t="s">
        <v>1626</v>
      </c>
      <c r="O336" s="91"/>
    </row>
    <row r="337" spans="2:15" ht="63.75" x14ac:dyDescent="0.3">
      <c r="B337" s="86">
        <v>2</v>
      </c>
      <c r="C337" s="63" t="s">
        <v>1627</v>
      </c>
      <c r="D337" s="87" t="s">
        <v>1628</v>
      </c>
      <c r="E337" s="64">
        <v>45657</v>
      </c>
      <c r="F337" s="88">
        <v>1374400</v>
      </c>
      <c r="G337" s="67" t="s">
        <v>1543</v>
      </c>
      <c r="H337" s="89" t="s">
        <v>805</v>
      </c>
      <c r="I337" s="66" t="s">
        <v>1629</v>
      </c>
      <c r="J337" s="90"/>
      <c r="K337" s="90"/>
      <c r="L337" s="90"/>
      <c r="M337" s="91" t="s">
        <v>1630</v>
      </c>
      <c r="N337" s="91" t="s">
        <v>1553</v>
      </c>
      <c r="O337" s="91"/>
    </row>
    <row r="338" spans="2:15" ht="63.75" x14ac:dyDescent="0.3">
      <c r="B338" s="86">
        <v>3</v>
      </c>
      <c r="C338" s="63" t="s">
        <v>1631</v>
      </c>
      <c r="D338" s="87" t="s">
        <v>1632</v>
      </c>
      <c r="E338" s="64">
        <v>45657</v>
      </c>
      <c r="F338" s="88">
        <v>1263900</v>
      </c>
      <c r="G338" s="67" t="s">
        <v>1250</v>
      </c>
      <c r="H338" s="89" t="s">
        <v>805</v>
      </c>
      <c r="I338" s="66" t="s">
        <v>1633</v>
      </c>
      <c r="J338" s="90"/>
      <c r="K338" s="90"/>
      <c r="L338" s="90"/>
      <c r="M338" s="91"/>
      <c r="N338" s="91" t="s">
        <v>1626</v>
      </c>
      <c r="O338" s="91"/>
    </row>
    <row r="339" spans="2:15" ht="25.5" x14ac:dyDescent="0.3">
      <c r="B339" s="86">
        <v>4</v>
      </c>
      <c r="C339" s="63" t="s">
        <v>704</v>
      </c>
      <c r="D339" s="87" t="s">
        <v>1634</v>
      </c>
      <c r="E339" s="64">
        <v>45657</v>
      </c>
      <c r="F339" s="88">
        <v>2432500</v>
      </c>
      <c r="G339" s="67" t="s">
        <v>706</v>
      </c>
      <c r="H339" s="89" t="s">
        <v>805</v>
      </c>
      <c r="I339" s="66" t="s">
        <v>1635</v>
      </c>
      <c r="J339" s="90"/>
      <c r="K339" s="90"/>
      <c r="L339" s="90"/>
      <c r="M339" s="91"/>
      <c r="N339" s="91" t="s">
        <v>1626</v>
      </c>
      <c r="O339" s="91"/>
    </row>
    <row r="343" spans="2:15" ht="17.25" thickBot="1" x14ac:dyDescent="0.35">
      <c r="B343" s="110"/>
      <c r="C343" s="111"/>
      <c r="D343" s="111"/>
      <c r="E343" s="111"/>
      <c r="F343" s="111"/>
      <c r="G343" s="112"/>
      <c r="H343" s="113"/>
      <c r="I343" s="111"/>
      <c r="J343" s="114"/>
      <c r="K343" s="111"/>
      <c r="L343" s="115"/>
      <c r="M343" s="115"/>
      <c r="N343" s="115"/>
    </row>
    <row r="344" spans="2:15" ht="45.75" thickTop="1" x14ac:dyDescent="0.3">
      <c r="B344" s="116"/>
      <c r="C344" s="117" t="s">
        <v>795</v>
      </c>
      <c r="D344" s="118">
        <v>332</v>
      </c>
      <c r="E344" s="119"/>
      <c r="F344" s="117" t="s">
        <v>796</v>
      </c>
      <c r="G344" s="120">
        <f>SUM(J156:J341)</f>
        <v>0</v>
      </c>
      <c r="H344" s="121"/>
      <c r="I344" s="119"/>
      <c r="J344" s="119"/>
      <c r="K344" s="122" t="s">
        <v>797</v>
      </c>
      <c r="L344" s="123" t="s">
        <v>13</v>
      </c>
      <c r="M344" s="123">
        <f>COUNTA(M4:M331)</f>
        <v>68</v>
      </c>
      <c r="N344" s="124"/>
    </row>
    <row r="345" spans="2:15" x14ac:dyDescent="0.3">
      <c r="B345" s="125" t="s">
        <v>798</v>
      </c>
      <c r="C345" s="126"/>
      <c r="D345" s="126"/>
      <c r="E345" s="126"/>
      <c r="F345" s="126"/>
      <c r="G345" s="127"/>
      <c r="H345" s="128"/>
      <c r="I345" s="126"/>
      <c r="J345" s="126"/>
      <c r="K345" s="129"/>
      <c r="L345" s="130" t="s">
        <v>6</v>
      </c>
      <c r="M345" s="130">
        <f>COUNTA(N4:N331)</f>
        <v>34</v>
      </c>
      <c r="N345" s="131"/>
    </row>
    <row r="346" spans="2:15" ht="46.5" thickBot="1" x14ac:dyDescent="0.35">
      <c r="B346" s="132"/>
      <c r="C346" s="133"/>
      <c r="D346" s="133"/>
      <c r="E346" s="133"/>
      <c r="F346" s="133"/>
      <c r="G346" s="134"/>
      <c r="H346" s="135"/>
      <c r="I346" s="133"/>
      <c r="J346" s="133"/>
      <c r="K346" s="136"/>
      <c r="L346" s="137" t="s">
        <v>14</v>
      </c>
      <c r="M346" s="137">
        <f>COUNTA(Q156:Q341)</f>
        <v>0</v>
      </c>
      <c r="N346" s="138"/>
    </row>
    <row r="347" spans="2:15" ht="17.25" thickTop="1" x14ac:dyDescent="0.3"/>
  </sheetData>
  <mergeCells count="22">
    <mergeCell ref="G2:G3"/>
    <mergeCell ref="B2:B3"/>
    <mergeCell ref="C2:C3"/>
    <mergeCell ref="D2:D3"/>
    <mergeCell ref="E2:E3"/>
    <mergeCell ref="F2:F3"/>
    <mergeCell ref="B334:B335"/>
    <mergeCell ref="C334:C335"/>
    <mergeCell ref="D334:D335"/>
    <mergeCell ref="E334:E335"/>
    <mergeCell ref="F334:F335"/>
    <mergeCell ref="O334:O335"/>
    <mergeCell ref="H2:I3"/>
    <mergeCell ref="J2:L2"/>
    <mergeCell ref="M2:M3"/>
    <mergeCell ref="N2:N3"/>
    <mergeCell ref="O2:O3"/>
    <mergeCell ref="G334:G335"/>
    <mergeCell ref="H334:I335"/>
    <mergeCell ref="J334:L334"/>
    <mergeCell ref="M334:M335"/>
    <mergeCell ref="N334:N335"/>
  </mergeCells>
  <printOptions horizontalCentered="1"/>
  <pageMargins left="0" right="0" top="0.75" bottom="0.75" header="0.3" footer="0.3"/>
  <pageSetup scale="9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O402"/>
  <sheetViews>
    <sheetView topLeftCell="A382" workbookViewId="0">
      <selection activeCell="D387" sqref="D387"/>
    </sheetView>
  </sheetViews>
  <sheetFormatPr defaultRowHeight="16.5" x14ac:dyDescent="0.3"/>
  <cols>
    <col min="1" max="1" width="9.140625" style="84"/>
    <col min="2" max="2" width="4.140625" style="84" customWidth="1"/>
    <col min="3" max="3" width="22.42578125" style="139" customWidth="1"/>
    <col min="4" max="4" width="11.7109375" style="140" customWidth="1"/>
    <col min="5" max="5" width="9.28515625" style="152" customWidth="1"/>
    <col min="6" max="6" width="13.85546875" style="140" customWidth="1"/>
    <col min="7" max="7" width="10.7109375" style="152" customWidth="1"/>
    <col min="8" max="8" width="9.140625" style="140"/>
    <col min="9" max="9" width="18.140625" style="140" customWidth="1"/>
    <col min="10" max="11" width="5.5703125" style="140" customWidth="1"/>
    <col min="12" max="12" width="4.85546875" style="140" customWidth="1"/>
    <col min="13" max="13" width="12" style="140" customWidth="1"/>
    <col min="14" max="14" width="21" style="84" bestFit="1" customWidth="1"/>
    <col min="15" max="16384" width="9.140625" style="84"/>
  </cols>
  <sheetData>
    <row r="2" spans="2:15" ht="10.5" customHeight="1" x14ac:dyDescent="0.3">
      <c r="B2" s="230" t="s">
        <v>2</v>
      </c>
      <c r="C2" s="235" t="s">
        <v>799</v>
      </c>
      <c r="D2" s="230" t="s">
        <v>800</v>
      </c>
      <c r="E2" s="234" t="s">
        <v>7</v>
      </c>
      <c r="F2" s="230" t="s">
        <v>8</v>
      </c>
      <c r="G2" s="234" t="s">
        <v>9</v>
      </c>
      <c r="H2" s="230" t="s">
        <v>11</v>
      </c>
      <c r="I2" s="230"/>
      <c r="J2" s="233" t="s">
        <v>12</v>
      </c>
      <c r="K2" s="233"/>
      <c r="L2" s="233"/>
      <c r="M2" s="230" t="s">
        <v>1636</v>
      </c>
      <c r="N2" s="230" t="s">
        <v>6</v>
      </c>
      <c r="O2" s="230" t="s">
        <v>14</v>
      </c>
    </row>
    <row r="3" spans="2:15" ht="21.75" customHeight="1" x14ac:dyDescent="0.3">
      <c r="B3" s="230"/>
      <c r="C3" s="235"/>
      <c r="D3" s="230"/>
      <c r="E3" s="234"/>
      <c r="F3" s="230"/>
      <c r="G3" s="234"/>
      <c r="H3" s="230"/>
      <c r="I3" s="230"/>
      <c r="J3" s="141" t="s">
        <v>15</v>
      </c>
      <c r="K3" s="141" t="s">
        <v>16</v>
      </c>
      <c r="L3" s="141" t="s">
        <v>17</v>
      </c>
      <c r="M3" s="230"/>
      <c r="N3" s="230"/>
      <c r="O3" s="230"/>
    </row>
    <row r="4" spans="2:15" ht="25.5" x14ac:dyDescent="0.3">
      <c r="B4" s="142">
        <v>1</v>
      </c>
      <c r="C4" s="75" t="s">
        <v>1637</v>
      </c>
      <c r="D4" s="99" t="s">
        <v>1638</v>
      </c>
      <c r="E4" s="76">
        <v>45657</v>
      </c>
      <c r="F4" s="100">
        <v>43658500</v>
      </c>
      <c r="G4" s="77" t="s">
        <v>817</v>
      </c>
      <c r="H4" s="101" t="s">
        <v>422</v>
      </c>
      <c r="I4" s="65" t="s">
        <v>817</v>
      </c>
      <c r="J4" s="102"/>
      <c r="K4" s="102"/>
      <c r="L4" s="102"/>
      <c r="M4" s="102"/>
      <c r="N4" s="91"/>
    </row>
    <row r="5" spans="2:15" ht="38.25" x14ac:dyDescent="0.3">
      <c r="B5" s="142">
        <v>2</v>
      </c>
      <c r="C5" s="75" t="s">
        <v>1639</v>
      </c>
      <c r="D5" s="143" t="s">
        <v>1640</v>
      </c>
      <c r="E5" s="76">
        <v>45657</v>
      </c>
      <c r="F5" s="144">
        <v>3039900</v>
      </c>
      <c r="G5" s="77" t="s">
        <v>1641</v>
      </c>
      <c r="H5" s="145" t="s">
        <v>422</v>
      </c>
      <c r="I5" s="65" t="s">
        <v>1641</v>
      </c>
      <c r="J5" s="102"/>
      <c r="K5" s="102"/>
      <c r="L5" s="102"/>
      <c r="M5" s="102"/>
      <c r="N5" s="91"/>
    </row>
    <row r="6" spans="2:15" ht="38.25" x14ac:dyDescent="0.3">
      <c r="B6" s="142">
        <v>3</v>
      </c>
      <c r="C6" s="75" t="s">
        <v>1642</v>
      </c>
      <c r="D6" s="143" t="s">
        <v>1643</v>
      </c>
      <c r="E6" s="76">
        <v>45657</v>
      </c>
      <c r="F6" s="144">
        <v>1382200</v>
      </c>
      <c r="G6" s="77" t="s">
        <v>1641</v>
      </c>
      <c r="H6" s="145" t="s">
        <v>422</v>
      </c>
      <c r="I6" s="65" t="s">
        <v>1641</v>
      </c>
      <c r="J6" s="102"/>
      <c r="K6" s="102"/>
      <c r="L6" s="102"/>
      <c r="M6" s="102"/>
      <c r="N6" s="91"/>
    </row>
    <row r="7" spans="2:15" ht="25.5" x14ac:dyDescent="0.3">
      <c r="B7" s="142">
        <v>4</v>
      </c>
      <c r="C7" s="75" t="s">
        <v>1644</v>
      </c>
      <c r="D7" s="143" t="s">
        <v>1645</v>
      </c>
      <c r="E7" s="76">
        <v>45657</v>
      </c>
      <c r="F7" s="144">
        <v>18067100</v>
      </c>
      <c r="G7" s="77" t="s">
        <v>1641</v>
      </c>
      <c r="H7" s="145" t="s">
        <v>422</v>
      </c>
      <c r="I7" s="65" t="s">
        <v>1641</v>
      </c>
      <c r="J7" s="102"/>
      <c r="K7" s="102"/>
      <c r="L7" s="102"/>
      <c r="M7" s="102"/>
      <c r="N7" s="91"/>
    </row>
    <row r="8" spans="2:15" x14ac:dyDescent="0.3">
      <c r="B8" s="142">
        <v>5</v>
      </c>
      <c r="C8" s="75" t="s">
        <v>1646</v>
      </c>
      <c r="D8" s="143" t="s">
        <v>1647</v>
      </c>
      <c r="E8" s="76">
        <v>45657</v>
      </c>
      <c r="F8" s="144">
        <v>892200</v>
      </c>
      <c r="G8" s="77" t="s">
        <v>1641</v>
      </c>
      <c r="H8" s="145" t="s">
        <v>422</v>
      </c>
      <c r="I8" s="65" t="s">
        <v>1641</v>
      </c>
      <c r="J8" s="102"/>
      <c r="K8" s="102"/>
      <c r="L8" s="102"/>
      <c r="M8" s="102"/>
      <c r="N8" s="91"/>
    </row>
    <row r="9" spans="2:15" x14ac:dyDescent="0.3">
      <c r="B9" s="142">
        <v>6</v>
      </c>
      <c r="C9" s="75" t="s">
        <v>1646</v>
      </c>
      <c r="D9" s="143" t="s">
        <v>1648</v>
      </c>
      <c r="E9" s="76">
        <v>45657</v>
      </c>
      <c r="F9" s="144">
        <v>892200</v>
      </c>
      <c r="G9" s="77" t="s">
        <v>1641</v>
      </c>
      <c r="H9" s="145" t="s">
        <v>422</v>
      </c>
      <c r="I9" s="65" t="s">
        <v>1641</v>
      </c>
      <c r="J9" s="102"/>
      <c r="K9" s="102"/>
      <c r="L9" s="102"/>
      <c r="M9" s="102"/>
      <c r="N9" s="91"/>
    </row>
    <row r="10" spans="2:15" x14ac:dyDescent="0.3">
      <c r="B10" s="142">
        <v>7</v>
      </c>
      <c r="C10" s="75" t="s">
        <v>1649</v>
      </c>
      <c r="D10" s="143" t="s">
        <v>1650</v>
      </c>
      <c r="E10" s="76">
        <v>45657</v>
      </c>
      <c r="F10" s="144">
        <v>892200</v>
      </c>
      <c r="G10" s="77" t="s">
        <v>1641</v>
      </c>
      <c r="H10" s="145" t="s">
        <v>422</v>
      </c>
      <c r="I10" s="65" t="s">
        <v>1641</v>
      </c>
      <c r="J10" s="102"/>
      <c r="K10" s="102"/>
      <c r="L10" s="102"/>
      <c r="M10" s="102"/>
      <c r="N10" s="91"/>
    </row>
    <row r="11" spans="2:15" ht="63.75" x14ac:dyDescent="0.3">
      <c r="B11" s="142">
        <v>8</v>
      </c>
      <c r="C11" s="75" t="s">
        <v>1651</v>
      </c>
      <c r="D11" s="143" t="s">
        <v>1652</v>
      </c>
      <c r="E11" s="76">
        <v>45657</v>
      </c>
      <c r="F11" s="144">
        <v>10320200</v>
      </c>
      <c r="G11" s="77" t="s">
        <v>1641</v>
      </c>
      <c r="H11" s="145" t="s">
        <v>422</v>
      </c>
      <c r="I11" s="65" t="s">
        <v>1641</v>
      </c>
      <c r="J11" s="102"/>
      <c r="K11" s="102"/>
      <c r="L11" s="102"/>
      <c r="M11" s="102"/>
      <c r="N11" s="91"/>
    </row>
    <row r="12" spans="2:15" ht="38.25" x14ac:dyDescent="0.3">
      <c r="B12" s="142">
        <v>9</v>
      </c>
      <c r="C12" s="75" t="s">
        <v>1653</v>
      </c>
      <c r="D12" s="143" t="s">
        <v>1654</v>
      </c>
      <c r="E12" s="76">
        <v>45657</v>
      </c>
      <c r="F12" s="144">
        <v>2644700</v>
      </c>
      <c r="G12" s="77" t="s">
        <v>1655</v>
      </c>
      <c r="H12" s="145" t="s">
        <v>422</v>
      </c>
      <c r="I12" s="65" t="s">
        <v>1655</v>
      </c>
      <c r="J12" s="102"/>
      <c r="K12" s="102"/>
      <c r="L12" s="102"/>
      <c r="M12" s="102"/>
      <c r="N12" s="91"/>
    </row>
    <row r="13" spans="2:15" ht="27" x14ac:dyDescent="0.3">
      <c r="B13" s="142">
        <v>10</v>
      </c>
      <c r="C13" s="75" t="s">
        <v>1656</v>
      </c>
      <c r="D13" s="143" t="s">
        <v>1657</v>
      </c>
      <c r="E13" s="76">
        <v>45657</v>
      </c>
      <c r="F13" s="144">
        <v>3201200</v>
      </c>
      <c r="G13" s="77" t="s">
        <v>1655</v>
      </c>
      <c r="H13" s="145" t="s">
        <v>422</v>
      </c>
      <c r="I13" s="65" t="s">
        <v>1655</v>
      </c>
      <c r="J13" s="102"/>
      <c r="K13" s="102"/>
      <c r="L13" s="102"/>
      <c r="M13" s="102"/>
      <c r="N13" s="91"/>
    </row>
    <row r="14" spans="2:15" ht="25.5" x14ac:dyDescent="0.3">
      <c r="B14" s="142">
        <v>11</v>
      </c>
      <c r="C14" s="75" t="s">
        <v>1658</v>
      </c>
      <c r="D14" s="99" t="s">
        <v>1659</v>
      </c>
      <c r="E14" s="76">
        <v>45657</v>
      </c>
      <c r="F14" s="100">
        <v>670600</v>
      </c>
      <c r="G14" s="77" t="s">
        <v>843</v>
      </c>
      <c r="H14" s="101" t="s">
        <v>422</v>
      </c>
      <c r="I14" s="65" t="s">
        <v>843</v>
      </c>
      <c r="J14" s="102"/>
      <c r="K14" s="102"/>
      <c r="L14" s="102"/>
      <c r="M14" s="102"/>
      <c r="N14" s="91"/>
    </row>
    <row r="15" spans="2:15" ht="38.25" x14ac:dyDescent="0.3">
      <c r="B15" s="142">
        <v>12</v>
      </c>
      <c r="C15" s="75" t="s">
        <v>1660</v>
      </c>
      <c r="D15" s="143" t="s">
        <v>1661</v>
      </c>
      <c r="E15" s="76">
        <v>45657</v>
      </c>
      <c r="F15" s="144">
        <v>14402700</v>
      </c>
      <c r="G15" s="77" t="s">
        <v>1662</v>
      </c>
      <c r="H15" s="145" t="s">
        <v>422</v>
      </c>
      <c r="I15" s="65" t="s">
        <v>1662</v>
      </c>
      <c r="J15" s="102"/>
      <c r="K15" s="102"/>
      <c r="L15" s="102"/>
      <c r="M15" s="102"/>
      <c r="N15" s="91"/>
    </row>
    <row r="16" spans="2:15" ht="63.75" x14ac:dyDescent="0.3">
      <c r="B16" s="142">
        <v>13</v>
      </c>
      <c r="C16" s="75" t="s">
        <v>1663</v>
      </c>
      <c r="D16" s="143" t="s">
        <v>1664</v>
      </c>
      <c r="E16" s="76">
        <v>45657</v>
      </c>
      <c r="F16" s="144">
        <v>42683300</v>
      </c>
      <c r="G16" s="77" t="s">
        <v>1665</v>
      </c>
      <c r="H16" s="145" t="s">
        <v>422</v>
      </c>
      <c r="I16" s="65" t="s">
        <v>1665</v>
      </c>
      <c r="J16" s="102"/>
      <c r="K16" s="102"/>
      <c r="L16" s="102"/>
      <c r="M16" s="102"/>
      <c r="N16" s="91"/>
    </row>
    <row r="17" spans="2:14" ht="38.25" x14ac:dyDescent="0.3">
      <c r="B17" s="142">
        <v>14</v>
      </c>
      <c r="C17" s="75" t="s">
        <v>1660</v>
      </c>
      <c r="D17" s="143" t="s">
        <v>1666</v>
      </c>
      <c r="E17" s="76">
        <v>45657</v>
      </c>
      <c r="F17" s="144">
        <v>14402700</v>
      </c>
      <c r="G17" s="77" t="s">
        <v>1667</v>
      </c>
      <c r="H17" s="145" t="s">
        <v>422</v>
      </c>
      <c r="I17" s="65" t="s">
        <v>1667</v>
      </c>
      <c r="J17" s="102"/>
      <c r="K17" s="102"/>
      <c r="L17" s="102"/>
      <c r="M17" s="102"/>
      <c r="N17" s="91"/>
    </row>
    <row r="18" spans="2:14" ht="25.5" x14ac:dyDescent="0.3">
      <c r="B18" s="142">
        <v>15</v>
      </c>
      <c r="C18" s="75" t="s">
        <v>1668</v>
      </c>
      <c r="D18" s="143" t="s">
        <v>1669</v>
      </c>
      <c r="E18" s="76">
        <v>45657</v>
      </c>
      <c r="F18" s="144">
        <v>14402700</v>
      </c>
      <c r="G18" s="77" t="s">
        <v>1670</v>
      </c>
      <c r="H18" s="145" t="s">
        <v>422</v>
      </c>
      <c r="I18" s="65" t="s">
        <v>1670</v>
      </c>
      <c r="J18" s="102"/>
      <c r="K18" s="102"/>
      <c r="L18" s="102"/>
      <c r="M18" s="102"/>
      <c r="N18" s="91"/>
    </row>
    <row r="19" spans="2:14" ht="25.5" x14ac:dyDescent="0.3">
      <c r="B19" s="142">
        <v>16</v>
      </c>
      <c r="C19" s="75" t="s">
        <v>1671</v>
      </c>
      <c r="D19" s="143" t="s">
        <v>1672</v>
      </c>
      <c r="E19" s="76">
        <v>45657</v>
      </c>
      <c r="F19" s="144">
        <v>1214800</v>
      </c>
      <c r="G19" s="77" t="s">
        <v>892</v>
      </c>
      <c r="H19" s="145" t="s">
        <v>422</v>
      </c>
      <c r="I19" s="65" t="s">
        <v>1673</v>
      </c>
      <c r="J19" s="102"/>
      <c r="K19" s="102"/>
      <c r="L19" s="102"/>
      <c r="M19" s="102"/>
      <c r="N19" s="91"/>
    </row>
    <row r="20" spans="2:14" x14ac:dyDescent="0.3">
      <c r="B20" s="142">
        <v>17</v>
      </c>
      <c r="C20" s="75" t="s">
        <v>1674</v>
      </c>
      <c r="D20" s="143" t="s">
        <v>1675</v>
      </c>
      <c r="E20" s="76">
        <v>45657</v>
      </c>
      <c r="F20" s="144">
        <v>1605500</v>
      </c>
      <c r="G20" s="77" t="s">
        <v>892</v>
      </c>
      <c r="H20" s="145" t="s">
        <v>422</v>
      </c>
      <c r="I20" s="65" t="s">
        <v>1563</v>
      </c>
      <c r="J20" s="102"/>
      <c r="K20" s="102"/>
      <c r="L20" s="102"/>
      <c r="M20" s="102" t="s">
        <v>25</v>
      </c>
      <c r="N20" s="91"/>
    </row>
    <row r="21" spans="2:14" ht="27" x14ac:dyDescent="0.3">
      <c r="B21" s="142">
        <v>18</v>
      </c>
      <c r="C21" s="75" t="s">
        <v>1676</v>
      </c>
      <c r="D21" s="143" t="s">
        <v>1677</v>
      </c>
      <c r="E21" s="76">
        <v>45657</v>
      </c>
      <c r="F21" s="144">
        <v>846400</v>
      </c>
      <c r="G21" s="77" t="s">
        <v>1678</v>
      </c>
      <c r="H21" s="145" t="s">
        <v>422</v>
      </c>
      <c r="I21" s="65" t="s">
        <v>1679</v>
      </c>
      <c r="J21" s="102"/>
      <c r="K21" s="102"/>
      <c r="L21" s="102"/>
      <c r="M21" s="102"/>
      <c r="N21" s="91" t="s">
        <v>1263</v>
      </c>
    </row>
    <row r="22" spans="2:14" ht="27" x14ac:dyDescent="0.3">
      <c r="B22" s="142">
        <v>19</v>
      </c>
      <c r="C22" s="75" t="s">
        <v>1680</v>
      </c>
      <c r="D22" s="143" t="s">
        <v>1681</v>
      </c>
      <c r="E22" s="76">
        <v>45657</v>
      </c>
      <c r="F22" s="144">
        <v>846400</v>
      </c>
      <c r="G22" s="77" t="s">
        <v>1678</v>
      </c>
      <c r="H22" s="145" t="s">
        <v>422</v>
      </c>
      <c r="I22" s="65" t="s">
        <v>1679</v>
      </c>
      <c r="J22" s="102"/>
      <c r="K22" s="102"/>
      <c r="L22" s="102"/>
      <c r="M22" s="102"/>
      <c r="N22" s="91" t="s">
        <v>1263</v>
      </c>
    </row>
    <row r="23" spans="2:14" ht="25.5" x14ac:dyDescent="0.3">
      <c r="B23" s="142">
        <v>20</v>
      </c>
      <c r="C23" s="75" t="s">
        <v>1682</v>
      </c>
      <c r="D23" s="143" t="s">
        <v>1683</v>
      </c>
      <c r="E23" s="76">
        <v>45657</v>
      </c>
      <c r="F23" s="144">
        <v>9099300</v>
      </c>
      <c r="G23" s="77" t="s">
        <v>1678</v>
      </c>
      <c r="H23" s="145" t="s">
        <v>422</v>
      </c>
      <c r="I23" s="65" t="s">
        <v>1684</v>
      </c>
      <c r="J23" s="102"/>
      <c r="K23" s="102"/>
      <c r="L23" s="102"/>
      <c r="M23" s="102"/>
      <c r="N23" s="91" t="s">
        <v>1263</v>
      </c>
    </row>
    <row r="24" spans="2:14" ht="27" x14ac:dyDescent="0.3">
      <c r="B24" s="142">
        <v>21</v>
      </c>
      <c r="C24" s="75" t="s">
        <v>1685</v>
      </c>
      <c r="D24" s="143" t="s">
        <v>1686</v>
      </c>
      <c r="E24" s="76">
        <v>45657</v>
      </c>
      <c r="F24" s="144">
        <v>775200</v>
      </c>
      <c r="G24" s="77" t="s">
        <v>1678</v>
      </c>
      <c r="H24" s="145" t="s">
        <v>422</v>
      </c>
      <c r="I24" s="65" t="s">
        <v>1679</v>
      </c>
      <c r="J24" s="102"/>
      <c r="K24" s="102"/>
      <c r="L24" s="102"/>
      <c r="M24" s="102"/>
      <c r="N24" s="91" t="s">
        <v>1263</v>
      </c>
    </row>
    <row r="25" spans="2:14" ht="38.25" x14ac:dyDescent="0.3">
      <c r="B25" s="142">
        <v>22</v>
      </c>
      <c r="C25" s="75" t="s">
        <v>1687</v>
      </c>
      <c r="D25" s="143" t="s">
        <v>1688</v>
      </c>
      <c r="E25" s="76">
        <v>45657</v>
      </c>
      <c r="F25" s="144">
        <v>1026400</v>
      </c>
      <c r="G25" s="77" t="s">
        <v>1678</v>
      </c>
      <c r="H25" s="145" t="s">
        <v>422</v>
      </c>
      <c r="I25" s="65" t="s">
        <v>1679</v>
      </c>
      <c r="J25" s="102"/>
      <c r="K25" s="102"/>
      <c r="L25" s="102"/>
      <c r="M25" s="102"/>
      <c r="N25" s="91" t="s">
        <v>1263</v>
      </c>
    </row>
    <row r="26" spans="2:14" ht="27" x14ac:dyDescent="0.3">
      <c r="B26" s="142">
        <v>23</v>
      </c>
      <c r="C26" s="75" t="s">
        <v>1689</v>
      </c>
      <c r="D26" s="143" t="s">
        <v>1690</v>
      </c>
      <c r="E26" s="76">
        <v>45657</v>
      </c>
      <c r="F26" s="144">
        <v>813200</v>
      </c>
      <c r="G26" s="77" t="s">
        <v>1678</v>
      </c>
      <c r="H26" s="145" t="s">
        <v>422</v>
      </c>
      <c r="I26" s="65" t="s">
        <v>1691</v>
      </c>
      <c r="J26" s="102"/>
      <c r="K26" s="102"/>
      <c r="L26" s="102"/>
      <c r="M26" s="102"/>
      <c r="N26" s="91" t="s">
        <v>1263</v>
      </c>
    </row>
    <row r="27" spans="2:14" ht="27" x14ac:dyDescent="0.3">
      <c r="B27" s="142">
        <v>24</v>
      </c>
      <c r="C27" s="75" t="s">
        <v>1692</v>
      </c>
      <c r="D27" s="143" t="s">
        <v>1693</v>
      </c>
      <c r="E27" s="76">
        <v>45657</v>
      </c>
      <c r="F27" s="144">
        <v>1200600</v>
      </c>
      <c r="G27" s="77" t="s">
        <v>1678</v>
      </c>
      <c r="H27" s="145" t="s">
        <v>422</v>
      </c>
      <c r="I27" s="65" t="s">
        <v>1691</v>
      </c>
      <c r="J27" s="102"/>
      <c r="K27" s="102"/>
      <c r="L27" s="102"/>
      <c r="M27" s="102"/>
      <c r="N27" s="91" t="s">
        <v>1263</v>
      </c>
    </row>
    <row r="28" spans="2:14" ht="38.25" x14ac:dyDescent="0.3">
      <c r="B28" s="142">
        <v>25</v>
      </c>
      <c r="C28" s="75" t="s">
        <v>1694</v>
      </c>
      <c r="D28" s="143" t="s">
        <v>1695</v>
      </c>
      <c r="E28" s="76">
        <v>45657</v>
      </c>
      <c r="F28" s="144">
        <v>1581500</v>
      </c>
      <c r="G28" s="77" t="s">
        <v>1678</v>
      </c>
      <c r="H28" s="145" t="s">
        <v>422</v>
      </c>
      <c r="I28" s="65" t="s">
        <v>1691</v>
      </c>
      <c r="J28" s="102"/>
      <c r="K28" s="102"/>
      <c r="L28" s="102"/>
      <c r="M28" s="102"/>
      <c r="N28" s="91" t="s">
        <v>1263</v>
      </c>
    </row>
    <row r="29" spans="2:14" ht="27" x14ac:dyDescent="0.3">
      <c r="B29" s="142">
        <v>26</v>
      </c>
      <c r="C29" s="75" t="s">
        <v>1696</v>
      </c>
      <c r="D29" s="143" t="s">
        <v>1697</v>
      </c>
      <c r="E29" s="76">
        <v>45657</v>
      </c>
      <c r="F29" s="144">
        <v>1511700</v>
      </c>
      <c r="G29" s="77" t="s">
        <v>1678</v>
      </c>
      <c r="H29" s="145" t="s">
        <v>422</v>
      </c>
      <c r="I29" s="65" t="s">
        <v>1691</v>
      </c>
      <c r="J29" s="102"/>
      <c r="K29" s="102"/>
      <c r="L29" s="102"/>
      <c r="M29" s="102" t="s">
        <v>25</v>
      </c>
      <c r="N29" s="91"/>
    </row>
    <row r="30" spans="2:14" ht="25.5" x14ac:dyDescent="0.3">
      <c r="B30" s="142">
        <v>27</v>
      </c>
      <c r="C30" s="75" t="s">
        <v>1698</v>
      </c>
      <c r="D30" s="143" t="s">
        <v>1699</v>
      </c>
      <c r="E30" s="76">
        <v>45657</v>
      </c>
      <c r="F30" s="144">
        <v>814000</v>
      </c>
      <c r="G30" s="77" t="s">
        <v>1678</v>
      </c>
      <c r="H30" s="145" t="s">
        <v>422</v>
      </c>
      <c r="I30" s="65" t="s">
        <v>1700</v>
      </c>
      <c r="J30" s="102"/>
      <c r="K30" s="102"/>
      <c r="L30" s="102"/>
      <c r="M30" s="102"/>
      <c r="N30" s="91" t="s">
        <v>1263</v>
      </c>
    </row>
    <row r="31" spans="2:14" ht="51" x14ac:dyDescent="0.3">
      <c r="B31" s="142">
        <v>28</v>
      </c>
      <c r="C31" s="75" t="s">
        <v>1701</v>
      </c>
      <c r="D31" s="143" t="s">
        <v>1702</v>
      </c>
      <c r="E31" s="76">
        <v>45657</v>
      </c>
      <c r="F31" s="144">
        <v>1792700</v>
      </c>
      <c r="G31" s="77" t="s">
        <v>1678</v>
      </c>
      <c r="H31" s="145" t="s">
        <v>422</v>
      </c>
      <c r="I31" s="65" t="s">
        <v>1691</v>
      </c>
      <c r="J31" s="102"/>
      <c r="K31" s="102"/>
      <c r="L31" s="102"/>
      <c r="M31" s="102"/>
      <c r="N31" s="91" t="s">
        <v>1263</v>
      </c>
    </row>
    <row r="32" spans="2:14" ht="27" x14ac:dyDescent="0.3">
      <c r="B32" s="142">
        <v>29</v>
      </c>
      <c r="C32" s="75" t="s">
        <v>1703</v>
      </c>
      <c r="D32" s="143" t="s">
        <v>1704</v>
      </c>
      <c r="E32" s="76">
        <v>45657</v>
      </c>
      <c r="F32" s="144">
        <v>958200</v>
      </c>
      <c r="G32" s="77" t="s">
        <v>1678</v>
      </c>
      <c r="H32" s="145" t="s">
        <v>422</v>
      </c>
      <c r="I32" s="65" t="s">
        <v>1691</v>
      </c>
      <c r="J32" s="102"/>
      <c r="K32" s="102"/>
      <c r="L32" s="102"/>
      <c r="M32" s="102"/>
      <c r="N32" s="91" t="s">
        <v>1263</v>
      </c>
    </row>
    <row r="33" spans="2:14" ht="27" x14ac:dyDescent="0.3">
      <c r="B33" s="142">
        <v>30</v>
      </c>
      <c r="C33" s="75" t="s">
        <v>1705</v>
      </c>
      <c r="D33" s="143" t="s">
        <v>1706</v>
      </c>
      <c r="E33" s="76">
        <v>45657</v>
      </c>
      <c r="F33" s="144">
        <v>3297000</v>
      </c>
      <c r="G33" s="77" t="s">
        <v>1678</v>
      </c>
      <c r="H33" s="145" t="s">
        <v>422</v>
      </c>
      <c r="I33" s="65" t="s">
        <v>1691</v>
      </c>
      <c r="J33" s="102"/>
      <c r="K33" s="102"/>
      <c r="L33" s="102"/>
      <c r="M33" s="102"/>
      <c r="N33" s="91" t="s">
        <v>1263</v>
      </c>
    </row>
    <row r="34" spans="2:14" ht="27" x14ac:dyDescent="0.3">
      <c r="B34" s="142">
        <v>31</v>
      </c>
      <c r="C34" s="75" t="s">
        <v>1707</v>
      </c>
      <c r="D34" s="143" t="s">
        <v>1708</v>
      </c>
      <c r="E34" s="76">
        <v>45657</v>
      </c>
      <c r="F34" s="144">
        <v>762400</v>
      </c>
      <c r="G34" s="77" t="s">
        <v>1678</v>
      </c>
      <c r="H34" s="145" t="s">
        <v>422</v>
      </c>
      <c r="I34" s="65" t="s">
        <v>1709</v>
      </c>
      <c r="J34" s="102"/>
      <c r="K34" s="102"/>
      <c r="L34" s="102"/>
      <c r="M34" s="102"/>
      <c r="N34" s="91" t="s">
        <v>1263</v>
      </c>
    </row>
    <row r="35" spans="2:14" ht="63.75" x14ac:dyDescent="0.3">
      <c r="B35" s="142">
        <v>32</v>
      </c>
      <c r="C35" s="75" t="s">
        <v>1710</v>
      </c>
      <c r="D35" s="143" t="s">
        <v>1711</v>
      </c>
      <c r="E35" s="76">
        <v>45657</v>
      </c>
      <c r="F35" s="144">
        <v>1621800</v>
      </c>
      <c r="G35" s="77" t="s">
        <v>1678</v>
      </c>
      <c r="H35" s="145" t="s">
        <v>422</v>
      </c>
      <c r="I35" s="65" t="s">
        <v>1691</v>
      </c>
      <c r="J35" s="102"/>
      <c r="K35" s="102"/>
      <c r="L35" s="102"/>
      <c r="M35" s="102"/>
      <c r="N35" s="91" t="s">
        <v>1263</v>
      </c>
    </row>
    <row r="36" spans="2:14" ht="27" x14ac:dyDescent="0.3">
      <c r="B36" s="142">
        <v>33</v>
      </c>
      <c r="C36" s="75" t="s">
        <v>1712</v>
      </c>
      <c r="D36" s="143" t="s">
        <v>1713</v>
      </c>
      <c r="E36" s="76">
        <v>45657</v>
      </c>
      <c r="F36" s="144">
        <v>1444000</v>
      </c>
      <c r="G36" s="77" t="s">
        <v>1678</v>
      </c>
      <c r="H36" s="145" t="s">
        <v>422</v>
      </c>
      <c r="I36" s="65" t="s">
        <v>1691</v>
      </c>
      <c r="J36" s="102"/>
      <c r="K36" s="102"/>
      <c r="L36" s="102"/>
      <c r="M36" s="102"/>
      <c r="N36" s="91" t="s">
        <v>1263</v>
      </c>
    </row>
    <row r="37" spans="2:14" ht="27" x14ac:dyDescent="0.3">
      <c r="B37" s="142">
        <v>34</v>
      </c>
      <c r="C37" s="75" t="s">
        <v>1714</v>
      </c>
      <c r="D37" s="143" t="s">
        <v>1715</v>
      </c>
      <c r="E37" s="76">
        <v>45657</v>
      </c>
      <c r="F37" s="144">
        <v>755300</v>
      </c>
      <c r="G37" s="77" t="s">
        <v>1678</v>
      </c>
      <c r="H37" s="145" t="s">
        <v>422</v>
      </c>
      <c r="I37" s="65" t="s">
        <v>1691</v>
      </c>
      <c r="J37" s="102"/>
      <c r="K37" s="102"/>
      <c r="L37" s="102"/>
      <c r="M37" s="102"/>
      <c r="N37" s="91" t="s">
        <v>1263</v>
      </c>
    </row>
    <row r="38" spans="2:14" ht="27" x14ac:dyDescent="0.3">
      <c r="B38" s="142">
        <v>35</v>
      </c>
      <c r="C38" s="75" t="s">
        <v>1714</v>
      </c>
      <c r="D38" s="143" t="s">
        <v>1716</v>
      </c>
      <c r="E38" s="76">
        <v>45657</v>
      </c>
      <c r="F38" s="144">
        <v>755300</v>
      </c>
      <c r="G38" s="77" t="s">
        <v>1678</v>
      </c>
      <c r="H38" s="145" t="s">
        <v>422</v>
      </c>
      <c r="I38" s="65" t="s">
        <v>1691</v>
      </c>
      <c r="J38" s="102"/>
      <c r="K38" s="102"/>
      <c r="L38" s="102"/>
      <c r="M38" s="102"/>
      <c r="N38" s="91" t="s">
        <v>1263</v>
      </c>
    </row>
    <row r="39" spans="2:14" ht="27" x14ac:dyDescent="0.3">
      <c r="B39" s="142">
        <v>36</v>
      </c>
      <c r="C39" s="75" t="s">
        <v>1714</v>
      </c>
      <c r="D39" s="143" t="s">
        <v>1717</v>
      </c>
      <c r="E39" s="76">
        <v>45657</v>
      </c>
      <c r="F39" s="144">
        <v>755300</v>
      </c>
      <c r="G39" s="77" t="s">
        <v>1678</v>
      </c>
      <c r="H39" s="145" t="s">
        <v>422</v>
      </c>
      <c r="I39" s="65" t="s">
        <v>1691</v>
      </c>
      <c r="J39" s="102"/>
      <c r="K39" s="102"/>
      <c r="L39" s="102"/>
      <c r="M39" s="102"/>
      <c r="N39" s="91" t="s">
        <v>1263</v>
      </c>
    </row>
    <row r="40" spans="2:14" ht="27" x14ac:dyDescent="0.3">
      <c r="B40" s="142">
        <v>37</v>
      </c>
      <c r="C40" s="75" t="s">
        <v>1714</v>
      </c>
      <c r="D40" s="143" t="s">
        <v>1718</v>
      </c>
      <c r="E40" s="76">
        <v>45657</v>
      </c>
      <c r="F40" s="144">
        <v>755300</v>
      </c>
      <c r="G40" s="77" t="s">
        <v>1678</v>
      </c>
      <c r="H40" s="145" t="s">
        <v>422</v>
      </c>
      <c r="I40" s="65" t="s">
        <v>1691</v>
      </c>
      <c r="J40" s="102"/>
      <c r="K40" s="102"/>
      <c r="L40" s="102"/>
      <c r="M40" s="102"/>
      <c r="N40" s="91" t="s">
        <v>1263</v>
      </c>
    </row>
    <row r="41" spans="2:14" ht="27" x14ac:dyDescent="0.3">
      <c r="B41" s="142">
        <v>38</v>
      </c>
      <c r="C41" s="75" t="s">
        <v>1719</v>
      </c>
      <c r="D41" s="143" t="s">
        <v>1720</v>
      </c>
      <c r="E41" s="76">
        <v>45657</v>
      </c>
      <c r="F41" s="144">
        <v>916400</v>
      </c>
      <c r="G41" s="77" t="s">
        <v>1678</v>
      </c>
      <c r="H41" s="145" t="s">
        <v>422</v>
      </c>
      <c r="I41" s="65" t="s">
        <v>1691</v>
      </c>
      <c r="J41" s="102"/>
      <c r="K41" s="102"/>
      <c r="L41" s="102"/>
      <c r="M41" s="102"/>
      <c r="N41" s="91" t="s">
        <v>1263</v>
      </c>
    </row>
    <row r="42" spans="2:14" ht="27" x14ac:dyDescent="0.3">
      <c r="B42" s="142">
        <v>39</v>
      </c>
      <c r="C42" s="75" t="s">
        <v>1721</v>
      </c>
      <c r="D42" s="143" t="s">
        <v>1722</v>
      </c>
      <c r="E42" s="76">
        <v>45657</v>
      </c>
      <c r="F42" s="144">
        <v>764800</v>
      </c>
      <c r="G42" s="77" t="s">
        <v>918</v>
      </c>
      <c r="H42" s="145" t="s">
        <v>422</v>
      </c>
      <c r="I42" s="65" t="s">
        <v>1691</v>
      </c>
      <c r="J42" s="102"/>
      <c r="K42" s="102"/>
      <c r="L42" s="102"/>
      <c r="M42" s="102"/>
      <c r="N42" s="91" t="s">
        <v>1263</v>
      </c>
    </row>
    <row r="43" spans="2:14" ht="27" x14ac:dyDescent="0.3">
      <c r="B43" s="142">
        <v>40</v>
      </c>
      <c r="C43" s="75" t="s">
        <v>1723</v>
      </c>
      <c r="D43" s="143" t="s">
        <v>1724</v>
      </c>
      <c r="E43" s="76">
        <v>45657</v>
      </c>
      <c r="F43" s="144">
        <v>3574900</v>
      </c>
      <c r="G43" s="77" t="s">
        <v>1678</v>
      </c>
      <c r="H43" s="145" t="s">
        <v>422</v>
      </c>
      <c r="I43" s="65" t="s">
        <v>1691</v>
      </c>
      <c r="J43" s="102"/>
      <c r="K43" s="102"/>
      <c r="L43" s="102"/>
      <c r="M43" s="102"/>
      <c r="N43" s="91" t="s">
        <v>1263</v>
      </c>
    </row>
    <row r="44" spans="2:14" ht="76.5" x14ac:dyDescent="0.3">
      <c r="B44" s="142">
        <v>41</v>
      </c>
      <c r="C44" s="75" t="s">
        <v>1725</v>
      </c>
      <c r="D44" s="143" t="s">
        <v>1726</v>
      </c>
      <c r="E44" s="76">
        <v>45657</v>
      </c>
      <c r="F44" s="144">
        <v>1442300</v>
      </c>
      <c r="G44" s="77" t="s">
        <v>918</v>
      </c>
      <c r="H44" s="145" t="s">
        <v>422</v>
      </c>
      <c r="I44" s="65" t="s">
        <v>1709</v>
      </c>
      <c r="J44" s="102"/>
      <c r="K44" s="102"/>
      <c r="L44" s="102"/>
      <c r="M44" s="102"/>
      <c r="N44" s="91" t="s">
        <v>1263</v>
      </c>
    </row>
    <row r="45" spans="2:14" ht="38.25" x14ac:dyDescent="0.3">
      <c r="B45" s="142">
        <v>42</v>
      </c>
      <c r="C45" s="75" t="s">
        <v>1727</v>
      </c>
      <c r="D45" s="143" t="s">
        <v>1728</v>
      </c>
      <c r="E45" s="76">
        <v>45657</v>
      </c>
      <c r="F45" s="144">
        <v>1886400</v>
      </c>
      <c r="G45" s="77" t="s">
        <v>918</v>
      </c>
      <c r="H45" s="145" t="s">
        <v>422</v>
      </c>
      <c r="I45" s="65" t="s">
        <v>1691</v>
      </c>
      <c r="J45" s="102"/>
      <c r="K45" s="102"/>
      <c r="L45" s="102"/>
      <c r="M45" s="102"/>
      <c r="N45" s="91" t="s">
        <v>1263</v>
      </c>
    </row>
    <row r="46" spans="2:14" ht="51" x14ac:dyDescent="0.3">
      <c r="B46" s="142">
        <v>43</v>
      </c>
      <c r="C46" s="75" t="s">
        <v>1729</v>
      </c>
      <c r="D46" s="143" t="s">
        <v>1730</v>
      </c>
      <c r="E46" s="76">
        <v>45657</v>
      </c>
      <c r="F46" s="144">
        <v>18644100</v>
      </c>
      <c r="G46" s="77" t="s">
        <v>918</v>
      </c>
      <c r="H46" s="145" t="s">
        <v>422</v>
      </c>
      <c r="I46" s="65" t="s">
        <v>1691</v>
      </c>
      <c r="J46" s="102"/>
      <c r="K46" s="102"/>
      <c r="L46" s="102"/>
      <c r="M46" s="102" t="s">
        <v>25</v>
      </c>
      <c r="N46" s="91"/>
    </row>
    <row r="47" spans="2:14" ht="27" x14ac:dyDescent="0.3">
      <c r="B47" s="142">
        <v>44</v>
      </c>
      <c r="C47" s="75" t="s">
        <v>1731</v>
      </c>
      <c r="D47" s="99" t="s">
        <v>1732</v>
      </c>
      <c r="E47" s="76">
        <v>45657</v>
      </c>
      <c r="F47" s="100">
        <v>12569000</v>
      </c>
      <c r="G47" s="77" t="s">
        <v>1678</v>
      </c>
      <c r="H47" s="101" t="s">
        <v>422</v>
      </c>
      <c r="I47" s="65" t="s">
        <v>1691</v>
      </c>
      <c r="J47" s="102"/>
      <c r="K47" s="102"/>
      <c r="L47" s="102"/>
      <c r="M47" s="102" t="s">
        <v>25</v>
      </c>
      <c r="N47" s="91"/>
    </row>
    <row r="48" spans="2:14" ht="27" x14ac:dyDescent="0.3">
      <c r="B48" s="142">
        <v>45</v>
      </c>
      <c r="C48" s="75" t="s">
        <v>1731</v>
      </c>
      <c r="D48" s="99" t="s">
        <v>1733</v>
      </c>
      <c r="E48" s="76">
        <v>45657</v>
      </c>
      <c r="F48" s="100">
        <v>4189700</v>
      </c>
      <c r="G48" s="77" t="s">
        <v>1678</v>
      </c>
      <c r="H48" s="101" t="s">
        <v>422</v>
      </c>
      <c r="I48" s="65" t="s">
        <v>1691</v>
      </c>
      <c r="J48" s="102"/>
      <c r="K48" s="102"/>
      <c r="L48" s="102"/>
      <c r="M48" s="102" t="s">
        <v>25</v>
      </c>
      <c r="N48" s="91"/>
    </row>
    <row r="49" spans="2:14" ht="94.5" x14ac:dyDescent="0.3">
      <c r="B49" s="142">
        <v>46</v>
      </c>
      <c r="C49" s="75" t="s">
        <v>1734</v>
      </c>
      <c r="D49" s="99" t="s">
        <v>1735</v>
      </c>
      <c r="E49" s="76">
        <v>45657</v>
      </c>
      <c r="F49" s="100">
        <v>7812000</v>
      </c>
      <c r="G49" s="77" t="s">
        <v>1678</v>
      </c>
      <c r="H49" s="101" t="s">
        <v>422</v>
      </c>
      <c r="I49" s="65" t="s">
        <v>1736</v>
      </c>
      <c r="J49" s="102"/>
      <c r="K49" s="102"/>
      <c r="L49" s="102"/>
      <c r="M49" s="102" t="s">
        <v>25</v>
      </c>
      <c r="N49" s="91"/>
    </row>
    <row r="50" spans="2:14" ht="27" x14ac:dyDescent="0.3">
      <c r="B50" s="142">
        <v>47</v>
      </c>
      <c r="C50" s="75" t="s">
        <v>1737</v>
      </c>
      <c r="D50" s="99" t="s">
        <v>1738</v>
      </c>
      <c r="E50" s="76">
        <v>45657</v>
      </c>
      <c r="F50" s="100">
        <v>2295800</v>
      </c>
      <c r="G50" s="77" t="s">
        <v>1678</v>
      </c>
      <c r="H50" s="101" t="s">
        <v>422</v>
      </c>
      <c r="I50" s="65" t="s">
        <v>1739</v>
      </c>
      <c r="J50" s="102"/>
      <c r="K50" s="102"/>
      <c r="L50" s="102"/>
      <c r="M50" s="102" t="s">
        <v>25</v>
      </c>
      <c r="N50" s="91"/>
    </row>
    <row r="51" spans="2:14" ht="27" x14ac:dyDescent="0.3">
      <c r="B51" s="142">
        <v>48</v>
      </c>
      <c r="C51" s="75" t="s">
        <v>920</v>
      </c>
      <c r="D51" s="99" t="s">
        <v>1740</v>
      </c>
      <c r="E51" s="76">
        <v>45657</v>
      </c>
      <c r="F51" s="100">
        <v>2534500</v>
      </c>
      <c r="G51" s="77" t="s">
        <v>1678</v>
      </c>
      <c r="H51" s="101" t="s">
        <v>422</v>
      </c>
      <c r="I51" s="65" t="s">
        <v>1739</v>
      </c>
      <c r="J51" s="102"/>
      <c r="K51" s="102"/>
      <c r="L51" s="102"/>
      <c r="M51" s="102" t="s">
        <v>25</v>
      </c>
      <c r="N51" s="91"/>
    </row>
    <row r="52" spans="2:14" ht="27" x14ac:dyDescent="0.3">
      <c r="B52" s="142">
        <v>49</v>
      </c>
      <c r="C52" s="75" t="s">
        <v>1481</v>
      </c>
      <c r="D52" s="99" t="s">
        <v>1741</v>
      </c>
      <c r="E52" s="76">
        <v>45657</v>
      </c>
      <c r="F52" s="100">
        <v>4277000</v>
      </c>
      <c r="G52" s="77" t="s">
        <v>1678</v>
      </c>
      <c r="H52" s="101" t="s">
        <v>422</v>
      </c>
      <c r="I52" s="65" t="s">
        <v>1742</v>
      </c>
      <c r="J52" s="102"/>
      <c r="K52" s="102"/>
      <c r="L52" s="102"/>
      <c r="M52" s="102"/>
      <c r="N52" s="91" t="s">
        <v>1263</v>
      </c>
    </row>
    <row r="53" spans="2:14" ht="51" x14ac:dyDescent="0.3">
      <c r="B53" s="142">
        <v>50</v>
      </c>
      <c r="C53" s="75" t="s">
        <v>1743</v>
      </c>
      <c r="D53" s="99" t="s">
        <v>1744</v>
      </c>
      <c r="E53" s="76">
        <v>45657</v>
      </c>
      <c r="F53" s="100">
        <v>679585.71428571432</v>
      </c>
      <c r="G53" s="77" t="s">
        <v>1678</v>
      </c>
      <c r="H53" s="101" t="s">
        <v>422</v>
      </c>
      <c r="I53" s="65" t="s">
        <v>1691</v>
      </c>
      <c r="J53" s="102"/>
      <c r="K53" s="102"/>
      <c r="L53" s="102"/>
      <c r="M53" s="102"/>
      <c r="N53" s="91" t="s">
        <v>1263</v>
      </c>
    </row>
    <row r="54" spans="2:14" ht="51" x14ac:dyDescent="0.3">
      <c r="B54" s="142">
        <v>51</v>
      </c>
      <c r="C54" s="75" t="s">
        <v>1743</v>
      </c>
      <c r="D54" s="99" t="s">
        <v>1744</v>
      </c>
      <c r="E54" s="76">
        <v>45657</v>
      </c>
      <c r="F54" s="100">
        <v>679585.71428571432</v>
      </c>
      <c r="G54" s="77" t="s">
        <v>1678</v>
      </c>
      <c r="H54" s="101" t="s">
        <v>422</v>
      </c>
      <c r="I54" s="65" t="s">
        <v>1691</v>
      </c>
      <c r="J54" s="102"/>
      <c r="K54" s="102"/>
      <c r="L54" s="102"/>
      <c r="M54" s="102"/>
      <c r="N54" s="91" t="s">
        <v>1263</v>
      </c>
    </row>
    <row r="55" spans="2:14" ht="51" x14ac:dyDescent="0.3">
      <c r="B55" s="142">
        <v>52</v>
      </c>
      <c r="C55" s="75" t="s">
        <v>1743</v>
      </c>
      <c r="D55" s="99" t="s">
        <v>1744</v>
      </c>
      <c r="E55" s="76">
        <v>45657</v>
      </c>
      <c r="F55" s="100">
        <v>679585.71428571432</v>
      </c>
      <c r="G55" s="77" t="s">
        <v>1678</v>
      </c>
      <c r="H55" s="101" t="s">
        <v>422</v>
      </c>
      <c r="I55" s="65" t="s">
        <v>1691</v>
      </c>
      <c r="J55" s="102"/>
      <c r="K55" s="102"/>
      <c r="L55" s="102"/>
      <c r="M55" s="102"/>
      <c r="N55" s="91" t="s">
        <v>1263</v>
      </c>
    </row>
    <row r="56" spans="2:14" ht="51" x14ac:dyDescent="0.3">
      <c r="B56" s="142">
        <v>53</v>
      </c>
      <c r="C56" s="75" t="s">
        <v>1743</v>
      </c>
      <c r="D56" s="99" t="s">
        <v>1744</v>
      </c>
      <c r="E56" s="76">
        <v>45657</v>
      </c>
      <c r="F56" s="100">
        <v>679585.71428571432</v>
      </c>
      <c r="G56" s="77" t="s">
        <v>1678</v>
      </c>
      <c r="H56" s="101" t="s">
        <v>422</v>
      </c>
      <c r="I56" s="65" t="s">
        <v>1691</v>
      </c>
      <c r="J56" s="102"/>
      <c r="K56" s="102"/>
      <c r="L56" s="102"/>
      <c r="M56" s="102"/>
      <c r="N56" s="91" t="s">
        <v>1263</v>
      </c>
    </row>
    <row r="57" spans="2:14" ht="51" x14ac:dyDescent="0.3">
      <c r="B57" s="142">
        <v>54</v>
      </c>
      <c r="C57" s="75" t="s">
        <v>1743</v>
      </c>
      <c r="D57" s="99" t="s">
        <v>1744</v>
      </c>
      <c r="E57" s="76">
        <v>45657</v>
      </c>
      <c r="F57" s="100">
        <v>679585.71428571432</v>
      </c>
      <c r="G57" s="77" t="s">
        <v>1678</v>
      </c>
      <c r="H57" s="101" t="s">
        <v>422</v>
      </c>
      <c r="I57" s="65" t="s">
        <v>1691</v>
      </c>
      <c r="J57" s="102"/>
      <c r="K57" s="102"/>
      <c r="L57" s="102"/>
      <c r="M57" s="102"/>
      <c r="N57" s="91" t="s">
        <v>1263</v>
      </c>
    </row>
    <row r="58" spans="2:14" ht="51" x14ac:dyDescent="0.3">
      <c r="B58" s="142">
        <v>55</v>
      </c>
      <c r="C58" s="75" t="s">
        <v>1743</v>
      </c>
      <c r="D58" s="99" t="s">
        <v>1744</v>
      </c>
      <c r="E58" s="76">
        <v>45657</v>
      </c>
      <c r="F58" s="100">
        <v>679585.71428571432</v>
      </c>
      <c r="G58" s="77" t="s">
        <v>1678</v>
      </c>
      <c r="H58" s="101" t="s">
        <v>422</v>
      </c>
      <c r="I58" s="65" t="s">
        <v>1691</v>
      </c>
      <c r="J58" s="102"/>
      <c r="K58" s="102"/>
      <c r="L58" s="102"/>
      <c r="M58" s="102"/>
      <c r="N58" s="91" t="s">
        <v>1263</v>
      </c>
    </row>
    <row r="59" spans="2:14" ht="51" x14ac:dyDescent="0.3">
      <c r="B59" s="142">
        <v>56</v>
      </c>
      <c r="C59" s="75" t="s">
        <v>1743</v>
      </c>
      <c r="D59" s="99" t="s">
        <v>1744</v>
      </c>
      <c r="E59" s="76">
        <v>45657</v>
      </c>
      <c r="F59" s="100">
        <v>679585.71428571432</v>
      </c>
      <c r="G59" s="77" t="s">
        <v>1678</v>
      </c>
      <c r="H59" s="101" t="s">
        <v>422</v>
      </c>
      <c r="I59" s="65" t="s">
        <v>1691</v>
      </c>
      <c r="J59" s="102"/>
      <c r="K59" s="102"/>
      <c r="L59" s="102"/>
      <c r="M59" s="102"/>
      <c r="N59" s="91" t="s">
        <v>1263</v>
      </c>
    </row>
    <row r="60" spans="2:14" ht="27" x14ac:dyDescent="0.3">
      <c r="B60" s="142">
        <v>57</v>
      </c>
      <c r="C60" s="75" t="s">
        <v>1745</v>
      </c>
      <c r="D60" s="143" t="s">
        <v>1746</v>
      </c>
      <c r="E60" s="76">
        <v>45657</v>
      </c>
      <c r="F60" s="144">
        <v>764800</v>
      </c>
      <c r="G60" s="77" t="s">
        <v>1747</v>
      </c>
      <c r="H60" s="145" t="s">
        <v>422</v>
      </c>
      <c r="I60" s="65" t="s">
        <v>1691</v>
      </c>
      <c r="J60" s="102"/>
      <c r="K60" s="102"/>
      <c r="L60" s="102"/>
      <c r="M60" s="102"/>
      <c r="N60" s="91" t="s">
        <v>1263</v>
      </c>
    </row>
    <row r="61" spans="2:14" ht="27" x14ac:dyDescent="0.3">
      <c r="B61" s="142">
        <v>58</v>
      </c>
      <c r="C61" s="75" t="s">
        <v>1748</v>
      </c>
      <c r="D61" s="143" t="s">
        <v>1749</v>
      </c>
      <c r="E61" s="76">
        <v>45657</v>
      </c>
      <c r="F61" s="144">
        <v>5257600</v>
      </c>
      <c r="G61" s="77" t="s">
        <v>1747</v>
      </c>
      <c r="H61" s="145" t="s">
        <v>422</v>
      </c>
      <c r="I61" s="65" t="s">
        <v>1709</v>
      </c>
      <c r="J61" s="102"/>
      <c r="K61" s="102"/>
      <c r="L61" s="102"/>
      <c r="M61" s="102"/>
      <c r="N61" s="91" t="s">
        <v>1263</v>
      </c>
    </row>
    <row r="62" spans="2:14" ht="25.5" x14ac:dyDescent="0.3">
      <c r="B62" s="142">
        <v>59</v>
      </c>
      <c r="C62" s="75" t="s">
        <v>1750</v>
      </c>
      <c r="D62" s="143" t="s">
        <v>1751</v>
      </c>
      <c r="E62" s="76">
        <v>45657</v>
      </c>
      <c r="F62" s="144">
        <v>5257600</v>
      </c>
      <c r="G62" s="77" t="s">
        <v>1747</v>
      </c>
      <c r="H62" s="145" t="s">
        <v>422</v>
      </c>
      <c r="I62" s="65" t="s">
        <v>1752</v>
      </c>
      <c r="J62" s="102"/>
      <c r="K62" s="102"/>
      <c r="L62" s="102"/>
      <c r="M62" s="102"/>
      <c r="N62" s="91" t="s">
        <v>1263</v>
      </c>
    </row>
    <row r="63" spans="2:14" ht="38.25" x14ac:dyDescent="0.3">
      <c r="B63" s="142">
        <v>60</v>
      </c>
      <c r="C63" s="75" t="s">
        <v>1753</v>
      </c>
      <c r="D63" s="143" t="s">
        <v>1754</v>
      </c>
      <c r="E63" s="76">
        <v>45657</v>
      </c>
      <c r="F63" s="144">
        <v>1082900</v>
      </c>
      <c r="G63" s="77" t="s">
        <v>1747</v>
      </c>
      <c r="H63" s="145" t="s">
        <v>422</v>
      </c>
      <c r="I63" s="65" t="s">
        <v>1709</v>
      </c>
      <c r="J63" s="102"/>
      <c r="K63" s="102"/>
      <c r="L63" s="102"/>
      <c r="M63" s="102"/>
      <c r="N63" s="91" t="s">
        <v>1263</v>
      </c>
    </row>
    <row r="64" spans="2:14" ht="54" x14ac:dyDescent="0.3">
      <c r="B64" s="142">
        <v>61</v>
      </c>
      <c r="C64" s="75" t="s">
        <v>1737</v>
      </c>
      <c r="D64" s="143" t="s">
        <v>1755</v>
      </c>
      <c r="E64" s="76">
        <v>45657</v>
      </c>
      <c r="F64" s="144">
        <v>2852900</v>
      </c>
      <c r="G64" s="77" t="s">
        <v>1747</v>
      </c>
      <c r="H64" s="145" t="s">
        <v>422</v>
      </c>
      <c r="I64" s="65" t="s">
        <v>1756</v>
      </c>
      <c r="J64" s="102"/>
      <c r="K64" s="102"/>
      <c r="L64" s="102"/>
      <c r="M64" s="102" t="s">
        <v>25</v>
      </c>
      <c r="N64" s="91"/>
    </row>
    <row r="65" spans="2:14" ht="27" x14ac:dyDescent="0.3">
      <c r="B65" s="142">
        <v>62</v>
      </c>
      <c r="C65" s="75" t="s">
        <v>1757</v>
      </c>
      <c r="D65" s="143" t="s">
        <v>1758</v>
      </c>
      <c r="E65" s="76">
        <v>45657</v>
      </c>
      <c r="F65" s="144">
        <v>4013700</v>
      </c>
      <c r="G65" s="77" t="s">
        <v>936</v>
      </c>
      <c r="H65" s="145" t="s">
        <v>422</v>
      </c>
      <c r="I65" s="65" t="s">
        <v>1759</v>
      </c>
      <c r="J65" s="102"/>
      <c r="K65" s="102"/>
      <c r="L65" s="102"/>
      <c r="M65" s="102" t="s">
        <v>25</v>
      </c>
      <c r="N65" s="91"/>
    </row>
    <row r="66" spans="2:14" ht="25.5" x14ac:dyDescent="0.3">
      <c r="B66" s="142">
        <v>63</v>
      </c>
      <c r="C66" s="75" t="s">
        <v>1760</v>
      </c>
      <c r="D66" s="99" t="s">
        <v>1761</v>
      </c>
      <c r="E66" s="76">
        <v>45657</v>
      </c>
      <c r="F66" s="100">
        <v>1914900</v>
      </c>
      <c r="G66" s="77" t="s">
        <v>936</v>
      </c>
      <c r="H66" s="101" t="s">
        <v>422</v>
      </c>
      <c r="I66" s="65" t="s">
        <v>1762</v>
      </c>
      <c r="J66" s="102"/>
      <c r="K66" s="102"/>
      <c r="L66" s="102"/>
      <c r="M66" s="102" t="s">
        <v>25</v>
      </c>
      <c r="N66" s="91"/>
    </row>
    <row r="67" spans="2:14" ht="54" x14ac:dyDescent="0.3">
      <c r="B67" s="142">
        <v>64</v>
      </c>
      <c r="C67" s="75" t="s">
        <v>1763</v>
      </c>
      <c r="D67" s="99" t="s">
        <v>1764</v>
      </c>
      <c r="E67" s="76">
        <v>45657</v>
      </c>
      <c r="F67" s="100">
        <v>2844500</v>
      </c>
      <c r="G67" s="77" t="s">
        <v>936</v>
      </c>
      <c r="H67" s="101" t="s">
        <v>422</v>
      </c>
      <c r="I67" s="65" t="s">
        <v>1765</v>
      </c>
      <c r="J67" s="102"/>
      <c r="K67" s="102"/>
      <c r="L67" s="102"/>
      <c r="M67" s="102" t="s">
        <v>25</v>
      </c>
      <c r="N67" s="91" t="s">
        <v>1766</v>
      </c>
    </row>
    <row r="68" spans="2:14" ht="25.5" x14ac:dyDescent="0.3">
      <c r="B68" s="142">
        <v>65</v>
      </c>
      <c r="C68" s="75" t="s">
        <v>1767</v>
      </c>
      <c r="D68" s="99" t="s">
        <v>1768</v>
      </c>
      <c r="E68" s="76">
        <v>45657</v>
      </c>
      <c r="F68" s="100">
        <v>665200</v>
      </c>
      <c r="G68" s="77" t="s">
        <v>936</v>
      </c>
      <c r="H68" s="101" t="s">
        <v>422</v>
      </c>
      <c r="I68" s="65" t="s">
        <v>1762</v>
      </c>
      <c r="J68" s="102"/>
      <c r="K68" s="102"/>
      <c r="L68" s="102"/>
      <c r="M68" s="102"/>
      <c r="N68" s="91"/>
    </row>
    <row r="69" spans="2:14" ht="25.5" x14ac:dyDescent="0.3">
      <c r="B69" s="142">
        <v>66</v>
      </c>
      <c r="C69" s="75" t="s">
        <v>1769</v>
      </c>
      <c r="D69" s="99" t="s">
        <v>1770</v>
      </c>
      <c r="E69" s="76">
        <v>45657</v>
      </c>
      <c r="F69" s="100">
        <v>692280</v>
      </c>
      <c r="G69" s="77" t="s">
        <v>936</v>
      </c>
      <c r="H69" s="101" t="s">
        <v>422</v>
      </c>
      <c r="I69" s="65" t="s">
        <v>1762</v>
      </c>
      <c r="J69" s="102"/>
      <c r="K69" s="102"/>
      <c r="L69" s="102"/>
      <c r="M69" s="102"/>
      <c r="N69" s="91"/>
    </row>
    <row r="70" spans="2:14" ht="25.5" x14ac:dyDescent="0.3">
      <c r="B70" s="142">
        <v>67</v>
      </c>
      <c r="C70" s="75" t="s">
        <v>1769</v>
      </c>
      <c r="D70" s="99" t="s">
        <v>1770</v>
      </c>
      <c r="E70" s="76">
        <v>45657</v>
      </c>
      <c r="F70" s="100">
        <v>692280</v>
      </c>
      <c r="G70" s="77" t="s">
        <v>936</v>
      </c>
      <c r="H70" s="101" t="s">
        <v>422</v>
      </c>
      <c r="I70" s="65" t="s">
        <v>1762</v>
      </c>
      <c r="J70" s="102"/>
      <c r="K70" s="102"/>
      <c r="L70" s="102"/>
      <c r="M70" s="102"/>
      <c r="N70" s="91"/>
    </row>
    <row r="71" spans="2:14" ht="25.5" x14ac:dyDescent="0.3">
      <c r="B71" s="142">
        <v>68</v>
      </c>
      <c r="C71" s="75" t="s">
        <v>1769</v>
      </c>
      <c r="D71" s="99" t="s">
        <v>1770</v>
      </c>
      <c r="E71" s="76">
        <v>45657</v>
      </c>
      <c r="F71" s="100">
        <v>692280</v>
      </c>
      <c r="G71" s="77" t="s">
        <v>936</v>
      </c>
      <c r="H71" s="101" t="s">
        <v>422</v>
      </c>
      <c r="I71" s="65" t="s">
        <v>1762</v>
      </c>
      <c r="J71" s="102"/>
      <c r="K71" s="102"/>
      <c r="L71" s="102"/>
      <c r="M71" s="102"/>
      <c r="N71" s="91"/>
    </row>
    <row r="72" spans="2:14" ht="25.5" x14ac:dyDescent="0.3">
      <c r="B72" s="142">
        <v>69</v>
      </c>
      <c r="C72" s="75" t="s">
        <v>1769</v>
      </c>
      <c r="D72" s="99" t="s">
        <v>1770</v>
      </c>
      <c r="E72" s="76">
        <v>45657</v>
      </c>
      <c r="F72" s="100">
        <v>692280</v>
      </c>
      <c r="G72" s="77" t="s">
        <v>936</v>
      </c>
      <c r="H72" s="101" t="s">
        <v>422</v>
      </c>
      <c r="I72" s="65" t="s">
        <v>1762</v>
      </c>
      <c r="J72" s="102"/>
      <c r="K72" s="102"/>
      <c r="L72" s="102"/>
      <c r="M72" s="102"/>
      <c r="N72" s="91"/>
    </row>
    <row r="73" spans="2:14" ht="25.5" x14ac:dyDescent="0.3">
      <c r="B73" s="142">
        <v>70</v>
      </c>
      <c r="C73" s="75" t="s">
        <v>1769</v>
      </c>
      <c r="D73" s="99" t="s">
        <v>1770</v>
      </c>
      <c r="E73" s="76">
        <v>45657</v>
      </c>
      <c r="F73" s="100">
        <v>692280</v>
      </c>
      <c r="G73" s="77" t="s">
        <v>936</v>
      </c>
      <c r="H73" s="101" t="s">
        <v>422</v>
      </c>
      <c r="I73" s="65" t="s">
        <v>1762</v>
      </c>
      <c r="J73" s="102"/>
      <c r="K73" s="102"/>
      <c r="L73" s="102"/>
      <c r="M73" s="102"/>
      <c r="N73" s="91"/>
    </row>
    <row r="74" spans="2:14" ht="25.5" x14ac:dyDescent="0.3">
      <c r="B74" s="142">
        <v>71</v>
      </c>
      <c r="C74" s="75" t="s">
        <v>1771</v>
      </c>
      <c r="D74" s="143" t="s">
        <v>1772</v>
      </c>
      <c r="E74" s="76">
        <v>45657</v>
      </c>
      <c r="F74" s="144">
        <v>771400</v>
      </c>
      <c r="G74" s="77" t="s">
        <v>1773</v>
      </c>
      <c r="H74" s="145" t="s">
        <v>422</v>
      </c>
      <c r="I74" s="65" t="s">
        <v>1762</v>
      </c>
      <c r="J74" s="102"/>
      <c r="K74" s="102"/>
      <c r="L74" s="102"/>
      <c r="M74" s="102"/>
      <c r="N74" s="91"/>
    </row>
    <row r="75" spans="2:14" ht="63.75" x14ac:dyDescent="0.3">
      <c r="B75" s="142">
        <v>72</v>
      </c>
      <c r="C75" s="75" t="s">
        <v>1774</v>
      </c>
      <c r="D75" s="143" t="s">
        <v>1775</v>
      </c>
      <c r="E75" s="76">
        <v>45657</v>
      </c>
      <c r="F75" s="144">
        <v>2085000</v>
      </c>
      <c r="G75" s="77" t="s">
        <v>1773</v>
      </c>
      <c r="H75" s="145" t="s">
        <v>422</v>
      </c>
      <c r="I75" s="65" t="s">
        <v>1776</v>
      </c>
      <c r="J75" s="102"/>
      <c r="K75" s="102"/>
      <c r="L75" s="102"/>
      <c r="M75" s="102"/>
      <c r="N75" s="91"/>
    </row>
    <row r="76" spans="2:14" ht="38.25" x14ac:dyDescent="0.3">
      <c r="B76" s="142">
        <v>73</v>
      </c>
      <c r="C76" s="75" t="s">
        <v>1777</v>
      </c>
      <c r="D76" s="143" t="s">
        <v>1778</v>
      </c>
      <c r="E76" s="76">
        <v>45657</v>
      </c>
      <c r="F76" s="144">
        <v>794700</v>
      </c>
      <c r="G76" s="77" t="s">
        <v>1773</v>
      </c>
      <c r="H76" s="145" t="s">
        <v>422</v>
      </c>
      <c r="I76" s="65" t="s">
        <v>1779</v>
      </c>
      <c r="J76" s="102"/>
      <c r="K76" s="102"/>
      <c r="L76" s="102"/>
      <c r="M76" s="102"/>
      <c r="N76" s="91"/>
    </row>
    <row r="77" spans="2:14" ht="27" x14ac:dyDescent="0.3">
      <c r="B77" s="142">
        <v>74</v>
      </c>
      <c r="C77" s="146" t="s">
        <v>1780</v>
      </c>
      <c r="D77" s="143" t="s">
        <v>1781</v>
      </c>
      <c r="E77" s="76">
        <v>45657</v>
      </c>
      <c r="F77" s="144">
        <v>72000000</v>
      </c>
      <c r="G77" s="147" t="s">
        <v>1055</v>
      </c>
      <c r="H77" s="145" t="s">
        <v>422</v>
      </c>
      <c r="I77" s="145" t="s">
        <v>1641</v>
      </c>
      <c r="J77" s="102"/>
      <c r="K77" s="102"/>
      <c r="L77" s="102"/>
      <c r="M77" s="102"/>
      <c r="N77" s="91"/>
    </row>
    <row r="78" spans="2:14" ht="38.25" x14ac:dyDescent="0.3">
      <c r="B78" s="142">
        <v>75</v>
      </c>
      <c r="C78" s="146" t="s">
        <v>1782</v>
      </c>
      <c r="D78" s="143" t="s">
        <v>1783</v>
      </c>
      <c r="E78" s="76">
        <v>45657</v>
      </c>
      <c r="F78" s="144">
        <v>3462750000</v>
      </c>
      <c r="G78" s="147" t="s">
        <v>1055</v>
      </c>
      <c r="H78" s="145" t="s">
        <v>422</v>
      </c>
      <c r="I78" s="145" t="s">
        <v>1784</v>
      </c>
      <c r="J78" s="102"/>
      <c r="K78" s="102"/>
      <c r="L78" s="102"/>
      <c r="M78" s="102"/>
      <c r="N78" s="91"/>
    </row>
    <row r="79" spans="2:14" ht="38.25" x14ac:dyDescent="0.3">
      <c r="B79" s="142">
        <v>76</v>
      </c>
      <c r="C79" s="146" t="s">
        <v>1785</v>
      </c>
      <c r="D79" s="143" t="s">
        <v>1786</v>
      </c>
      <c r="E79" s="76">
        <v>45657</v>
      </c>
      <c r="F79" s="144">
        <v>11454750</v>
      </c>
      <c r="G79" s="147" t="s">
        <v>1055</v>
      </c>
      <c r="H79" s="145" t="s">
        <v>422</v>
      </c>
      <c r="I79" s="145" t="s">
        <v>1787</v>
      </c>
      <c r="J79" s="102"/>
      <c r="K79" s="102"/>
      <c r="L79" s="102"/>
      <c r="M79" s="102"/>
      <c r="N79" s="91"/>
    </row>
    <row r="80" spans="2:14" ht="38.25" x14ac:dyDescent="0.3">
      <c r="B80" s="142">
        <v>77</v>
      </c>
      <c r="C80" s="146" t="s">
        <v>1785</v>
      </c>
      <c r="D80" s="143" t="s">
        <v>1786</v>
      </c>
      <c r="E80" s="76">
        <v>45657</v>
      </c>
      <c r="F80" s="144">
        <v>11454750</v>
      </c>
      <c r="G80" s="147" t="s">
        <v>1055</v>
      </c>
      <c r="H80" s="145" t="s">
        <v>422</v>
      </c>
      <c r="I80" s="145" t="s">
        <v>1787</v>
      </c>
      <c r="J80" s="102"/>
      <c r="K80" s="102"/>
      <c r="L80" s="102"/>
      <c r="M80" s="102"/>
      <c r="N80" s="91"/>
    </row>
    <row r="81" spans="2:14" x14ac:dyDescent="0.3">
      <c r="B81" s="142">
        <v>78</v>
      </c>
      <c r="C81" s="75" t="s">
        <v>1788</v>
      </c>
      <c r="D81" s="143" t="s">
        <v>1789</v>
      </c>
      <c r="E81" s="76">
        <v>45657</v>
      </c>
      <c r="F81" s="144">
        <v>2248400</v>
      </c>
      <c r="G81" s="77" t="s">
        <v>1055</v>
      </c>
      <c r="H81" s="145" t="s">
        <v>422</v>
      </c>
      <c r="I81" s="65" t="s">
        <v>1790</v>
      </c>
      <c r="J81" s="102"/>
      <c r="K81" s="102"/>
      <c r="L81" s="102"/>
      <c r="M81" s="102"/>
      <c r="N81" s="91"/>
    </row>
    <row r="82" spans="2:14" ht="25.5" x14ac:dyDescent="0.3">
      <c r="B82" s="142">
        <v>79</v>
      </c>
      <c r="C82" s="75" t="s">
        <v>1791</v>
      </c>
      <c r="D82" s="143" t="s">
        <v>1792</v>
      </c>
      <c r="E82" s="76">
        <v>45657</v>
      </c>
      <c r="F82" s="144">
        <v>1692800</v>
      </c>
      <c r="G82" s="77" t="s">
        <v>1793</v>
      </c>
      <c r="H82" s="145" t="s">
        <v>422</v>
      </c>
      <c r="I82" s="65" t="s">
        <v>1794</v>
      </c>
      <c r="J82" s="102"/>
      <c r="K82" s="102"/>
      <c r="L82" s="102"/>
      <c r="M82" s="102"/>
      <c r="N82" s="91"/>
    </row>
    <row r="83" spans="2:14" ht="27" x14ac:dyDescent="0.3">
      <c r="B83" s="142">
        <v>80</v>
      </c>
      <c r="C83" s="75" t="s">
        <v>1795</v>
      </c>
      <c r="D83" s="143" t="s">
        <v>1796</v>
      </c>
      <c r="E83" s="76">
        <v>45657</v>
      </c>
      <c r="F83" s="144">
        <v>2573800</v>
      </c>
      <c r="G83" s="77" t="s">
        <v>1055</v>
      </c>
      <c r="H83" s="145" t="s">
        <v>422</v>
      </c>
      <c r="I83" s="65" t="s">
        <v>1797</v>
      </c>
      <c r="J83" s="102"/>
      <c r="K83" s="102"/>
      <c r="L83" s="102"/>
      <c r="M83" s="102"/>
      <c r="N83" s="91"/>
    </row>
    <row r="84" spans="2:14" ht="25.5" x14ac:dyDescent="0.3">
      <c r="B84" s="142">
        <v>81</v>
      </c>
      <c r="C84" s="75" t="s">
        <v>1798</v>
      </c>
      <c r="D84" s="143" t="s">
        <v>1799</v>
      </c>
      <c r="E84" s="76">
        <v>45657</v>
      </c>
      <c r="F84" s="144">
        <v>1209400</v>
      </c>
      <c r="G84" s="77" t="s">
        <v>951</v>
      </c>
      <c r="H84" s="145" t="s">
        <v>422</v>
      </c>
      <c r="I84" s="65" t="s">
        <v>951</v>
      </c>
      <c r="J84" s="102"/>
      <c r="K84" s="102"/>
      <c r="L84" s="102"/>
      <c r="M84" s="102"/>
      <c r="N84" s="91"/>
    </row>
    <row r="85" spans="2:14" ht="25.5" x14ac:dyDescent="0.3">
      <c r="B85" s="142">
        <v>82</v>
      </c>
      <c r="C85" s="75" t="s">
        <v>1800</v>
      </c>
      <c r="D85" s="143" t="s">
        <v>1801</v>
      </c>
      <c r="E85" s="76">
        <v>45657</v>
      </c>
      <c r="F85" s="144">
        <v>744200</v>
      </c>
      <c r="G85" s="77" t="s">
        <v>951</v>
      </c>
      <c r="H85" s="145" t="s">
        <v>422</v>
      </c>
      <c r="I85" s="65" t="s">
        <v>951</v>
      </c>
      <c r="J85" s="102"/>
      <c r="K85" s="102"/>
      <c r="L85" s="102"/>
      <c r="M85" s="102" t="s">
        <v>25</v>
      </c>
      <c r="N85" s="91"/>
    </row>
    <row r="86" spans="2:14" ht="27" x14ac:dyDescent="0.3">
      <c r="B86" s="142">
        <v>83</v>
      </c>
      <c r="C86" s="75" t="s">
        <v>1802</v>
      </c>
      <c r="D86" s="143" t="s">
        <v>1803</v>
      </c>
      <c r="E86" s="76">
        <v>45657</v>
      </c>
      <c r="F86" s="144">
        <v>1112500</v>
      </c>
      <c r="G86" s="77" t="s">
        <v>1055</v>
      </c>
      <c r="H86" s="145" t="s">
        <v>422</v>
      </c>
      <c r="I86" s="65" t="s">
        <v>1804</v>
      </c>
      <c r="J86" s="102"/>
      <c r="K86" s="102"/>
      <c r="L86" s="102"/>
      <c r="M86" s="102"/>
      <c r="N86" s="91"/>
    </row>
    <row r="87" spans="2:14" ht="38.25" x14ac:dyDescent="0.3">
      <c r="B87" s="142">
        <v>84</v>
      </c>
      <c r="C87" s="75" t="s">
        <v>1805</v>
      </c>
      <c r="D87" s="143" t="s">
        <v>1806</v>
      </c>
      <c r="E87" s="76">
        <v>45657</v>
      </c>
      <c r="F87" s="144">
        <v>1720100</v>
      </c>
      <c r="G87" s="77" t="s">
        <v>951</v>
      </c>
      <c r="H87" s="145" t="s">
        <v>422</v>
      </c>
      <c r="I87" s="65" t="s">
        <v>951</v>
      </c>
      <c r="J87" s="102"/>
      <c r="K87" s="102"/>
      <c r="L87" s="102"/>
      <c r="M87" s="102"/>
      <c r="N87" s="91"/>
    </row>
    <row r="88" spans="2:14" ht="27" x14ac:dyDescent="0.3">
      <c r="B88" s="142">
        <v>85</v>
      </c>
      <c r="C88" s="75" t="s">
        <v>1807</v>
      </c>
      <c r="D88" s="143" t="s">
        <v>1808</v>
      </c>
      <c r="E88" s="76">
        <v>45657</v>
      </c>
      <c r="F88" s="144">
        <v>899300</v>
      </c>
      <c r="G88" s="77" t="s">
        <v>951</v>
      </c>
      <c r="H88" s="145" t="s">
        <v>422</v>
      </c>
      <c r="I88" s="65" t="s">
        <v>1804</v>
      </c>
      <c r="J88" s="102"/>
      <c r="K88" s="102"/>
      <c r="L88" s="102"/>
      <c r="M88" s="102"/>
      <c r="N88" s="91"/>
    </row>
    <row r="89" spans="2:14" ht="27" x14ac:dyDescent="0.3">
      <c r="B89" s="142">
        <v>86</v>
      </c>
      <c r="C89" s="75" t="s">
        <v>1809</v>
      </c>
      <c r="D89" s="143" t="s">
        <v>1810</v>
      </c>
      <c r="E89" s="76">
        <v>45657</v>
      </c>
      <c r="F89" s="144">
        <v>6512000</v>
      </c>
      <c r="G89" s="77" t="s">
        <v>951</v>
      </c>
      <c r="H89" s="145" t="s">
        <v>422</v>
      </c>
      <c r="I89" s="65" t="s">
        <v>1811</v>
      </c>
      <c r="J89" s="102"/>
      <c r="K89" s="102"/>
      <c r="L89" s="102"/>
      <c r="M89" s="102"/>
      <c r="N89" s="91"/>
    </row>
    <row r="90" spans="2:14" ht="25.5" x14ac:dyDescent="0.3">
      <c r="B90" s="142">
        <v>87</v>
      </c>
      <c r="C90" s="75" t="s">
        <v>1812</v>
      </c>
      <c r="D90" s="143" t="s">
        <v>1813</v>
      </c>
      <c r="E90" s="76">
        <v>45657</v>
      </c>
      <c r="F90" s="144">
        <v>752000</v>
      </c>
      <c r="G90" s="77" t="s">
        <v>951</v>
      </c>
      <c r="H90" s="145" t="s">
        <v>422</v>
      </c>
      <c r="I90" s="65" t="s">
        <v>1814</v>
      </c>
      <c r="J90" s="102"/>
      <c r="K90" s="102"/>
      <c r="L90" s="102"/>
      <c r="M90" s="102"/>
      <c r="N90" s="91"/>
    </row>
    <row r="91" spans="2:14" ht="27" x14ac:dyDescent="0.3">
      <c r="B91" s="142">
        <v>88</v>
      </c>
      <c r="C91" s="75" t="s">
        <v>1815</v>
      </c>
      <c r="D91" s="143" t="s">
        <v>1816</v>
      </c>
      <c r="E91" s="76">
        <v>45657</v>
      </c>
      <c r="F91" s="144">
        <v>852800</v>
      </c>
      <c r="G91" s="77" t="s">
        <v>951</v>
      </c>
      <c r="H91" s="145" t="s">
        <v>422</v>
      </c>
      <c r="I91" s="65" t="s">
        <v>1797</v>
      </c>
      <c r="J91" s="102"/>
      <c r="K91" s="102"/>
      <c r="L91" s="102"/>
      <c r="M91" s="102" t="s">
        <v>25</v>
      </c>
      <c r="N91" s="91"/>
    </row>
    <row r="92" spans="2:14" ht="38.25" x14ac:dyDescent="0.3">
      <c r="B92" s="142">
        <v>89</v>
      </c>
      <c r="C92" s="75" t="s">
        <v>1817</v>
      </c>
      <c r="D92" s="143" t="s">
        <v>1818</v>
      </c>
      <c r="E92" s="76">
        <v>45657</v>
      </c>
      <c r="F92" s="144">
        <v>1383800</v>
      </c>
      <c r="G92" s="77" t="s">
        <v>951</v>
      </c>
      <c r="H92" s="145" t="s">
        <v>422</v>
      </c>
      <c r="I92" s="65" t="s">
        <v>1819</v>
      </c>
      <c r="J92" s="102"/>
      <c r="K92" s="102"/>
      <c r="L92" s="102"/>
      <c r="M92" s="102"/>
      <c r="N92" s="91"/>
    </row>
    <row r="93" spans="2:14" ht="25.5" x14ac:dyDescent="0.3">
      <c r="B93" s="142">
        <v>90</v>
      </c>
      <c r="C93" s="75" t="s">
        <v>1820</v>
      </c>
      <c r="D93" s="143" t="s">
        <v>1821</v>
      </c>
      <c r="E93" s="76">
        <v>45657</v>
      </c>
      <c r="F93" s="144">
        <v>2000100</v>
      </c>
      <c r="G93" s="77" t="s">
        <v>951</v>
      </c>
      <c r="H93" s="145" t="s">
        <v>422</v>
      </c>
      <c r="I93" s="65" t="s">
        <v>1790</v>
      </c>
      <c r="J93" s="102"/>
      <c r="K93" s="102"/>
      <c r="L93" s="102"/>
      <c r="M93" s="102"/>
      <c r="N93" s="91"/>
    </row>
    <row r="94" spans="2:14" x14ac:dyDescent="0.3">
      <c r="B94" s="142">
        <v>91</v>
      </c>
      <c r="C94" s="75" t="s">
        <v>1822</v>
      </c>
      <c r="D94" s="143" t="s">
        <v>1823</v>
      </c>
      <c r="E94" s="76">
        <v>45657</v>
      </c>
      <c r="F94" s="144">
        <v>2790900</v>
      </c>
      <c r="G94" s="77" t="s">
        <v>951</v>
      </c>
      <c r="H94" s="145" t="s">
        <v>422</v>
      </c>
      <c r="I94" s="65" t="s">
        <v>1824</v>
      </c>
      <c r="J94" s="102"/>
      <c r="K94" s="102"/>
      <c r="L94" s="102"/>
      <c r="M94" s="102"/>
      <c r="N94" s="91"/>
    </row>
    <row r="95" spans="2:14" ht="25.5" x14ac:dyDescent="0.3">
      <c r="B95" s="142">
        <v>92</v>
      </c>
      <c r="C95" s="75" t="s">
        <v>1825</v>
      </c>
      <c r="D95" s="143" t="s">
        <v>1826</v>
      </c>
      <c r="E95" s="76">
        <v>45657</v>
      </c>
      <c r="F95" s="144">
        <v>1287900</v>
      </c>
      <c r="G95" s="77" t="s">
        <v>951</v>
      </c>
      <c r="H95" s="145" t="s">
        <v>422</v>
      </c>
      <c r="I95" s="65" t="s">
        <v>1824</v>
      </c>
      <c r="J95" s="102"/>
      <c r="K95" s="102"/>
      <c r="L95" s="102"/>
      <c r="M95" s="102" t="s">
        <v>25</v>
      </c>
      <c r="N95" s="91"/>
    </row>
    <row r="96" spans="2:14" ht="38.25" x14ac:dyDescent="0.3">
      <c r="B96" s="142">
        <v>93</v>
      </c>
      <c r="C96" s="75" t="s">
        <v>1827</v>
      </c>
      <c r="D96" s="143" t="s">
        <v>1828</v>
      </c>
      <c r="E96" s="76">
        <v>45657</v>
      </c>
      <c r="F96" s="144">
        <v>1627900</v>
      </c>
      <c r="G96" s="77" t="s">
        <v>951</v>
      </c>
      <c r="H96" s="145" t="s">
        <v>422</v>
      </c>
      <c r="I96" s="65" t="s">
        <v>1829</v>
      </c>
      <c r="J96" s="102"/>
      <c r="K96" s="102"/>
      <c r="L96" s="102"/>
      <c r="M96" s="102" t="s">
        <v>25</v>
      </c>
      <c r="N96" s="91"/>
    </row>
    <row r="97" spans="2:14" ht="25.5" x14ac:dyDescent="0.3">
      <c r="B97" s="142">
        <v>94</v>
      </c>
      <c r="C97" s="75" t="s">
        <v>1830</v>
      </c>
      <c r="D97" s="143" t="s">
        <v>1831</v>
      </c>
      <c r="E97" s="76">
        <v>45657</v>
      </c>
      <c r="F97" s="144">
        <v>1524800</v>
      </c>
      <c r="G97" s="77" t="s">
        <v>951</v>
      </c>
      <c r="H97" s="145" t="s">
        <v>422</v>
      </c>
      <c r="I97" s="65" t="s">
        <v>1829</v>
      </c>
      <c r="J97" s="102"/>
      <c r="K97" s="102"/>
      <c r="L97" s="102"/>
      <c r="M97" s="102" t="s">
        <v>25</v>
      </c>
      <c r="N97" s="91"/>
    </row>
    <row r="98" spans="2:14" x14ac:dyDescent="0.3">
      <c r="B98" s="142">
        <v>95</v>
      </c>
      <c r="C98" s="75" t="s">
        <v>1832</v>
      </c>
      <c r="D98" s="143" t="s">
        <v>1833</v>
      </c>
      <c r="E98" s="76">
        <v>45657</v>
      </c>
      <c r="F98" s="144">
        <v>989100</v>
      </c>
      <c r="G98" s="77" t="s">
        <v>951</v>
      </c>
      <c r="H98" s="145" t="s">
        <v>422</v>
      </c>
      <c r="I98" s="65" t="s">
        <v>1834</v>
      </c>
      <c r="J98" s="102"/>
      <c r="K98" s="102"/>
      <c r="L98" s="102"/>
      <c r="M98" s="102"/>
      <c r="N98" s="91"/>
    </row>
    <row r="99" spans="2:14" ht="51" x14ac:dyDescent="0.3">
      <c r="B99" s="142">
        <v>96</v>
      </c>
      <c r="C99" s="75" t="s">
        <v>1835</v>
      </c>
      <c r="D99" s="143" t="s">
        <v>1836</v>
      </c>
      <c r="E99" s="76">
        <v>45657</v>
      </c>
      <c r="F99" s="144">
        <v>2612900</v>
      </c>
      <c r="G99" s="77" t="s">
        <v>951</v>
      </c>
      <c r="H99" s="145" t="s">
        <v>422</v>
      </c>
      <c r="I99" s="65" t="s">
        <v>1837</v>
      </c>
      <c r="J99" s="102"/>
      <c r="K99" s="102"/>
      <c r="L99" s="102"/>
      <c r="M99" s="102"/>
      <c r="N99" s="91"/>
    </row>
    <row r="100" spans="2:14" ht="27" x14ac:dyDescent="0.3">
      <c r="B100" s="142">
        <v>97</v>
      </c>
      <c r="C100" s="75" t="s">
        <v>1838</v>
      </c>
      <c r="D100" s="143" t="s">
        <v>1839</v>
      </c>
      <c r="E100" s="76">
        <v>45657</v>
      </c>
      <c r="F100" s="144">
        <v>5595400</v>
      </c>
      <c r="G100" s="77" t="s">
        <v>951</v>
      </c>
      <c r="H100" s="145" t="s">
        <v>422</v>
      </c>
      <c r="I100" s="65" t="s">
        <v>1840</v>
      </c>
      <c r="J100" s="102"/>
      <c r="K100" s="102"/>
      <c r="L100" s="102"/>
      <c r="M100" s="102" t="s">
        <v>25</v>
      </c>
      <c r="N100" s="91"/>
    </row>
    <row r="101" spans="2:14" ht="38.25" x14ac:dyDescent="0.3">
      <c r="B101" s="142">
        <v>98</v>
      </c>
      <c r="C101" s="75" t="s">
        <v>1841</v>
      </c>
      <c r="D101" s="143" t="s">
        <v>1842</v>
      </c>
      <c r="E101" s="76">
        <v>45657</v>
      </c>
      <c r="F101" s="144">
        <v>2683000</v>
      </c>
      <c r="G101" s="77" t="s">
        <v>951</v>
      </c>
      <c r="H101" s="145" t="s">
        <v>422</v>
      </c>
      <c r="I101" s="65" t="s">
        <v>1843</v>
      </c>
      <c r="J101" s="102"/>
      <c r="K101" s="102"/>
      <c r="L101" s="102"/>
      <c r="M101" s="102"/>
      <c r="N101" s="91"/>
    </row>
    <row r="102" spans="2:14" ht="51" x14ac:dyDescent="0.3">
      <c r="B102" s="142">
        <v>99</v>
      </c>
      <c r="C102" s="75" t="s">
        <v>1844</v>
      </c>
      <c r="D102" s="143" t="s">
        <v>1845</v>
      </c>
      <c r="E102" s="76">
        <v>45657</v>
      </c>
      <c r="F102" s="144">
        <v>815500</v>
      </c>
      <c r="G102" s="77" t="s">
        <v>951</v>
      </c>
      <c r="H102" s="145" t="s">
        <v>422</v>
      </c>
      <c r="I102" s="65" t="s">
        <v>1846</v>
      </c>
      <c r="J102" s="102"/>
      <c r="K102" s="102"/>
      <c r="L102" s="102"/>
      <c r="M102" s="102"/>
      <c r="N102" s="91"/>
    </row>
    <row r="103" spans="2:14" ht="38.25" x14ac:dyDescent="0.3">
      <c r="B103" s="142">
        <v>100</v>
      </c>
      <c r="C103" s="75" t="s">
        <v>1847</v>
      </c>
      <c r="D103" s="143" t="s">
        <v>1848</v>
      </c>
      <c r="E103" s="76">
        <v>45657</v>
      </c>
      <c r="F103" s="144">
        <v>5406800</v>
      </c>
      <c r="G103" s="77" t="s">
        <v>951</v>
      </c>
      <c r="H103" s="145" t="s">
        <v>422</v>
      </c>
      <c r="I103" s="65" t="s">
        <v>1811</v>
      </c>
      <c r="J103" s="102"/>
      <c r="K103" s="102"/>
      <c r="L103" s="102"/>
      <c r="M103" s="102"/>
      <c r="N103" s="91"/>
    </row>
    <row r="104" spans="2:14" ht="63.75" x14ac:dyDescent="0.3">
      <c r="B104" s="142">
        <v>101</v>
      </c>
      <c r="C104" s="75" t="s">
        <v>1849</v>
      </c>
      <c r="D104" s="143" t="s">
        <v>1850</v>
      </c>
      <c r="E104" s="76">
        <v>45657</v>
      </c>
      <c r="F104" s="144">
        <v>1492000</v>
      </c>
      <c r="G104" s="77" t="s">
        <v>951</v>
      </c>
      <c r="H104" s="145" t="s">
        <v>422</v>
      </c>
      <c r="I104" s="65" t="s">
        <v>1563</v>
      </c>
      <c r="J104" s="102"/>
      <c r="K104" s="102"/>
      <c r="L104" s="102"/>
      <c r="M104" s="102"/>
      <c r="N104" s="91"/>
    </row>
    <row r="105" spans="2:14" ht="51" x14ac:dyDescent="0.3">
      <c r="B105" s="142">
        <v>102</v>
      </c>
      <c r="C105" s="75" t="s">
        <v>1851</v>
      </c>
      <c r="D105" s="143" t="s">
        <v>1852</v>
      </c>
      <c r="E105" s="76">
        <v>45657</v>
      </c>
      <c r="F105" s="144">
        <v>2048000</v>
      </c>
      <c r="G105" s="77" t="s">
        <v>951</v>
      </c>
      <c r="H105" s="145" t="s">
        <v>422</v>
      </c>
      <c r="I105" s="65" t="s">
        <v>1797</v>
      </c>
      <c r="J105" s="102"/>
      <c r="K105" s="102"/>
      <c r="L105" s="102"/>
      <c r="M105" s="102"/>
      <c r="N105" s="91"/>
    </row>
    <row r="106" spans="2:14" ht="51" x14ac:dyDescent="0.3">
      <c r="B106" s="142">
        <v>103</v>
      </c>
      <c r="C106" s="75" t="s">
        <v>1851</v>
      </c>
      <c r="D106" s="143" t="s">
        <v>1852</v>
      </c>
      <c r="E106" s="76">
        <v>45657</v>
      </c>
      <c r="F106" s="144">
        <v>2048000</v>
      </c>
      <c r="G106" s="77" t="s">
        <v>951</v>
      </c>
      <c r="H106" s="145" t="s">
        <v>422</v>
      </c>
      <c r="I106" s="65" t="s">
        <v>1797</v>
      </c>
      <c r="J106" s="102"/>
      <c r="K106" s="102"/>
      <c r="L106" s="102"/>
      <c r="M106" s="102"/>
      <c r="N106" s="91"/>
    </row>
    <row r="107" spans="2:14" ht="63.75" x14ac:dyDescent="0.3">
      <c r="B107" s="142">
        <v>104</v>
      </c>
      <c r="C107" s="75" t="s">
        <v>1853</v>
      </c>
      <c r="D107" s="143" t="s">
        <v>1854</v>
      </c>
      <c r="E107" s="76">
        <v>45657</v>
      </c>
      <c r="F107" s="144">
        <v>2388800</v>
      </c>
      <c r="G107" s="77" t="s">
        <v>951</v>
      </c>
      <c r="H107" s="145" t="s">
        <v>422</v>
      </c>
      <c r="I107" s="65" t="s">
        <v>1814</v>
      </c>
      <c r="J107" s="102"/>
      <c r="K107" s="102"/>
      <c r="L107" s="102"/>
      <c r="M107" s="102"/>
      <c r="N107" s="91"/>
    </row>
    <row r="108" spans="2:14" ht="63.75" x14ac:dyDescent="0.3">
      <c r="B108" s="142">
        <v>105</v>
      </c>
      <c r="C108" s="75" t="s">
        <v>1853</v>
      </c>
      <c r="D108" s="143" t="s">
        <v>1855</v>
      </c>
      <c r="E108" s="76">
        <v>45657</v>
      </c>
      <c r="F108" s="144">
        <v>2388800</v>
      </c>
      <c r="G108" s="77" t="s">
        <v>951</v>
      </c>
      <c r="H108" s="145" t="s">
        <v>422</v>
      </c>
      <c r="I108" s="65" t="s">
        <v>1814</v>
      </c>
      <c r="J108" s="102"/>
      <c r="K108" s="102"/>
      <c r="L108" s="102"/>
      <c r="M108" s="102"/>
      <c r="N108" s="91"/>
    </row>
    <row r="109" spans="2:14" ht="38.25" x14ac:dyDescent="0.3">
      <c r="B109" s="142">
        <v>106</v>
      </c>
      <c r="C109" s="75" t="s">
        <v>1856</v>
      </c>
      <c r="D109" s="143" t="s">
        <v>1857</v>
      </c>
      <c r="E109" s="76">
        <v>45657</v>
      </c>
      <c r="F109" s="144">
        <v>3231900</v>
      </c>
      <c r="G109" s="77" t="s">
        <v>951</v>
      </c>
      <c r="H109" s="145" t="s">
        <v>422</v>
      </c>
      <c r="I109" s="65" t="s">
        <v>1858</v>
      </c>
      <c r="J109" s="102"/>
      <c r="K109" s="102"/>
      <c r="L109" s="102"/>
      <c r="M109" s="102"/>
      <c r="N109" s="91"/>
    </row>
    <row r="110" spans="2:14" ht="38.25" x14ac:dyDescent="0.3">
      <c r="B110" s="142">
        <v>107</v>
      </c>
      <c r="C110" s="75" t="s">
        <v>1856</v>
      </c>
      <c r="D110" s="143" t="s">
        <v>1857</v>
      </c>
      <c r="E110" s="76">
        <v>45657</v>
      </c>
      <c r="F110" s="144">
        <v>3231900</v>
      </c>
      <c r="G110" s="77" t="s">
        <v>951</v>
      </c>
      <c r="H110" s="145" t="s">
        <v>422</v>
      </c>
      <c r="I110" s="65" t="s">
        <v>1858</v>
      </c>
      <c r="J110" s="102"/>
      <c r="K110" s="102"/>
      <c r="L110" s="102"/>
      <c r="M110" s="102"/>
      <c r="N110" s="91"/>
    </row>
    <row r="111" spans="2:14" ht="38.25" x14ac:dyDescent="0.3">
      <c r="B111" s="142">
        <v>108</v>
      </c>
      <c r="C111" s="75" t="s">
        <v>1859</v>
      </c>
      <c r="D111" s="143" t="s">
        <v>1860</v>
      </c>
      <c r="E111" s="76">
        <v>45657</v>
      </c>
      <c r="F111" s="144">
        <v>3266600</v>
      </c>
      <c r="G111" s="77" t="s">
        <v>951</v>
      </c>
      <c r="H111" s="145" t="s">
        <v>422</v>
      </c>
      <c r="I111" s="65" t="s">
        <v>1861</v>
      </c>
      <c r="J111" s="102"/>
      <c r="K111" s="102"/>
      <c r="L111" s="102"/>
      <c r="M111" s="102"/>
      <c r="N111" s="91"/>
    </row>
    <row r="112" spans="2:14" ht="25.5" x14ac:dyDescent="0.3">
      <c r="B112" s="142">
        <v>109</v>
      </c>
      <c r="C112" s="75" t="s">
        <v>1862</v>
      </c>
      <c r="D112" s="143" t="s">
        <v>1863</v>
      </c>
      <c r="E112" s="76">
        <v>45657</v>
      </c>
      <c r="F112" s="144">
        <v>1364600</v>
      </c>
      <c r="G112" s="77" t="s">
        <v>951</v>
      </c>
      <c r="H112" s="145" t="s">
        <v>422</v>
      </c>
      <c r="I112" s="65" t="s">
        <v>1790</v>
      </c>
      <c r="J112" s="102"/>
      <c r="K112" s="102"/>
      <c r="L112" s="102"/>
      <c r="M112" s="102"/>
      <c r="N112" s="91"/>
    </row>
    <row r="113" spans="2:14" x14ac:dyDescent="0.3">
      <c r="B113" s="142">
        <v>110</v>
      </c>
      <c r="C113" s="75" t="s">
        <v>1864</v>
      </c>
      <c r="D113" s="143" t="s">
        <v>1865</v>
      </c>
      <c r="E113" s="76">
        <v>45657</v>
      </c>
      <c r="F113" s="144">
        <v>805300</v>
      </c>
      <c r="G113" s="77" t="s">
        <v>951</v>
      </c>
      <c r="H113" s="145" t="s">
        <v>422</v>
      </c>
      <c r="I113" s="65" t="s">
        <v>1814</v>
      </c>
      <c r="J113" s="102"/>
      <c r="K113" s="102"/>
      <c r="L113" s="102"/>
      <c r="M113" s="102"/>
      <c r="N113" s="91"/>
    </row>
    <row r="114" spans="2:14" ht="27" x14ac:dyDescent="0.3">
      <c r="B114" s="142">
        <v>111</v>
      </c>
      <c r="C114" s="75" t="s">
        <v>1866</v>
      </c>
      <c r="D114" s="143" t="s">
        <v>1867</v>
      </c>
      <c r="E114" s="76">
        <v>45657</v>
      </c>
      <c r="F114" s="144">
        <v>7941800</v>
      </c>
      <c r="G114" s="77" t="s">
        <v>951</v>
      </c>
      <c r="H114" s="145" t="s">
        <v>422</v>
      </c>
      <c r="I114" s="65" t="s">
        <v>1811</v>
      </c>
      <c r="J114" s="102"/>
      <c r="K114" s="102"/>
      <c r="L114" s="102"/>
      <c r="M114" s="102"/>
      <c r="N114" s="91"/>
    </row>
    <row r="115" spans="2:14" ht="27" x14ac:dyDescent="0.3">
      <c r="B115" s="142">
        <v>112</v>
      </c>
      <c r="C115" s="75" t="s">
        <v>1868</v>
      </c>
      <c r="D115" s="143" t="s">
        <v>1869</v>
      </c>
      <c r="E115" s="76">
        <v>45657</v>
      </c>
      <c r="F115" s="144">
        <v>1980800</v>
      </c>
      <c r="G115" s="77" t="s">
        <v>951</v>
      </c>
      <c r="H115" s="145" t="s">
        <v>422</v>
      </c>
      <c r="I115" s="65" t="s">
        <v>1870</v>
      </c>
      <c r="J115" s="102"/>
      <c r="K115" s="102"/>
      <c r="L115" s="102"/>
      <c r="M115" s="102"/>
      <c r="N115" s="91"/>
    </row>
    <row r="116" spans="2:14" ht="27" x14ac:dyDescent="0.3">
      <c r="B116" s="142">
        <v>113</v>
      </c>
      <c r="C116" s="75" t="s">
        <v>1871</v>
      </c>
      <c r="D116" s="143" t="s">
        <v>1872</v>
      </c>
      <c r="E116" s="76">
        <v>45657</v>
      </c>
      <c r="F116" s="144">
        <v>6470100</v>
      </c>
      <c r="G116" s="77" t="s">
        <v>951</v>
      </c>
      <c r="H116" s="145" t="s">
        <v>422</v>
      </c>
      <c r="I116" s="65" t="s">
        <v>1811</v>
      </c>
      <c r="J116" s="102"/>
      <c r="K116" s="102"/>
      <c r="L116" s="102"/>
      <c r="M116" s="102"/>
      <c r="N116" s="91"/>
    </row>
    <row r="117" spans="2:14" ht="27" x14ac:dyDescent="0.3">
      <c r="B117" s="142">
        <v>114</v>
      </c>
      <c r="C117" s="75" t="s">
        <v>1873</v>
      </c>
      <c r="D117" s="143" t="s">
        <v>1874</v>
      </c>
      <c r="E117" s="76">
        <v>45657</v>
      </c>
      <c r="F117" s="144">
        <v>29101600</v>
      </c>
      <c r="G117" s="77" t="s">
        <v>951</v>
      </c>
      <c r="H117" s="145" t="s">
        <v>422</v>
      </c>
      <c r="I117" s="65" t="s">
        <v>1811</v>
      </c>
      <c r="J117" s="102"/>
      <c r="K117" s="102"/>
      <c r="L117" s="102"/>
      <c r="M117" s="102" t="s">
        <v>25</v>
      </c>
      <c r="N117" s="91"/>
    </row>
    <row r="118" spans="2:14" ht="27" x14ac:dyDescent="0.3">
      <c r="B118" s="142">
        <v>115</v>
      </c>
      <c r="C118" s="75" t="s">
        <v>1875</v>
      </c>
      <c r="D118" s="143" t="s">
        <v>1876</v>
      </c>
      <c r="E118" s="76">
        <v>45657</v>
      </c>
      <c r="F118" s="144">
        <v>5257600</v>
      </c>
      <c r="G118" s="77" t="s">
        <v>951</v>
      </c>
      <c r="H118" s="145" t="s">
        <v>422</v>
      </c>
      <c r="I118" s="65" t="s">
        <v>1877</v>
      </c>
      <c r="J118" s="102"/>
      <c r="K118" s="102"/>
      <c r="L118" s="102"/>
      <c r="M118" s="102"/>
      <c r="N118" s="91"/>
    </row>
    <row r="119" spans="2:14" ht="27" x14ac:dyDescent="0.3">
      <c r="B119" s="142">
        <v>116</v>
      </c>
      <c r="C119" s="75" t="s">
        <v>1878</v>
      </c>
      <c r="D119" s="143" t="s">
        <v>1879</v>
      </c>
      <c r="E119" s="76">
        <v>45657</v>
      </c>
      <c r="F119" s="144">
        <v>14402700</v>
      </c>
      <c r="G119" s="77" t="s">
        <v>951</v>
      </c>
      <c r="H119" s="145" t="s">
        <v>422</v>
      </c>
      <c r="I119" s="65" t="s">
        <v>1880</v>
      </c>
      <c r="J119" s="102"/>
      <c r="K119" s="102"/>
      <c r="L119" s="102"/>
      <c r="M119" s="102"/>
      <c r="N119" s="91"/>
    </row>
    <row r="120" spans="2:14" ht="27" x14ac:dyDescent="0.3">
      <c r="B120" s="142">
        <v>117</v>
      </c>
      <c r="C120" s="75" t="s">
        <v>1878</v>
      </c>
      <c r="D120" s="143" t="s">
        <v>1881</v>
      </c>
      <c r="E120" s="76">
        <v>45657</v>
      </c>
      <c r="F120" s="144">
        <v>14402700</v>
      </c>
      <c r="G120" s="77" t="s">
        <v>951</v>
      </c>
      <c r="H120" s="145" t="s">
        <v>422</v>
      </c>
      <c r="I120" s="65" t="s">
        <v>1880</v>
      </c>
      <c r="J120" s="102"/>
      <c r="K120" s="102"/>
      <c r="L120" s="102"/>
      <c r="M120" s="102"/>
      <c r="N120" s="91"/>
    </row>
    <row r="121" spans="2:14" ht="27" x14ac:dyDescent="0.3">
      <c r="B121" s="142">
        <v>118</v>
      </c>
      <c r="C121" s="75" t="s">
        <v>1882</v>
      </c>
      <c r="D121" s="143" t="s">
        <v>1883</v>
      </c>
      <c r="E121" s="76">
        <v>45657</v>
      </c>
      <c r="F121" s="144">
        <v>892200</v>
      </c>
      <c r="G121" s="77" t="s">
        <v>951</v>
      </c>
      <c r="H121" s="145" t="s">
        <v>422</v>
      </c>
      <c r="I121" s="65" t="s">
        <v>1884</v>
      </c>
      <c r="J121" s="102"/>
      <c r="K121" s="102"/>
      <c r="L121" s="102"/>
      <c r="M121" s="102"/>
      <c r="N121" s="91"/>
    </row>
    <row r="122" spans="2:14" ht="51" x14ac:dyDescent="0.3">
      <c r="B122" s="142">
        <v>119</v>
      </c>
      <c r="C122" s="75" t="s">
        <v>1885</v>
      </c>
      <c r="D122" s="143" t="s">
        <v>1886</v>
      </c>
      <c r="E122" s="76">
        <v>45657</v>
      </c>
      <c r="F122" s="144">
        <v>2351700</v>
      </c>
      <c r="G122" s="77" t="s">
        <v>951</v>
      </c>
      <c r="H122" s="145" t="s">
        <v>422</v>
      </c>
      <c r="I122" s="65" t="s">
        <v>1887</v>
      </c>
      <c r="J122" s="102"/>
      <c r="K122" s="102"/>
      <c r="L122" s="102"/>
      <c r="M122" s="102"/>
      <c r="N122" s="91"/>
    </row>
    <row r="123" spans="2:14" ht="40.5" x14ac:dyDescent="0.3">
      <c r="B123" s="142">
        <v>120</v>
      </c>
      <c r="C123" s="75" t="s">
        <v>1888</v>
      </c>
      <c r="D123" s="143" t="s">
        <v>1889</v>
      </c>
      <c r="E123" s="76">
        <v>45657</v>
      </c>
      <c r="F123" s="144">
        <v>14380400</v>
      </c>
      <c r="G123" s="77" t="s">
        <v>951</v>
      </c>
      <c r="H123" s="145" t="s">
        <v>422</v>
      </c>
      <c r="I123" s="65" t="s">
        <v>1890</v>
      </c>
      <c r="J123" s="102"/>
      <c r="K123" s="102"/>
      <c r="L123" s="102"/>
      <c r="M123" s="102"/>
      <c r="N123" s="91"/>
    </row>
    <row r="124" spans="2:14" ht="27" x14ac:dyDescent="0.3">
      <c r="B124" s="142">
        <v>121</v>
      </c>
      <c r="C124" s="75" t="s">
        <v>1891</v>
      </c>
      <c r="D124" s="143" t="s">
        <v>1892</v>
      </c>
      <c r="E124" s="76">
        <v>45657</v>
      </c>
      <c r="F124" s="144">
        <v>15387800</v>
      </c>
      <c r="G124" s="77" t="s">
        <v>951</v>
      </c>
      <c r="H124" s="145" t="s">
        <v>422</v>
      </c>
      <c r="I124" s="65" t="s">
        <v>1893</v>
      </c>
      <c r="J124" s="102"/>
      <c r="K124" s="102"/>
      <c r="L124" s="102"/>
      <c r="M124" s="102"/>
      <c r="N124" s="91"/>
    </row>
    <row r="125" spans="2:14" ht="27" x14ac:dyDescent="0.3">
      <c r="B125" s="142">
        <v>122</v>
      </c>
      <c r="C125" s="75" t="s">
        <v>1894</v>
      </c>
      <c r="D125" s="143" t="s">
        <v>1895</v>
      </c>
      <c r="E125" s="76">
        <v>45657</v>
      </c>
      <c r="F125" s="144">
        <v>45801300</v>
      </c>
      <c r="G125" s="77" t="s">
        <v>951</v>
      </c>
      <c r="H125" s="145" t="s">
        <v>422</v>
      </c>
      <c r="I125" s="65" t="s">
        <v>1896</v>
      </c>
      <c r="J125" s="102"/>
      <c r="K125" s="102"/>
      <c r="L125" s="102"/>
      <c r="M125" s="102"/>
      <c r="N125" s="91"/>
    </row>
    <row r="126" spans="2:14" ht="38.25" x14ac:dyDescent="0.3">
      <c r="B126" s="142">
        <v>123</v>
      </c>
      <c r="C126" s="75" t="s">
        <v>1897</v>
      </c>
      <c r="D126" s="143" t="s">
        <v>1898</v>
      </c>
      <c r="E126" s="76">
        <v>45657</v>
      </c>
      <c r="F126" s="144">
        <v>2006100</v>
      </c>
      <c r="G126" s="77" t="s">
        <v>951</v>
      </c>
      <c r="H126" s="145" t="s">
        <v>422</v>
      </c>
      <c r="I126" s="65" t="s">
        <v>1899</v>
      </c>
      <c r="J126" s="102"/>
      <c r="K126" s="102"/>
      <c r="L126" s="102"/>
      <c r="M126" s="102" t="s">
        <v>25</v>
      </c>
      <c r="N126" s="91"/>
    </row>
    <row r="127" spans="2:14" ht="54" x14ac:dyDescent="0.3">
      <c r="B127" s="142">
        <v>124</v>
      </c>
      <c r="C127" s="75" t="s">
        <v>1900</v>
      </c>
      <c r="D127" s="143" t="s">
        <v>1901</v>
      </c>
      <c r="E127" s="76">
        <v>45657</v>
      </c>
      <c r="F127" s="144">
        <v>11798900</v>
      </c>
      <c r="G127" s="77" t="s">
        <v>951</v>
      </c>
      <c r="H127" s="145" t="s">
        <v>422</v>
      </c>
      <c r="I127" s="65" t="s">
        <v>1902</v>
      </c>
      <c r="J127" s="102"/>
      <c r="K127" s="102"/>
      <c r="L127" s="102"/>
      <c r="M127" s="102"/>
      <c r="N127" s="91"/>
    </row>
    <row r="128" spans="2:14" ht="38.25" x14ac:dyDescent="0.3">
      <c r="B128" s="142">
        <v>125</v>
      </c>
      <c r="C128" s="75" t="s">
        <v>1660</v>
      </c>
      <c r="D128" s="143" t="s">
        <v>1903</v>
      </c>
      <c r="E128" s="76">
        <v>45657</v>
      </c>
      <c r="F128" s="144">
        <v>25537400</v>
      </c>
      <c r="G128" s="77" t="s">
        <v>951</v>
      </c>
      <c r="H128" s="145" t="s">
        <v>422</v>
      </c>
      <c r="I128" s="65" t="s">
        <v>1904</v>
      </c>
      <c r="J128" s="102"/>
      <c r="K128" s="102"/>
      <c r="L128" s="102"/>
      <c r="M128" s="102"/>
      <c r="N128" s="91"/>
    </row>
    <row r="129" spans="2:14" ht="38.25" x14ac:dyDescent="0.3">
      <c r="B129" s="142">
        <v>126</v>
      </c>
      <c r="C129" s="75" t="s">
        <v>1905</v>
      </c>
      <c r="D129" s="143" t="s">
        <v>1906</v>
      </c>
      <c r="E129" s="76">
        <v>45657</v>
      </c>
      <c r="F129" s="144">
        <v>44892600</v>
      </c>
      <c r="G129" s="77" t="s">
        <v>951</v>
      </c>
      <c r="H129" s="145" t="s">
        <v>422</v>
      </c>
      <c r="I129" s="65" t="s">
        <v>1811</v>
      </c>
      <c r="J129" s="102"/>
      <c r="K129" s="102"/>
      <c r="L129" s="102"/>
      <c r="M129" s="102"/>
      <c r="N129" s="91"/>
    </row>
    <row r="130" spans="2:14" ht="27" x14ac:dyDescent="0.3">
      <c r="B130" s="142">
        <v>127</v>
      </c>
      <c r="C130" s="75" t="s">
        <v>1907</v>
      </c>
      <c r="D130" s="143" t="s">
        <v>1908</v>
      </c>
      <c r="E130" s="76">
        <v>45657</v>
      </c>
      <c r="F130" s="144">
        <v>12001000</v>
      </c>
      <c r="G130" s="77" t="s">
        <v>951</v>
      </c>
      <c r="H130" s="145" t="s">
        <v>422</v>
      </c>
      <c r="I130" s="65" t="s">
        <v>1909</v>
      </c>
      <c r="J130" s="102"/>
      <c r="K130" s="102"/>
      <c r="L130" s="102"/>
      <c r="M130" s="102"/>
      <c r="N130" s="91"/>
    </row>
    <row r="131" spans="2:14" ht="54" x14ac:dyDescent="0.3">
      <c r="B131" s="142">
        <v>128</v>
      </c>
      <c r="C131" s="75" t="s">
        <v>1910</v>
      </c>
      <c r="D131" s="143" t="s">
        <v>1911</v>
      </c>
      <c r="E131" s="76">
        <v>45657</v>
      </c>
      <c r="F131" s="144">
        <v>7907400</v>
      </c>
      <c r="G131" s="77" t="s">
        <v>951</v>
      </c>
      <c r="H131" s="145" t="s">
        <v>422</v>
      </c>
      <c r="I131" s="65" t="s">
        <v>1912</v>
      </c>
      <c r="J131" s="102"/>
      <c r="K131" s="102"/>
      <c r="L131" s="102"/>
      <c r="M131" s="102"/>
      <c r="N131" s="91"/>
    </row>
    <row r="132" spans="2:14" ht="40.5" x14ac:dyDescent="0.3">
      <c r="B132" s="142">
        <v>129</v>
      </c>
      <c r="C132" s="75" t="s">
        <v>1748</v>
      </c>
      <c r="D132" s="143" t="s">
        <v>1913</v>
      </c>
      <c r="E132" s="76">
        <v>45657</v>
      </c>
      <c r="F132" s="144">
        <v>2341900</v>
      </c>
      <c r="G132" s="77" t="s">
        <v>951</v>
      </c>
      <c r="H132" s="145" t="s">
        <v>422</v>
      </c>
      <c r="I132" s="65" t="s">
        <v>1914</v>
      </c>
      <c r="J132" s="102"/>
      <c r="K132" s="102"/>
      <c r="L132" s="102"/>
      <c r="M132" s="102"/>
      <c r="N132" s="91"/>
    </row>
    <row r="133" spans="2:14" ht="25.5" x14ac:dyDescent="0.3">
      <c r="B133" s="142">
        <v>130</v>
      </c>
      <c r="C133" s="75" t="s">
        <v>1915</v>
      </c>
      <c r="D133" s="143" t="s">
        <v>1916</v>
      </c>
      <c r="E133" s="76">
        <v>45657</v>
      </c>
      <c r="F133" s="144">
        <v>4953500</v>
      </c>
      <c r="G133" s="77" t="s">
        <v>951</v>
      </c>
      <c r="H133" s="145" t="s">
        <v>422</v>
      </c>
      <c r="I133" s="65" t="s">
        <v>1917</v>
      </c>
      <c r="J133" s="102"/>
      <c r="K133" s="102"/>
      <c r="L133" s="102"/>
      <c r="M133" s="102"/>
      <c r="N133" s="91"/>
    </row>
    <row r="134" spans="2:14" ht="25.5" x14ac:dyDescent="0.3">
      <c r="B134" s="142">
        <v>131</v>
      </c>
      <c r="C134" s="75" t="s">
        <v>1731</v>
      </c>
      <c r="D134" s="143" t="s">
        <v>1918</v>
      </c>
      <c r="E134" s="76">
        <v>45657</v>
      </c>
      <c r="F134" s="144">
        <v>7939500</v>
      </c>
      <c r="G134" s="77" t="s">
        <v>951</v>
      </c>
      <c r="H134" s="145" t="s">
        <v>422</v>
      </c>
      <c r="I134" s="65" t="s">
        <v>1919</v>
      </c>
      <c r="J134" s="102"/>
      <c r="K134" s="102"/>
      <c r="L134" s="102"/>
      <c r="M134" s="102"/>
      <c r="N134" s="91"/>
    </row>
    <row r="135" spans="2:14" ht="51" x14ac:dyDescent="0.3">
      <c r="B135" s="142">
        <v>132</v>
      </c>
      <c r="C135" s="75" t="s">
        <v>1920</v>
      </c>
      <c r="D135" s="143" t="s">
        <v>1921</v>
      </c>
      <c r="E135" s="76">
        <v>45657</v>
      </c>
      <c r="F135" s="144">
        <v>22668600</v>
      </c>
      <c r="G135" s="77" t="s">
        <v>951</v>
      </c>
      <c r="H135" s="145" t="s">
        <v>422</v>
      </c>
      <c r="I135" s="65" t="s">
        <v>1922</v>
      </c>
      <c r="J135" s="102"/>
      <c r="K135" s="102"/>
      <c r="L135" s="102"/>
      <c r="N135" s="91"/>
    </row>
    <row r="136" spans="2:14" ht="51" x14ac:dyDescent="0.3">
      <c r="B136" s="142">
        <v>133</v>
      </c>
      <c r="C136" s="75" t="s">
        <v>1920</v>
      </c>
      <c r="D136" s="143" t="s">
        <v>1923</v>
      </c>
      <c r="E136" s="76">
        <v>45657</v>
      </c>
      <c r="F136" s="144">
        <v>7556200</v>
      </c>
      <c r="G136" s="77" t="s">
        <v>951</v>
      </c>
      <c r="H136" s="145" t="s">
        <v>422</v>
      </c>
      <c r="I136" s="65" t="s">
        <v>1924</v>
      </c>
      <c r="J136" s="102"/>
      <c r="K136" s="102"/>
      <c r="L136" s="102"/>
      <c r="M136" s="102" t="s">
        <v>25</v>
      </c>
      <c r="N136" s="91"/>
    </row>
    <row r="137" spans="2:14" ht="51" x14ac:dyDescent="0.3">
      <c r="B137" s="142">
        <v>134</v>
      </c>
      <c r="C137" s="75" t="s">
        <v>1920</v>
      </c>
      <c r="D137" s="143" t="s">
        <v>1925</v>
      </c>
      <c r="E137" s="76">
        <v>45657</v>
      </c>
      <c r="F137" s="144">
        <v>7556200</v>
      </c>
      <c r="G137" s="77" t="s">
        <v>951</v>
      </c>
      <c r="H137" s="145" t="s">
        <v>422</v>
      </c>
      <c r="I137" s="65" t="s">
        <v>1924</v>
      </c>
      <c r="J137" s="102"/>
      <c r="K137" s="102"/>
      <c r="L137" s="102"/>
      <c r="M137" s="102" t="s">
        <v>25</v>
      </c>
      <c r="N137" s="91"/>
    </row>
    <row r="138" spans="2:14" ht="51" x14ac:dyDescent="0.3">
      <c r="B138" s="142">
        <v>135</v>
      </c>
      <c r="C138" s="75" t="s">
        <v>1920</v>
      </c>
      <c r="D138" s="143" t="s">
        <v>1926</v>
      </c>
      <c r="E138" s="76">
        <v>45657</v>
      </c>
      <c r="F138" s="144">
        <v>15112400</v>
      </c>
      <c r="G138" s="77" t="s">
        <v>951</v>
      </c>
      <c r="H138" s="145" t="s">
        <v>422</v>
      </c>
      <c r="I138" s="65" t="s">
        <v>1924</v>
      </c>
      <c r="J138" s="102"/>
      <c r="K138" s="102"/>
      <c r="L138" s="102"/>
      <c r="M138" s="102" t="s">
        <v>25</v>
      </c>
      <c r="N138" s="91"/>
    </row>
    <row r="139" spans="2:14" ht="51" x14ac:dyDescent="0.3">
      <c r="B139" s="142">
        <v>136</v>
      </c>
      <c r="C139" s="75" t="s">
        <v>1920</v>
      </c>
      <c r="D139" s="143" t="s">
        <v>1927</v>
      </c>
      <c r="E139" s="76">
        <v>45657</v>
      </c>
      <c r="F139" s="144">
        <v>7556200</v>
      </c>
      <c r="G139" s="77" t="s">
        <v>951</v>
      </c>
      <c r="H139" s="145" t="s">
        <v>422</v>
      </c>
      <c r="I139" s="65" t="s">
        <v>1924</v>
      </c>
      <c r="J139" s="102"/>
      <c r="K139" s="102"/>
      <c r="L139" s="102"/>
      <c r="M139" s="102" t="s">
        <v>25</v>
      </c>
      <c r="N139" s="91"/>
    </row>
    <row r="140" spans="2:14" ht="51" x14ac:dyDescent="0.3">
      <c r="B140" s="142">
        <v>137</v>
      </c>
      <c r="C140" s="75" t="s">
        <v>1920</v>
      </c>
      <c r="D140" s="143" t="s">
        <v>1928</v>
      </c>
      <c r="E140" s="76">
        <v>45657</v>
      </c>
      <c r="F140" s="144">
        <v>7556200</v>
      </c>
      <c r="G140" s="77" t="s">
        <v>951</v>
      </c>
      <c r="H140" s="145" t="s">
        <v>422</v>
      </c>
      <c r="I140" s="65" t="s">
        <v>1924</v>
      </c>
      <c r="J140" s="102"/>
      <c r="K140" s="102"/>
      <c r="L140" s="102"/>
      <c r="M140" s="102" t="s">
        <v>25</v>
      </c>
      <c r="N140" s="91"/>
    </row>
    <row r="141" spans="2:14" ht="51" x14ac:dyDescent="0.3">
      <c r="B141" s="142">
        <v>138</v>
      </c>
      <c r="C141" s="75" t="s">
        <v>1929</v>
      </c>
      <c r="D141" s="143" t="s">
        <v>1930</v>
      </c>
      <c r="E141" s="76">
        <v>45657</v>
      </c>
      <c r="F141" s="144">
        <v>2656200</v>
      </c>
      <c r="G141" s="77" t="s">
        <v>951</v>
      </c>
      <c r="H141" s="145" t="s">
        <v>422</v>
      </c>
      <c r="I141" s="65" t="s">
        <v>1931</v>
      </c>
      <c r="J141" s="102"/>
      <c r="K141" s="102"/>
      <c r="L141" s="102"/>
      <c r="M141" s="102" t="s">
        <v>25</v>
      </c>
      <c r="N141" s="91"/>
    </row>
    <row r="142" spans="2:14" ht="25.5" x14ac:dyDescent="0.3">
      <c r="B142" s="142">
        <v>139</v>
      </c>
      <c r="C142" s="75" t="s">
        <v>1932</v>
      </c>
      <c r="D142" s="143" t="s">
        <v>1933</v>
      </c>
      <c r="E142" s="76">
        <v>45657</v>
      </c>
      <c r="F142" s="144">
        <v>4000300</v>
      </c>
      <c r="G142" s="77" t="s">
        <v>951</v>
      </c>
      <c r="H142" s="145" t="s">
        <v>422</v>
      </c>
      <c r="I142" s="65" t="s">
        <v>1934</v>
      </c>
      <c r="J142" s="102"/>
      <c r="K142" s="102"/>
      <c r="L142" s="102"/>
      <c r="M142" s="102"/>
      <c r="N142" s="91"/>
    </row>
    <row r="143" spans="2:14" ht="25.5" x14ac:dyDescent="0.3">
      <c r="B143" s="142">
        <v>140</v>
      </c>
      <c r="C143" s="75" t="s">
        <v>1935</v>
      </c>
      <c r="D143" s="143" t="s">
        <v>1936</v>
      </c>
      <c r="E143" s="76">
        <v>45657</v>
      </c>
      <c r="F143" s="144">
        <v>4724900</v>
      </c>
      <c r="G143" s="77" t="s">
        <v>951</v>
      </c>
      <c r="H143" s="145" t="s">
        <v>422</v>
      </c>
      <c r="I143" s="65" t="s">
        <v>1790</v>
      </c>
      <c r="J143" s="102"/>
      <c r="K143" s="102"/>
      <c r="L143" s="102"/>
      <c r="M143" s="102" t="s">
        <v>25</v>
      </c>
      <c r="N143" s="91"/>
    </row>
    <row r="144" spans="2:14" ht="25.5" x14ac:dyDescent="0.3">
      <c r="B144" s="142">
        <v>141</v>
      </c>
      <c r="C144" s="75" t="s">
        <v>1731</v>
      </c>
      <c r="D144" s="143" t="s">
        <v>1937</v>
      </c>
      <c r="E144" s="76">
        <v>45657</v>
      </c>
      <c r="F144" s="144">
        <v>8814600</v>
      </c>
      <c r="G144" s="77" t="s">
        <v>951</v>
      </c>
      <c r="H144" s="145" t="s">
        <v>422</v>
      </c>
      <c r="I144" s="65" t="s">
        <v>1938</v>
      </c>
      <c r="J144" s="102"/>
      <c r="K144" s="102"/>
      <c r="L144" s="102"/>
      <c r="M144" s="102"/>
      <c r="N144" s="91"/>
    </row>
    <row r="145" spans="2:14" ht="25.5" x14ac:dyDescent="0.3">
      <c r="B145" s="142">
        <v>142</v>
      </c>
      <c r="C145" s="75" t="s">
        <v>1731</v>
      </c>
      <c r="D145" s="143" t="s">
        <v>1939</v>
      </c>
      <c r="E145" s="76">
        <v>45657</v>
      </c>
      <c r="F145" s="144">
        <v>4407300</v>
      </c>
      <c r="G145" s="77" t="s">
        <v>951</v>
      </c>
      <c r="H145" s="145" t="s">
        <v>422</v>
      </c>
      <c r="I145" s="65" t="s">
        <v>1940</v>
      </c>
      <c r="J145" s="102"/>
      <c r="K145" s="102"/>
      <c r="L145" s="102"/>
      <c r="M145" s="102"/>
      <c r="N145" s="91"/>
    </row>
    <row r="146" spans="2:14" ht="25.5" x14ac:dyDescent="0.3">
      <c r="B146" s="142">
        <v>143</v>
      </c>
      <c r="C146" s="75" t="s">
        <v>1731</v>
      </c>
      <c r="D146" s="143" t="s">
        <v>1941</v>
      </c>
      <c r="E146" s="76">
        <v>45657</v>
      </c>
      <c r="F146" s="144">
        <v>8814600</v>
      </c>
      <c r="G146" s="77" t="s">
        <v>951</v>
      </c>
      <c r="H146" s="145" t="s">
        <v>422</v>
      </c>
      <c r="I146" s="65" t="s">
        <v>1942</v>
      </c>
      <c r="J146" s="102"/>
      <c r="K146" s="102"/>
      <c r="L146" s="102"/>
      <c r="M146" s="102"/>
      <c r="N146" s="91"/>
    </row>
    <row r="147" spans="2:14" ht="89.25" x14ac:dyDescent="0.3">
      <c r="B147" s="142">
        <v>144</v>
      </c>
      <c r="C147" s="75" t="s">
        <v>1943</v>
      </c>
      <c r="D147" s="143" t="s">
        <v>1944</v>
      </c>
      <c r="E147" s="76">
        <v>45657</v>
      </c>
      <c r="F147" s="144">
        <v>74788500</v>
      </c>
      <c r="G147" s="77" t="s">
        <v>951</v>
      </c>
      <c r="H147" s="145" t="s">
        <v>422</v>
      </c>
      <c r="I147" s="65" t="s">
        <v>1790</v>
      </c>
      <c r="J147" s="102"/>
      <c r="K147" s="102"/>
      <c r="L147" s="102"/>
      <c r="M147" s="102"/>
      <c r="N147" s="91"/>
    </row>
    <row r="148" spans="2:14" ht="63.75" x14ac:dyDescent="0.3">
      <c r="B148" s="142">
        <v>145</v>
      </c>
      <c r="C148" s="75" t="s">
        <v>1945</v>
      </c>
      <c r="D148" s="99" t="s">
        <v>1946</v>
      </c>
      <c r="E148" s="76">
        <v>45657</v>
      </c>
      <c r="F148" s="100">
        <v>46323700</v>
      </c>
      <c r="G148" s="77" t="s">
        <v>951</v>
      </c>
      <c r="H148" s="101" t="s">
        <v>422</v>
      </c>
      <c r="I148" s="65" t="s">
        <v>1947</v>
      </c>
      <c r="J148" s="102"/>
      <c r="K148" s="102"/>
      <c r="L148" s="102"/>
      <c r="M148" s="102"/>
      <c r="N148" s="91"/>
    </row>
    <row r="149" spans="2:14" ht="25.5" x14ac:dyDescent="0.3">
      <c r="B149" s="142">
        <v>146</v>
      </c>
      <c r="C149" s="75" t="s">
        <v>1948</v>
      </c>
      <c r="D149" s="99" t="s">
        <v>1949</v>
      </c>
      <c r="E149" s="76">
        <v>45657</v>
      </c>
      <c r="F149" s="100">
        <v>15031500</v>
      </c>
      <c r="G149" s="77" t="s">
        <v>951</v>
      </c>
      <c r="H149" s="101" t="s">
        <v>422</v>
      </c>
      <c r="I149" s="65" t="s">
        <v>1950</v>
      </c>
      <c r="J149" s="102"/>
      <c r="K149" s="102"/>
      <c r="L149" s="102"/>
      <c r="M149" s="102"/>
      <c r="N149" s="91"/>
    </row>
    <row r="150" spans="2:14" ht="25.5" x14ac:dyDescent="0.3">
      <c r="B150" s="142">
        <v>147</v>
      </c>
      <c r="C150" s="75" t="s">
        <v>1951</v>
      </c>
      <c r="D150" s="99" t="s">
        <v>1952</v>
      </c>
      <c r="E150" s="76">
        <v>45657</v>
      </c>
      <c r="F150" s="100">
        <v>17150500</v>
      </c>
      <c r="G150" s="77" t="s">
        <v>951</v>
      </c>
      <c r="H150" s="101" t="s">
        <v>422</v>
      </c>
      <c r="I150" s="65" t="s">
        <v>1790</v>
      </c>
      <c r="J150" s="102"/>
      <c r="K150" s="102"/>
      <c r="L150" s="102"/>
      <c r="M150" s="102" t="s">
        <v>25</v>
      </c>
      <c r="N150" s="91"/>
    </row>
    <row r="151" spans="2:14" ht="38.25" x14ac:dyDescent="0.3">
      <c r="B151" s="142">
        <v>148</v>
      </c>
      <c r="C151" s="75" t="s">
        <v>1953</v>
      </c>
      <c r="D151" s="99" t="s">
        <v>1954</v>
      </c>
      <c r="E151" s="76">
        <v>45657</v>
      </c>
      <c r="F151" s="100">
        <v>16515500</v>
      </c>
      <c r="G151" s="77" t="s">
        <v>951</v>
      </c>
      <c r="H151" s="101" t="s">
        <v>422</v>
      </c>
      <c r="I151" s="65" t="s">
        <v>1790</v>
      </c>
      <c r="J151" s="102"/>
      <c r="K151" s="102"/>
      <c r="L151" s="102"/>
      <c r="M151" s="102" t="s">
        <v>25</v>
      </c>
      <c r="N151" s="91"/>
    </row>
    <row r="152" spans="2:14" ht="25.5" x14ac:dyDescent="0.3">
      <c r="B152" s="142">
        <v>149</v>
      </c>
      <c r="C152" s="75" t="s">
        <v>1955</v>
      </c>
      <c r="D152" s="99" t="s">
        <v>1956</v>
      </c>
      <c r="E152" s="76">
        <v>45657</v>
      </c>
      <c r="F152" s="100">
        <v>22064400</v>
      </c>
      <c r="G152" s="77" t="s">
        <v>951</v>
      </c>
      <c r="H152" s="101" t="s">
        <v>422</v>
      </c>
      <c r="I152" s="65" t="s">
        <v>1790</v>
      </c>
      <c r="J152" s="102"/>
      <c r="K152" s="102"/>
      <c r="L152" s="102"/>
      <c r="M152" s="102"/>
      <c r="N152" s="91"/>
    </row>
    <row r="153" spans="2:14" ht="25.5" x14ac:dyDescent="0.3">
      <c r="B153" s="142">
        <v>150</v>
      </c>
      <c r="C153" s="75" t="s">
        <v>1957</v>
      </c>
      <c r="D153" s="99" t="s">
        <v>1958</v>
      </c>
      <c r="E153" s="76">
        <v>45657</v>
      </c>
      <c r="F153" s="100">
        <v>4988100</v>
      </c>
      <c r="G153" s="77" t="s">
        <v>951</v>
      </c>
      <c r="H153" s="101" t="s">
        <v>422</v>
      </c>
      <c r="I153" s="65" t="s">
        <v>1790</v>
      </c>
      <c r="J153" s="102"/>
      <c r="K153" s="102"/>
      <c r="L153" s="102"/>
      <c r="M153" s="102"/>
      <c r="N153" s="91"/>
    </row>
    <row r="154" spans="2:14" ht="25.5" x14ac:dyDescent="0.3">
      <c r="B154" s="142">
        <v>151</v>
      </c>
      <c r="C154" s="75" t="s">
        <v>1959</v>
      </c>
      <c r="D154" s="99" t="s">
        <v>1960</v>
      </c>
      <c r="E154" s="76">
        <v>45657</v>
      </c>
      <c r="F154" s="100">
        <v>15510300</v>
      </c>
      <c r="G154" s="77" t="s">
        <v>951</v>
      </c>
      <c r="H154" s="101" t="s">
        <v>422</v>
      </c>
      <c r="I154" s="65" t="s">
        <v>1790</v>
      </c>
      <c r="J154" s="102"/>
      <c r="K154" s="102"/>
      <c r="L154" s="102"/>
      <c r="M154" s="102"/>
      <c r="N154" s="91"/>
    </row>
    <row r="155" spans="2:14" ht="25.5" x14ac:dyDescent="0.3">
      <c r="B155" s="142">
        <v>152</v>
      </c>
      <c r="C155" s="75" t="s">
        <v>1961</v>
      </c>
      <c r="D155" s="99" t="s">
        <v>1962</v>
      </c>
      <c r="E155" s="76">
        <v>45657</v>
      </c>
      <c r="F155" s="100">
        <v>30063100</v>
      </c>
      <c r="G155" s="77" t="s">
        <v>951</v>
      </c>
      <c r="H155" s="101" t="s">
        <v>422</v>
      </c>
      <c r="I155" s="65" t="s">
        <v>1950</v>
      </c>
      <c r="J155" s="102"/>
      <c r="K155" s="102"/>
      <c r="L155" s="102"/>
      <c r="M155" s="102" t="s">
        <v>25</v>
      </c>
      <c r="N155" s="91"/>
    </row>
    <row r="156" spans="2:14" ht="25.5" x14ac:dyDescent="0.3">
      <c r="B156" s="142">
        <v>153</v>
      </c>
      <c r="C156" s="75" t="s">
        <v>1963</v>
      </c>
      <c r="D156" s="99" t="s">
        <v>1964</v>
      </c>
      <c r="E156" s="76">
        <v>45657</v>
      </c>
      <c r="F156" s="100">
        <v>4235300</v>
      </c>
      <c r="G156" s="77" t="s">
        <v>951</v>
      </c>
      <c r="H156" s="101" t="s">
        <v>422</v>
      </c>
      <c r="I156" s="65" t="s">
        <v>1790</v>
      </c>
      <c r="J156" s="102"/>
      <c r="K156" s="102"/>
      <c r="L156" s="102"/>
      <c r="M156" s="102"/>
      <c r="N156" s="91"/>
    </row>
    <row r="157" spans="2:14" ht="25.5" x14ac:dyDescent="0.3">
      <c r="B157" s="142">
        <v>154</v>
      </c>
      <c r="C157" s="75" t="s">
        <v>1948</v>
      </c>
      <c r="D157" s="99" t="s">
        <v>1965</v>
      </c>
      <c r="E157" s="76">
        <v>45657</v>
      </c>
      <c r="F157" s="100">
        <v>15031500</v>
      </c>
      <c r="G157" s="77" t="s">
        <v>951</v>
      </c>
      <c r="H157" s="101" t="s">
        <v>422</v>
      </c>
      <c r="I157" s="65" t="s">
        <v>1950</v>
      </c>
      <c r="J157" s="102"/>
      <c r="K157" s="102"/>
      <c r="L157" s="102"/>
      <c r="M157" s="102"/>
      <c r="N157" s="91"/>
    </row>
    <row r="158" spans="2:14" ht="25.5" x14ac:dyDescent="0.3">
      <c r="B158" s="142">
        <v>155</v>
      </c>
      <c r="C158" s="75" t="s">
        <v>1966</v>
      </c>
      <c r="D158" s="99" t="s">
        <v>1967</v>
      </c>
      <c r="E158" s="76">
        <v>45657</v>
      </c>
      <c r="F158" s="100">
        <v>2293000</v>
      </c>
      <c r="G158" s="77" t="s">
        <v>951</v>
      </c>
      <c r="H158" s="101" t="s">
        <v>422</v>
      </c>
      <c r="I158" s="65" t="s">
        <v>1790</v>
      </c>
      <c r="J158" s="102"/>
      <c r="K158" s="102"/>
      <c r="L158" s="102"/>
      <c r="M158" s="102" t="s">
        <v>25</v>
      </c>
      <c r="N158" s="91"/>
    </row>
    <row r="159" spans="2:14" ht="25.5" x14ac:dyDescent="0.3">
      <c r="B159" s="142">
        <v>156</v>
      </c>
      <c r="C159" s="75" t="s">
        <v>1968</v>
      </c>
      <c r="D159" s="99" t="s">
        <v>1969</v>
      </c>
      <c r="E159" s="76">
        <v>45657</v>
      </c>
      <c r="F159" s="100">
        <v>52179500</v>
      </c>
      <c r="G159" s="77" t="s">
        <v>951</v>
      </c>
      <c r="H159" s="101" t="s">
        <v>422</v>
      </c>
      <c r="I159" s="65" t="s">
        <v>1970</v>
      </c>
      <c r="J159" s="102"/>
      <c r="K159" s="102"/>
      <c r="L159" s="102"/>
      <c r="M159" s="102"/>
      <c r="N159" s="91"/>
    </row>
    <row r="160" spans="2:14" ht="25.5" x14ac:dyDescent="0.3">
      <c r="B160" s="142">
        <v>157</v>
      </c>
      <c r="C160" s="75" t="s">
        <v>1731</v>
      </c>
      <c r="D160" s="99" t="s">
        <v>1971</v>
      </c>
      <c r="E160" s="76">
        <v>45657</v>
      </c>
      <c r="F160" s="100">
        <v>4407300</v>
      </c>
      <c r="G160" s="77" t="s">
        <v>951</v>
      </c>
      <c r="H160" s="101" t="s">
        <v>422</v>
      </c>
      <c r="I160" s="65" t="s">
        <v>1790</v>
      </c>
      <c r="J160" s="102"/>
      <c r="K160" s="102"/>
      <c r="L160" s="102"/>
      <c r="M160" s="102" t="s">
        <v>25</v>
      </c>
      <c r="N160" s="91" t="s">
        <v>1972</v>
      </c>
    </row>
    <row r="161" spans="2:14" ht="25.5" x14ac:dyDescent="0.3">
      <c r="B161" s="142">
        <v>158</v>
      </c>
      <c r="C161" s="75" t="s">
        <v>1973</v>
      </c>
      <c r="D161" s="99" t="s">
        <v>1974</v>
      </c>
      <c r="E161" s="76">
        <v>45657</v>
      </c>
      <c r="F161" s="100">
        <v>22990600</v>
      </c>
      <c r="G161" s="77" t="s">
        <v>951</v>
      </c>
      <c r="H161" s="101" t="s">
        <v>422</v>
      </c>
      <c r="I161" s="65" t="s">
        <v>1790</v>
      </c>
      <c r="J161" s="102"/>
      <c r="K161" s="102"/>
      <c r="L161" s="102"/>
      <c r="M161" s="102"/>
      <c r="N161" s="91"/>
    </row>
    <row r="162" spans="2:14" ht="38.25" x14ac:dyDescent="0.3">
      <c r="B162" s="142">
        <v>159</v>
      </c>
      <c r="C162" s="75" t="s">
        <v>1975</v>
      </c>
      <c r="D162" s="99" t="s">
        <v>1976</v>
      </c>
      <c r="E162" s="76">
        <v>45657</v>
      </c>
      <c r="F162" s="100">
        <v>24477200</v>
      </c>
      <c r="G162" s="77" t="s">
        <v>951</v>
      </c>
      <c r="H162" s="101" t="s">
        <v>422</v>
      </c>
      <c r="I162" s="65" t="s">
        <v>1790</v>
      </c>
      <c r="J162" s="102"/>
      <c r="K162" s="102"/>
      <c r="L162" s="102"/>
      <c r="M162" s="102"/>
      <c r="N162" s="91"/>
    </row>
    <row r="163" spans="2:14" x14ac:dyDescent="0.3">
      <c r="B163" s="142">
        <v>160</v>
      </c>
      <c r="C163" s="75" t="s">
        <v>1977</v>
      </c>
      <c r="D163" s="99" t="s">
        <v>1978</v>
      </c>
      <c r="E163" s="76">
        <v>45657</v>
      </c>
      <c r="F163" s="100">
        <v>2123800</v>
      </c>
      <c r="G163" s="77" t="s">
        <v>951</v>
      </c>
      <c r="H163" s="101" t="s">
        <v>422</v>
      </c>
      <c r="I163" s="65" t="s">
        <v>1790</v>
      </c>
      <c r="J163" s="102"/>
      <c r="K163" s="102"/>
      <c r="L163" s="102"/>
      <c r="M163" s="102" t="s">
        <v>25</v>
      </c>
      <c r="N163" s="91"/>
    </row>
    <row r="164" spans="2:14" ht="25.5" x14ac:dyDescent="0.3">
      <c r="B164" s="142">
        <v>161</v>
      </c>
      <c r="C164" s="75" t="s">
        <v>1979</v>
      </c>
      <c r="D164" s="99" t="s">
        <v>1980</v>
      </c>
      <c r="E164" s="76">
        <v>45657</v>
      </c>
      <c r="F164" s="100">
        <v>1798200</v>
      </c>
      <c r="G164" s="77" t="s">
        <v>951</v>
      </c>
      <c r="H164" s="101" t="s">
        <v>422</v>
      </c>
      <c r="I164" s="65" t="s">
        <v>1981</v>
      </c>
      <c r="J164" s="102"/>
      <c r="K164" s="102"/>
      <c r="L164" s="102"/>
      <c r="M164" s="102" t="s">
        <v>25</v>
      </c>
      <c r="N164" s="91"/>
    </row>
    <row r="165" spans="2:14" ht="25.5" x14ac:dyDescent="0.3">
      <c r="B165" s="142">
        <v>162</v>
      </c>
      <c r="C165" s="75" t="s">
        <v>1982</v>
      </c>
      <c r="D165" s="99" t="s">
        <v>1983</v>
      </c>
      <c r="E165" s="76">
        <v>45657</v>
      </c>
      <c r="F165" s="100">
        <v>1297400</v>
      </c>
      <c r="G165" s="77" t="s">
        <v>951</v>
      </c>
      <c r="H165" s="101" t="s">
        <v>422</v>
      </c>
      <c r="I165" s="65" t="s">
        <v>1984</v>
      </c>
      <c r="J165" s="102"/>
      <c r="K165" s="102"/>
      <c r="L165" s="102"/>
      <c r="M165" s="102"/>
      <c r="N165" s="91" t="s">
        <v>1985</v>
      </c>
    </row>
    <row r="166" spans="2:14" x14ac:dyDescent="0.3">
      <c r="B166" s="142">
        <v>163</v>
      </c>
      <c r="C166" s="75" t="s">
        <v>1986</v>
      </c>
      <c r="D166" s="99" t="s">
        <v>1987</v>
      </c>
      <c r="E166" s="76">
        <v>45657</v>
      </c>
      <c r="F166" s="100">
        <v>86072200</v>
      </c>
      <c r="G166" s="77" t="s">
        <v>951</v>
      </c>
      <c r="H166" s="101" t="s">
        <v>422</v>
      </c>
      <c r="I166" s="65" t="s">
        <v>1984</v>
      </c>
      <c r="J166" s="102"/>
      <c r="K166" s="102"/>
      <c r="L166" s="102"/>
      <c r="M166" s="102"/>
      <c r="N166" s="91"/>
    </row>
    <row r="167" spans="2:14" x14ac:dyDescent="0.3">
      <c r="B167" s="142">
        <v>164</v>
      </c>
      <c r="C167" s="75" t="s">
        <v>1986</v>
      </c>
      <c r="D167" s="99" t="s">
        <v>1988</v>
      </c>
      <c r="E167" s="76">
        <v>45657</v>
      </c>
      <c r="F167" s="100">
        <v>79130900</v>
      </c>
      <c r="G167" s="77" t="s">
        <v>951</v>
      </c>
      <c r="H167" s="101" t="s">
        <v>422</v>
      </c>
      <c r="I167" s="65" t="s">
        <v>1984</v>
      </c>
      <c r="J167" s="102"/>
      <c r="K167" s="102"/>
      <c r="L167" s="102"/>
      <c r="M167" s="102"/>
      <c r="N167" s="91"/>
    </row>
    <row r="168" spans="2:14" ht="76.5" x14ac:dyDescent="0.3">
      <c r="B168" s="142">
        <v>165</v>
      </c>
      <c r="C168" s="75" t="s">
        <v>1989</v>
      </c>
      <c r="D168" s="99" t="s">
        <v>1990</v>
      </c>
      <c r="E168" s="76">
        <v>45657</v>
      </c>
      <c r="F168" s="100">
        <v>5224200</v>
      </c>
      <c r="G168" s="77" t="s">
        <v>951</v>
      </c>
      <c r="H168" s="101" t="s">
        <v>422</v>
      </c>
      <c r="I168" s="65" t="s">
        <v>1984</v>
      </c>
      <c r="J168" s="102"/>
      <c r="K168" s="102"/>
      <c r="L168" s="102"/>
      <c r="M168" s="102" t="s">
        <v>25</v>
      </c>
      <c r="N168" s="91"/>
    </row>
    <row r="169" spans="2:14" ht="38.25" x14ac:dyDescent="0.3">
      <c r="B169" s="142">
        <v>166</v>
      </c>
      <c r="C169" s="75" t="s">
        <v>1991</v>
      </c>
      <c r="D169" s="99" t="s">
        <v>1992</v>
      </c>
      <c r="E169" s="76">
        <v>45657</v>
      </c>
      <c r="F169" s="100">
        <v>31257700</v>
      </c>
      <c r="G169" s="77" t="s">
        <v>951</v>
      </c>
      <c r="H169" s="101" t="s">
        <v>422</v>
      </c>
      <c r="I169" s="65" t="s">
        <v>1984</v>
      </c>
      <c r="J169" s="102"/>
      <c r="K169" s="102"/>
      <c r="L169" s="102"/>
      <c r="M169" s="102"/>
      <c r="N169" s="91"/>
    </row>
    <row r="170" spans="2:14" ht="25.5" x14ac:dyDescent="0.3">
      <c r="B170" s="142">
        <v>167</v>
      </c>
      <c r="C170" s="75" t="s">
        <v>1961</v>
      </c>
      <c r="D170" s="99" t="s">
        <v>1993</v>
      </c>
      <c r="E170" s="76">
        <v>45657</v>
      </c>
      <c r="F170" s="100">
        <v>46818000</v>
      </c>
      <c r="G170" s="77" t="s">
        <v>951</v>
      </c>
      <c r="H170" s="101" t="s">
        <v>422</v>
      </c>
      <c r="I170" s="65" t="s">
        <v>1984</v>
      </c>
      <c r="J170" s="102"/>
      <c r="K170" s="102"/>
      <c r="L170" s="102"/>
      <c r="M170" s="102"/>
      <c r="N170" s="91"/>
    </row>
    <row r="171" spans="2:14" ht="25.5" x14ac:dyDescent="0.3">
      <c r="B171" s="142">
        <v>168</v>
      </c>
      <c r="C171" s="75" t="s">
        <v>1731</v>
      </c>
      <c r="D171" s="99" t="s">
        <v>1994</v>
      </c>
      <c r="E171" s="76">
        <v>45657</v>
      </c>
      <c r="F171" s="100">
        <v>8379400</v>
      </c>
      <c r="G171" s="77" t="s">
        <v>951</v>
      </c>
      <c r="H171" s="101" t="s">
        <v>422</v>
      </c>
      <c r="I171" s="65" t="s">
        <v>1995</v>
      </c>
      <c r="J171" s="102"/>
      <c r="K171" s="102"/>
      <c r="L171" s="102"/>
      <c r="M171" s="102"/>
      <c r="N171" s="91"/>
    </row>
    <row r="172" spans="2:14" ht="25.5" x14ac:dyDescent="0.3">
      <c r="B172" s="142">
        <v>169</v>
      </c>
      <c r="C172" s="75" t="s">
        <v>1996</v>
      </c>
      <c r="D172" s="99" t="s">
        <v>1997</v>
      </c>
      <c r="E172" s="76">
        <v>45657</v>
      </c>
      <c r="F172" s="100">
        <v>10614200</v>
      </c>
      <c r="G172" s="77" t="s">
        <v>951</v>
      </c>
      <c r="H172" s="101" t="s">
        <v>422</v>
      </c>
      <c r="I172" s="65" t="s">
        <v>1984</v>
      </c>
      <c r="J172" s="102"/>
      <c r="K172" s="102"/>
      <c r="L172" s="102"/>
      <c r="M172" s="102"/>
      <c r="N172" s="91"/>
    </row>
    <row r="173" spans="2:14" ht="25.5" x14ac:dyDescent="0.3">
      <c r="B173" s="142">
        <v>170</v>
      </c>
      <c r="C173" s="75" t="s">
        <v>1998</v>
      </c>
      <c r="D173" s="99" t="s">
        <v>1999</v>
      </c>
      <c r="E173" s="76">
        <v>45657</v>
      </c>
      <c r="F173" s="100">
        <v>12925200</v>
      </c>
      <c r="G173" s="77" t="s">
        <v>951</v>
      </c>
      <c r="H173" s="101" t="s">
        <v>422</v>
      </c>
      <c r="I173" s="65" t="s">
        <v>1984</v>
      </c>
      <c r="J173" s="102"/>
      <c r="K173" s="102"/>
      <c r="L173" s="102"/>
      <c r="M173" s="102"/>
      <c r="N173" s="91"/>
    </row>
    <row r="174" spans="2:14" ht="25.5" x14ac:dyDescent="0.3">
      <c r="B174" s="142">
        <v>171</v>
      </c>
      <c r="C174" s="75" t="s">
        <v>2000</v>
      </c>
      <c r="D174" s="99" t="s">
        <v>2001</v>
      </c>
      <c r="E174" s="76">
        <v>45657</v>
      </c>
      <c r="F174" s="100">
        <v>5503300</v>
      </c>
      <c r="G174" s="77" t="s">
        <v>951</v>
      </c>
      <c r="H174" s="101" t="s">
        <v>422</v>
      </c>
      <c r="I174" s="65" t="s">
        <v>2002</v>
      </c>
      <c r="J174" s="102"/>
      <c r="K174" s="102"/>
      <c r="L174" s="102"/>
      <c r="M174" s="102" t="s">
        <v>25</v>
      </c>
      <c r="N174" s="91"/>
    </row>
    <row r="175" spans="2:14" ht="54" x14ac:dyDescent="0.3">
      <c r="B175" s="142">
        <v>172</v>
      </c>
      <c r="C175" s="75" t="s">
        <v>2003</v>
      </c>
      <c r="D175" s="99" t="s">
        <v>2004</v>
      </c>
      <c r="E175" s="76">
        <v>45657</v>
      </c>
      <c r="F175" s="100">
        <v>1162500</v>
      </c>
      <c r="G175" s="77" t="s">
        <v>951</v>
      </c>
      <c r="H175" s="101" t="s">
        <v>422</v>
      </c>
      <c r="I175" s="65" t="s">
        <v>2005</v>
      </c>
      <c r="J175" s="102"/>
      <c r="K175" s="102"/>
      <c r="L175" s="102"/>
      <c r="M175" s="102"/>
      <c r="N175" s="91" t="s">
        <v>1985</v>
      </c>
    </row>
    <row r="176" spans="2:14" ht="108" x14ac:dyDescent="0.3">
      <c r="B176" s="142">
        <v>173</v>
      </c>
      <c r="C176" s="75" t="s">
        <v>2006</v>
      </c>
      <c r="D176" s="99" t="s">
        <v>2007</v>
      </c>
      <c r="E176" s="76">
        <v>45657</v>
      </c>
      <c r="F176" s="100">
        <v>5272400</v>
      </c>
      <c r="G176" s="77" t="s">
        <v>951</v>
      </c>
      <c r="H176" s="101" t="s">
        <v>422</v>
      </c>
      <c r="I176" s="65" t="s">
        <v>2008</v>
      </c>
      <c r="J176" s="102"/>
      <c r="K176" s="102"/>
      <c r="L176" s="102"/>
      <c r="M176" s="102" t="s">
        <v>25</v>
      </c>
      <c r="N176" s="91"/>
    </row>
    <row r="177" spans="2:14" ht="94.5" x14ac:dyDescent="0.3">
      <c r="B177" s="142">
        <v>174</v>
      </c>
      <c r="C177" s="75" t="s">
        <v>2009</v>
      </c>
      <c r="D177" s="99" t="s">
        <v>2010</v>
      </c>
      <c r="E177" s="76">
        <v>45657</v>
      </c>
      <c r="F177" s="100">
        <v>11330700</v>
      </c>
      <c r="G177" s="77" t="s">
        <v>951</v>
      </c>
      <c r="H177" s="101" t="s">
        <v>422</v>
      </c>
      <c r="I177" s="65" t="s">
        <v>2011</v>
      </c>
      <c r="J177" s="102"/>
      <c r="K177" s="102"/>
      <c r="L177" s="102"/>
      <c r="M177" s="102"/>
      <c r="N177" s="91"/>
    </row>
    <row r="178" spans="2:14" ht="54" x14ac:dyDescent="0.3">
      <c r="B178" s="142">
        <v>175</v>
      </c>
      <c r="C178" s="75" t="s">
        <v>2012</v>
      </c>
      <c r="D178" s="99" t="s">
        <v>2013</v>
      </c>
      <c r="E178" s="76">
        <v>45657</v>
      </c>
      <c r="F178" s="100">
        <v>42116900</v>
      </c>
      <c r="G178" s="77" t="s">
        <v>951</v>
      </c>
      <c r="H178" s="101" t="s">
        <v>422</v>
      </c>
      <c r="I178" s="65" t="s">
        <v>2014</v>
      </c>
      <c r="J178" s="102"/>
      <c r="K178" s="102"/>
      <c r="L178" s="102"/>
      <c r="M178" s="102" t="s">
        <v>25</v>
      </c>
      <c r="N178" s="91"/>
    </row>
    <row r="179" spans="2:14" ht="38.25" x14ac:dyDescent="0.3">
      <c r="B179" s="142">
        <v>176</v>
      </c>
      <c r="C179" s="75" t="s">
        <v>2015</v>
      </c>
      <c r="D179" s="99" t="s">
        <v>2016</v>
      </c>
      <c r="E179" s="76">
        <v>45657</v>
      </c>
      <c r="F179" s="100">
        <v>3115500</v>
      </c>
      <c r="G179" s="77" t="s">
        <v>951</v>
      </c>
      <c r="H179" s="101" t="s">
        <v>422</v>
      </c>
      <c r="I179" s="65" t="s">
        <v>247</v>
      </c>
      <c r="J179" s="102"/>
      <c r="K179" s="102"/>
      <c r="L179" s="102"/>
      <c r="M179" s="102" t="s">
        <v>25</v>
      </c>
      <c r="N179" s="91"/>
    </row>
    <row r="180" spans="2:14" ht="40.5" x14ac:dyDescent="0.3">
      <c r="B180" s="142">
        <v>177</v>
      </c>
      <c r="C180" s="75" t="s">
        <v>2017</v>
      </c>
      <c r="D180" s="99" t="s">
        <v>2018</v>
      </c>
      <c r="E180" s="76">
        <v>45657</v>
      </c>
      <c r="F180" s="100">
        <v>14229000</v>
      </c>
      <c r="G180" s="77" t="s">
        <v>951</v>
      </c>
      <c r="H180" s="101" t="s">
        <v>422</v>
      </c>
      <c r="I180" s="65" t="s">
        <v>2019</v>
      </c>
      <c r="J180" s="102"/>
      <c r="K180" s="102"/>
      <c r="L180" s="102"/>
      <c r="M180" s="102"/>
      <c r="N180" s="91"/>
    </row>
    <row r="181" spans="2:14" ht="40.5" x14ac:dyDescent="0.3">
      <c r="B181" s="142">
        <v>178</v>
      </c>
      <c r="C181" s="75" t="s">
        <v>2020</v>
      </c>
      <c r="D181" s="99" t="s">
        <v>2021</v>
      </c>
      <c r="E181" s="76">
        <v>45657</v>
      </c>
      <c r="F181" s="100">
        <v>2168800</v>
      </c>
      <c r="G181" s="77" t="s">
        <v>951</v>
      </c>
      <c r="H181" s="101" t="s">
        <v>422</v>
      </c>
      <c r="I181" s="65" t="s">
        <v>2022</v>
      </c>
      <c r="J181" s="102"/>
      <c r="K181" s="102"/>
      <c r="L181" s="102"/>
      <c r="M181" s="102"/>
      <c r="N181" s="91"/>
    </row>
    <row r="182" spans="2:14" ht="51" x14ac:dyDescent="0.3">
      <c r="B182" s="142">
        <v>179</v>
      </c>
      <c r="C182" s="75" t="s">
        <v>2023</v>
      </c>
      <c r="D182" s="99" t="s">
        <v>2024</v>
      </c>
      <c r="E182" s="76">
        <v>45657</v>
      </c>
      <c r="F182" s="100">
        <v>1503500</v>
      </c>
      <c r="G182" s="77" t="s">
        <v>951</v>
      </c>
      <c r="H182" s="101" t="s">
        <v>422</v>
      </c>
      <c r="I182" s="65" t="s">
        <v>247</v>
      </c>
      <c r="J182" s="102"/>
      <c r="K182" s="102"/>
      <c r="L182" s="102"/>
      <c r="M182" s="102"/>
      <c r="N182" s="91" t="s">
        <v>2025</v>
      </c>
    </row>
    <row r="183" spans="2:14" ht="67.5" x14ac:dyDescent="0.3">
      <c r="B183" s="142">
        <v>180</v>
      </c>
      <c r="C183" s="75" t="s">
        <v>2026</v>
      </c>
      <c r="D183" s="99" t="s">
        <v>2027</v>
      </c>
      <c r="E183" s="76">
        <v>45657</v>
      </c>
      <c r="F183" s="100">
        <v>59520000</v>
      </c>
      <c r="G183" s="77" t="s">
        <v>951</v>
      </c>
      <c r="H183" s="101" t="s">
        <v>422</v>
      </c>
      <c r="I183" s="65" t="s">
        <v>2028</v>
      </c>
      <c r="J183" s="102"/>
      <c r="K183" s="102"/>
      <c r="L183" s="102"/>
      <c r="M183" s="102" t="s">
        <v>25</v>
      </c>
      <c r="N183" s="91"/>
    </row>
    <row r="184" spans="2:14" ht="54" x14ac:dyDescent="0.3">
      <c r="B184" s="142">
        <v>181</v>
      </c>
      <c r="C184" s="75" t="s">
        <v>352</v>
      </c>
      <c r="D184" s="99" t="s">
        <v>2029</v>
      </c>
      <c r="E184" s="76">
        <v>45657</v>
      </c>
      <c r="F184" s="100">
        <v>88791800</v>
      </c>
      <c r="G184" s="77" t="s">
        <v>951</v>
      </c>
      <c r="H184" s="101" t="s">
        <v>422</v>
      </c>
      <c r="I184" s="65" t="s">
        <v>2030</v>
      </c>
      <c r="J184" s="102"/>
      <c r="K184" s="102"/>
      <c r="L184" s="102"/>
      <c r="M184" s="102"/>
      <c r="N184" s="91"/>
    </row>
    <row r="185" spans="2:14" ht="54" x14ac:dyDescent="0.3">
      <c r="B185" s="142">
        <v>182</v>
      </c>
      <c r="C185" s="75" t="s">
        <v>352</v>
      </c>
      <c r="D185" s="99" t="s">
        <v>2031</v>
      </c>
      <c r="E185" s="76">
        <v>45657</v>
      </c>
      <c r="F185" s="100">
        <v>88791800</v>
      </c>
      <c r="G185" s="77" t="s">
        <v>951</v>
      </c>
      <c r="H185" s="101" t="s">
        <v>422</v>
      </c>
      <c r="I185" s="65" t="s">
        <v>2032</v>
      </c>
      <c r="J185" s="102"/>
      <c r="K185" s="102"/>
      <c r="L185" s="102"/>
      <c r="M185" s="102"/>
      <c r="N185" s="91"/>
    </row>
    <row r="186" spans="2:14" ht="67.5" x14ac:dyDescent="0.3">
      <c r="B186" s="142">
        <v>183</v>
      </c>
      <c r="C186" s="75" t="s">
        <v>352</v>
      </c>
      <c r="D186" s="99" t="s">
        <v>2033</v>
      </c>
      <c r="E186" s="76">
        <v>45657</v>
      </c>
      <c r="F186" s="100">
        <v>82165500</v>
      </c>
      <c r="G186" s="77" t="s">
        <v>951</v>
      </c>
      <c r="H186" s="101" t="s">
        <v>422</v>
      </c>
      <c r="I186" s="65" t="s">
        <v>2034</v>
      </c>
      <c r="J186" s="102"/>
      <c r="K186" s="102"/>
      <c r="L186" s="102"/>
      <c r="M186" s="102"/>
      <c r="N186" s="91"/>
    </row>
    <row r="187" spans="2:14" ht="25.5" x14ac:dyDescent="0.3">
      <c r="B187" s="142">
        <v>184</v>
      </c>
      <c r="C187" s="75" t="s">
        <v>2035</v>
      </c>
      <c r="D187" s="99" t="s">
        <v>2036</v>
      </c>
      <c r="E187" s="76">
        <v>45657</v>
      </c>
      <c r="F187" s="100">
        <v>7221500</v>
      </c>
      <c r="G187" s="77" t="s">
        <v>951</v>
      </c>
      <c r="H187" s="101" t="s">
        <v>422</v>
      </c>
      <c r="I187" s="65" t="s">
        <v>2037</v>
      </c>
      <c r="J187" s="102"/>
      <c r="K187" s="102"/>
      <c r="L187" s="102"/>
      <c r="M187" s="102" t="s">
        <v>25</v>
      </c>
      <c r="N187" s="91"/>
    </row>
    <row r="188" spans="2:14" ht="54" x14ac:dyDescent="0.3">
      <c r="B188" s="142">
        <v>185</v>
      </c>
      <c r="C188" s="75" t="s">
        <v>2038</v>
      </c>
      <c r="D188" s="99" t="s">
        <v>2039</v>
      </c>
      <c r="E188" s="76">
        <v>45657</v>
      </c>
      <c r="F188" s="100">
        <v>17457400</v>
      </c>
      <c r="G188" s="77" t="s">
        <v>951</v>
      </c>
      <c r="H188" s="101" t="s">
        <v>422</v>
      </c>
      <c r="I188" s="65" t="s">
        <v>2040</v>
      </c>
      <c r="J188" s="102"/>
      <c r="K188" s="102"/>
      <c r="L188" s="102"/>
      <c r="M188" s="102"/>
      <c r="N188" s="91" t="s">
        <v>2041</v>
      </c>
    </row>
    <row r="189" spans="2:14" ht="54" x14ac:dyDescent="0.3">
      <c r="B189" s="142">
        <v>186</v>
      </c>
      <c r="C189" s="75" t="s">
        <v>2042</v>
      </c>
      <c r="D189" s="99" t="s">
        <v>2043</v>
      </c>
      <c r="E189" s="76">
        <v>45657</v>
      </c>
      <c r="F189" s="100">
        <v>3999000</v>
      </c>
      <c r="G189" s="77" t="s">
        <v>951</v>
      </c>
      <c r="H189" s="101" t="s">
        <v>422</v>
      </c>
      <c r="I189" s="65" t="s">
        <v>2044</v>
      </c>
      <c r="J189" s="102"/>
      <c r="K189" s="102"/>
      <c r="L189" s="102"/>
      <c r="M189" s="102"/>
      <c r="N189" s="91" t="s">
        <v>2041</v>
      </c>
    </row>
    <row r="190" spans="2:14" ht="25.5" x14ac:dyDescent="0.3">
      <c r="B190" s="142">
        <v>187</v>
      </c>
      <c r="C190" s="75" t="s">
        <v>2045</v>
      </c>
      <c r="D190" s="99" t="s">
        <v>2046</v>
      </c>
      <c r="E190" s="76">
        <v>45657</v>
      </c>
      <c r="F190" s="100">
        <v>1860000</v>
      </c>
      <c r="G190" s="77" t="s">
        <v>951</v>
      </c>
      <c r="H190" s="101" t="s">
        <v>422</v>
      </c>
      <c r="I190" s="65" t="s">
        <v>2037</v>
      </c>
      <c r="J190" s="102"/>
      <c r="K190" s="102"/>
      <c r="L190" s="102"/>
      <c r="M190" s="102"/>
      <c r="N190" s="91"/>
    </row>
    <row r="191" spans="2:14" ht="67.5" x14ac:dyDescent="0.3">
      <c r="B191" s="142">
        <v>188</v>
      </c>
      <c r="C191" s="75" t="s">
        <v>2047</v>
      </c>
      <c r="D191" s="99" t="s">
        <v>2048</v>
      </c>
      <c r="E191" s="76">
        <v>45657</v>
      </c>
      <c r="F191" s="100">
        <v>27204300</v>
      </c>
      <c r="G191" s="77" t="s">
        <v>951</v>
      </c>
      <c r="H191" s="101" t="s">
        <v>422</v>
      </c>
      <c r="I191" s="65" t="s">
        <v>2049</v>
      </c>
      <c r="J191" s="102"/>
      <c r="K191" s="102"/>
      <c r="L191" s="102"/>
      <c r="M191" s="102" t="s">
        <v>25</v>
      </c>
      <c r="N191" s="91"/>
    </row>
    <row r="192" spans="2:14" ht="38.25" x14ac:dyDescent="0.3">
      <c r="B192" s="142">
        <v>189</v>
      </c>
      <c r="C192" s="75" t="s">
        <v>2050</v>
      </c>
      <c r="D192" s="99" t="s">
        <v>2051</v>
      </c>
      <c r="E192" s="76">
        <v>45657</v>
      </c>
      <c r="F192" s="100">
        <v>4783500</v>
      </c>
      <c r="G192" s="77" t="s">
        <v>951</v>
      </c>
      <c r="H192" s="101" t="s">
        <v>422</v>
      </c>
      <c r="I192" s="65" t="s">
        <v>2037</v>
      </c>
      <c r="J192" s="102"/>
      <c r="K192" s="102"/>
      <c r="L192" s="102"/>
      <c r="M192" s="102" t="s">
        <v>25</v>
      </c>
      <c r="N192" s="91"/>
    </row>
    <row r="193" spans="2:14" ht="63.75" x14ac:dyDescent="0.3">
      <c r="B193" s="142">
        <v>190</v>
      </c>
      <c r="C193" s="75" t="s">
        <v>2052</v>
      </c>
      <c r="D193" s="99" t="s">
        <v>2053</v>
      </c>
      <c r="E193" s="76">
        <v>45657</v>
      </c>
      <c r="F193" s="100">
        <v>115148900</v>
      </c>
      <c r="G193" s="77" t="s">
        <v>951</v>
      </c>
      <c r="H193" s="101" t="s">
        <v>422</v>
      </c>
      <c r="I193" s="65" t="s">
        <v>2054</v>
      </c>
      <c r="J193" s="102"/>
      <c r="K193" s="102"/>
      <c r="L193" s="102"/>
      <c r="M193" s="102"/>
      <c r="N193" s="91"/>
    </row>
    <row r="194" spans="2:14" x14ac:dyDescent="0.3">
      <c r="B194" s="142">
        <v>191</v>
      </c>
      <c r="C194" s="75" t="s">
        <v>2055</v>
      </c>
      <c r="D194" s="99" t="s">
        <v>2056</v>
      </c>
      <c r="E194" s="76">
        <v>45657</v>
      </c>
      <c r="F194" s="100">
        <v>636700</v>
      </c>
      <c r="G194" s="77" t="s">
        <v>951</v>
      </c>
      <c r="H194" s="101" t="s">
        <v>422</v>
      </c>
      <c r="I194" s="65" t="s">
        <v>1790</v>
      </c>
      <c r="J194" s="102"/>
      <c r="K194" s="102"/>
      <c r="L194" s="102"/>
      <c r="M194" s="102"/>
      <c r="N194" s="91"/>
    </row>
    <row r="195" spans="2:14" ht="25.5" x14ac:dyDescent="0.3">
      <c r="B195" s="142">
        <v>192</v>
      </c>
      <c r="C195" s="75" t="s">
        <v>2057</v>
      </c>
      <c r="D195" s="143" t="s">
        <v>2058</v>
      </c>
      <c r="E195" s="76">
        <v>45657</v>
      </c>
      <c r="F195" s="144">
        <v>2170700</v>
      </c>
      <c r="G195" s="77" t="s">
        <v>2059</v>
      </c>
      <c r="H195" s="145" t="s">
        <v>422</v>
      </c>
      <c r="I195" s="65" t="s">
        <v>1814</v>
      </c>
      <c r="J195" s="102"/>
      <c r="K195" s="102"/>
      <c r="L195" s="102"/>
      <c r="M195" s="102" t="s">
        <v>25</v>
      </c>
      <c r="N195" s="91"/>
    </row>
    <row r="196" spans="2:14" ht="27" x14ac:dyDescent="0.3">
      <c r="B196" s="142">
        <v>193</v>
      </c>
      <c r="C196" s="75" t="s">
        <v>2060</v>
      </c>
      <c r="D196" s="143" t="s">
        <v>2061</v>
      </c>
      <c r="E196" s="76">
        <v>45657</v>
      </c>
      <c r="F196" s="144">
        <v>1124100</v>
      </c>
      <c r="G196" s="77" t="s">
        <v>2059</v>
      </c>
      <c r="H196" s="145" t="s">
        <v>422</v>
      </c>
      <c r="I196" s="65" t="s">
        <v>1797</v>
      </c>
      <c r="J196" s="102"/>
      <c r="K196" s="102"/>
      <c r="L196" s="102"/>
      <c r="M196" s="102"/>
      <c r="N196" s="91"/>
    </row>
    <row r="197" spans="2:14" ht="40.5" x14ac:dyDescent="0.3">
      <c r="B197" s="142">
        <v>194</v>
      </c>
      <c r="C197" s="75" t="s">
        <v>2062</v>
      </c>
      <c r="D197" s="143" t="s">
        <v>2063</v>
      </c>
      <c r="E197" s="76">
        <v>45657</v>
      </c>
      <c r="F197" s="144">
        <v>736500</v>
      </c>
      <c r="G197" s="77" t="s">
        <v>2064</v>
      </c>
      <c r="H197" s="145" t="s">
        <v>422</v>
      </c>
      <c r="I197" s="65" t="s">
        <v>2065</v>
      </c>
      <c r="J197" s="102"/>
      <c r="K197" s="102"/>
      <c r="L197" s="102"/>
      <c r="M197" s="102" t="s">
        <v>25</v>
      </c>
      <c r="N197" s="91" t="s">
        <v>885</v>
      </c>
    </row>
    <row r="198" spans="2:14" ht="25.5" x14ac:dyDescent="0.3">
      <c r="B198" s="142">
        <v>195</v>
      </c>
      <c r="C198" s="75" t="s">
        <v>1671</v>
      </c>
      <c r="D198" s="143" t="s">
        <v>2066</v>
      </c>
      <c r="E198" s="76">
        <v>45657</v>
      </c>
      <c r="F198" s="144">
        <v>1214800</v>
      </c>
      <c r="G198" s="77" t="s">
        <v>2064</v>
      </c>
      <c r="H198" s="145" t="s">
        <v>422</v>
      </c>
      <c r="I198" s="65" t="s">
        <v>2067</v>
      </c>
      <c r="J198" s="102"/>
      <c r="K198" s="102"/>
      <c r="L198" s="102"/>
      <c r="M198" s="102" t="s">
        <v>25</v>
      </c>
      <c r="N198" s="91"/>
    </row>
    <row r="199" spans="2:14" ht="38.25" x14ac:dyDescent="0.3">
      <c r="B199" s="142">
        <v>196</v>
      </c>
      <c r="C199" s="75" t="s">
        <v>2068</v>
      </c>
      <c r="D199" s="143" t="s">
        <v>2069</v>
      </c>
      <c r="E199" s="76">
        <v>45657</v>
      </c>
      <c r="F199" s="144">
        <v>3054400</v>
      </c>
      <c r="G199" s="77" t="s">
        <v>2064</v>
      </c>
      <c r="H199" s="145" t="s">
        <v>422</v>
      </c>
      <c r="I199" s="65" t="s">
        <v>2070</v>
      </c>
      <c r="J199" s="102"/>
      <c r="K199" s="102"/>
      <c r="L199" s="102"/>
      <c r="M199" s="102" t="s">
        <v>25</v>
      </c>
      <c r="N199" s="91"/>
    </row>
    <row r="200" spans="2:14" ht="25.5" x14ac:dyDescent="0.3">
      <c r="B200" s="142">
        <v>197</v>
      </c>
      <c r="C200" s="75" t="s">
        <v>2071</v>
      </c>
      <c r="D200" s="143" t="s">
        <v>2072</v>
      </c>
      <c r="E200" s="76">
        <v>45657</v>
      </c>
      <c r="F200" s="144">
        <v>764400</v>
      </c>
      <c r="G200" s="77" t="s">
        <v>2064</v>
      </c>
      <c r="H200" s="145" t="s">
        <v>422</v>
      </c>
      <c r="I200" s="65" t="s">
        <v>2073</v>
      </c>
      <c r="J200" s="102"/>
      <c r="K200" s="102"/>
      <c r="L200" s="102"/>
      <c r="M200" s="102"/>
      <c r="N200" s="91"/>
    </row>
    <row r="201" spans="2:14" ht="25.5" x14ac:dyDescent="0.3">
      <c r="B201" s="142">
        <v>198</v>
      </c>
      <c r="C201" s="75" t="s">
        <v>2074</v>
      </c>
      <c r="D201" s="143" t="s">
        <v>2075</v>
      </c>
      <c r="E201" s="76">
        <v>45657</v>
      </c>
      <c r="F201" s="144">
        <v>2563700</v>
      </c>
      <c r="G201" s="77" t="s">
        <v>2064</v>
      </c>
      <c r="H201" s="145" t="s">
        <v>422</v>
      </c>
      <c r="I201" s="65" t="s">
        <v>2076</v>
      </c>
      <c r="J201" s="102"/>
      <c r="K201" s="102"/>
      <c r="L201" s="102"/>
      <c r="M201" s="102"/>
      <c r="N201" s="91"/>
    </row>
    <row r="202" spans="2:14" ht="25.5" x14ac:dyDescent="0.3">
      <c r="B202" s="142">
        <v>199</v>
      </c>
      <c r="C202" s="75" t="s">
        <v>2077</v>
      </c>
      <c r="D202" s="143" t="s">
        <v>2078</v>
      </c>
      <c r="E202" s="76">
        <v>45657</v>
      </c>
      <c r="F202" s="144">
        <v>11692600</v>
      </c>
      <c r="G202" s="77" t="s">
        <v>2064</v>
      </c>
      <c r="H202" s="145" t="s">
        <v>422</v>
      </c>
      <c r="I202" s="65" t="s">
        <v>2079</v>
      </c>
      <c r="J202" s="102"/>
      <c r="K202" s="102"/>
      <c r="L202" s="102"/>
      <c r="M202" s="102"/>
      <c r="N202" s="91" t="s">
        <v>2080</v>
      </c>
    </row>
    <row r="203" spans="2:14" ht="25.5" x14ac:dyDescent="0.3">
      <c r="B203" s="142">
        <v>200</v>
      </c>
      <c r="C203" s="75" t="s">
        <v>2081</v>
      </c>
      <c r="D203" s="143" t="s">
        <v>2082</v>
      </c>
      <c r="E203" s="76">
        <v>45657</v>
      </c>
      <c r="F203" s="144">
        <v>764800</v>
      </c>
      <c r="G203" s="77" t="s">
        <v>2064</v>
      </c>
      <c r="H203" s="145" t="s">
        <v>422</v>
      </c>
      <c r="I203" s="65" t="s">
        <v>2083</v>
      </c>
      <c r="J203" s="102"/>
      <c r="K203" s="102"/>
      <c r="L203" s="102"/>
      <c r="M203" s="102" t="s">
        <v>25</v>
      </c>
      <c r="N203" s="91" t="s">
        <v>2084</v>
      </c>
    </row>
    <row r="204" spans="2:14" ht="25.5" x14ac:dyDescent="0.3">
      <c r="B204" s="142">
        <v>201</v>
      </c>
      <c r="C204" s="75" t="s">
        <v>2085</v>
      </c>
      <c r="D204" s="143" t="s">
        <v>2086</v>
      </c>
      <c r="E204" s="76">
        <v>45657</v>
      </c>
      <c r="F204" s="144">
        <v>5257600</v>
      </c>
      <c r="G204" s="77" t="s">
        <v>2064</v>
      </c>
      <c r="H204" s="145" t="s">
        <v>422</v>
      </c>
      <c r="I204" s="65" t="s">
        <v>2083</v>
      </c>
      <c r="J204" s="102"/>
      <c r="K204" s="102"/>
      <c r="L204" s="102"/>
      <c r="M204" s="102"/>
      <c r="N204" s="91"/>
    </row>
    <row r="205" spans="2:14" ht="25.5" x14ac:dyDescent="0.3">
      <c r="B205" s="142">
        <v>202</v>
      </c>
      <c r="C205" s="75" t="s">
        <v>2087</v>
      </c>
      <c r="D205" s="143" t="s">
        <v>2088</v>
      </c>
      <c r="E205" s="76">
        <v>45657</v>
      </c>
      <c r="F205" s="144">
        <v>764800</v>
      </c>
      <c r="G205" s="77" t="s">
        <v>2064</v>
      </c>
      <c r="H205" s="145" t="s">
        <v>422</v>
      </c>
      <c r="I205" s="65" t="s">
        <v>2083</v>
      </c>
      <c r="J205" s="102"/>
      <c r="K205" s="102"/>
      <c r="L205" s="102"/>
      <c r="M205" s="102"/>
      <c r="N205" s="91"/>
    </row>
    <row r="206" spans="2:14" ht="54" x14ac:dyDescent="0.3">
      <c r="B206" s="142">
        <v>203</v>
      </c>
      <c r="C206" s="75" t="s">
        <v>1481</v>
      </c>
      <c r="D206" s="99" t="s">
        <v>2089</v>
      </c>
      <c r="E206" s="76">
        <v>45657</v>
      </c>
      <c r="F206" s="100">
        <v>11405500</v>
      </c>
      <c r="G206" s="77" t="s">
        <v>2064</v>
      </c>
      <c r="H206" s="101" t="s">
        <v>422</v>
      </c>
      <c r="I206" s="65" t="s">
        <v>2090</v>
      </c>
      <c r="J206" s="102"/>
      <c r="K206" s="102"/>
      <c r="L206" s="102"/>
      <c r="M206" s="102" t="s">
        <v>25</v>
      </c>
      <c r="N206" s="91"/>
    </row>
    <row r="207" spans="2:14" ht="38.25" x14ac:dyDescent="0.3">
      <c r="B207" s="142">
        <v>204</v>
      </c>
      <c r="C207" s="75" t="s">
        <v>2091</v>
      </c>
      <c r="D207" s="143" t="s">
        <v>2092</v>
      </c>
      <c r="E207" s="76">
        <v>45657</v>
      </c>
      <c r="F207" s="144">
        <v>1643500</v>
      </c>
      <c r="G207" s="77" t="s">
        <v>1235</v>
      </c>
      <c r="H207" s="145" t="s">
        <v>422</v>
      </c>
      <c r="I207" s="65" t="s">
        <v>2093</v>
      </c>
      <c r="J207" s="102"/>
      <c r="K207" s="102"/>
      <c r="L207" s="102"/>
      <c r="M207" s="102" t="s">
        <v>25</v>
      </c>
      <c r="N207" s="91"/>
    </row>
    <row r="208" spans="2:14" ht="38.25" x14ac:dyDescent="0.3">
      <c r="B208" s="142">
        <v>205</v>
      </c>
      <c r="C208" s="75" t="s">
        <v>2094</v>
      </c>
      <c r="D208" s="143" t="s">
        <v>2095</v>
      </c>
      <c r="E208" s="76">
        <v>45657</v>
      </c>
      <c r="F208" s="144">
        <v>2034200</v>
      </c>
      <c r="G208" s="77" t="s">
        <v>1235</v>
      </c>
      <c r="H208" s="145" t="s">
        <v>422</v>
      </c>
      <c r="I208" s="65" t="s">
        <v>2096</v>
      </c>
      <c r="J208" s="102"/>
      <c r="K208" s="102"/>
      <c r="L208" s="102"/>
      <c r="M208" s="102"/>
      <c r="N208" s="91"/>
    </row>
    <row r="209" spans="2:14" ht="51" x14ac:dyDescent="0.3">
      <c r="B209" s="142">
        <v>206</v>
      </c>
      <c r="C209" s="75" t="s">
        <v>2097</v>
      </c>
      <c r="D209" s="143" t="s">
        <v>2098</v>
      </c>
      <c r="E209" s="76">
        <v>45657</v>
      </c>
      <c r="F209" s="144">
        <v>798500</v>
      </c>
      <c r="G209" s="77" t="s">
        <v>1235</v>
      </c>
      <c r="H209" s="145" t="s">
        <v>422</v>
      </c>
      <c r="I209" s="65" t="s">
        <v>2099</v>
      </c>
      <c r="J209" s="102"/>
      <c r="K209" s="102"/>
      <c r="L209" s="102"/>
      <c r="M209" s="102"/>
      <c r="N209" s="91"/>
    </row>
    <row r="210" spans="2:14" x14ac:dyDescent="0.3">
      <c r="B210" s="142">
        <v>207</v>
      </c>
      <c r="C210" s="75" t="s">
        <v>2100</v>
      </c>
      <c r="D210" s="143" t="s">
        <v>2101</v>
      </c>
      <c r="E210" s="76">
        <v>45657</v>
      </c>
      <c r="F210" s="144">
        <v>3709100</v>
      </c>
      <c r="G210" s="77" t="s">
        <v>1235</v>
      </c>
      <c r="H210" s="145" t="s">
        <v>422</v>
      </c>
      <c r="I210" s="65" t="s">
        <v>2099</v>
      </c>
      <c r="J210" s="102"/>
      <c r="K210" s="102"/>
      <c r="L210" s="102"/>
      <c r="M210" s="102" t="s">
        <v>25</v>
      </c>
      <c r="N210" s="91"/>
    </row>
    <row r="211" spans="2:14" ht="27" x14ac:dyDescent="0.3">
      <c r="B211" s="142">
        <v>208</v>
      </c>
      <c r="C211" s="75" t="s">
        <v>2102</v>
      </c>
      <c r="D211" s="143" t="s">
        <v>2103</v>
      </c>
      <c r="E211" s="76">
        <v>45657</v>
      </c>
      <c r="F211" s="144">
        <v>14721400</v>
      </c>
      <c r="G211" s="77" t="s">
        <v>1235</v>
      </c>
      <c r="H211" s="145" t="s">
        <v>422</v>
      </c>
      <c r="I211" s="65" t="s">
        <v>2104</v>
      </c>
      <c r="J211" s="102"/>
      <c r="K211" s="102"/>
      <c r="L211" s="102"/>
      <c r="M211" s="102"/>
      <c r="N211" s="91"/>
    </row>
    <row r="212" spans="2:14" ht="51" x14ac:dyDescent="0.3">
      <c r="B212" s="142">
        <v>209</v>
      </c>
      <c r="C212" s="75" t="s">
        <v>2105</v>
      </c>
      <c r="D212" s="143" t="s">
        <v>2106</v>
      </c>
      <c r="E212" s="76">
        <v>45657</v>
      </c>
      <c r="F212" s="144">
        <v>1158400</v>
      </c>
      <c r="G212" s="77" t="s">
        <v>1235</v>
      </c>
      <c r="H212" s="145" t="s">
        <v>422</v>
      </c>
      <c r="I212" s="65" t="s">
        <v>2107</v>
      </c>
      <c r="J212" s="102"/>
      <c r="K212" s="102"/>
      <c r="L212" s="102"/>
      <c r="M212" s="102" t="s">
        <v>25</v>
      </c>
      <c r="N212" s="91"/>
    </row>
    <row r="213" spans="2:14" x14ac:dyDescent="0.3">
      <c r="B213" s="142">
        <v>210</v>
      </c>
      <c r="C213" s="75" t="s">
        <v>1567</v>
      </c>
      <c r="D213" s="143" t="s">
        <v>2108</v>
      </c>
      <c r="E213" s="76">
        <v>45657</v>
      </c>
      <c r="F213" s="144">
        <v>9330300</v>
      </c>
      <c r="G213" s="77" t="s">
        <v>1235</v>
      </c>
      <c r="H213" s="145" t="s">
        <v>422</v>
      </c>
      <c r="I213" s="65" t="s">
        <v>2109</v>
      </c>
      <c r="J213" s="102"/>
      <c r="K213" s="102"/>
      <c r="L213" s="102"/>
      <c r="M213" s="102" t="s">
        <v>25</v>
      </c>
      <c r="N213" s="91"/>
    </row>
    <row r="214" spans="2:14" x14ac:dyDescent="0.3">
      <c r="B214" s="142">
        <v>211</v>
      </c>
      <c r="C214" s="75" t="s">
        <v>2110</v>
      </c>
      <c r="D214" s="143" t="s">
        <v>2111</v>
      </c>
      <c r="E214" s="76">
        <v>45657</v>
      </c>
      <c r="F214" s="144">
        <v>764800</v>
      </c>
      <c r="G214" s="77" t="s">
        <v>1235</v>
      </c>
      <c r="H214" s="145" t="s">
        <v>422</v>
      </c>
      <c r="I214" s="65" t="s">
        <v>2099</v>
      </c>
      <c r="J214" s="102"/>
      <c r="K214" s="102"/>
      <c r="L214" s="102"/>
      <c r="M214" s="102" t="s">
        <v>25</v>
      </c>
      <c r="N214" s="91"/>
    </row>
    <row r="215" spans="2:14" x14ac:dyDescent="0.3">
      <c r="B215" s="142">
        <v>212</v>
      </c>
      <c r="C215" s="75" t="s">
        <v>2112</v>
      </c>
      <c r="D215" s="99" t="s">
        <v>2113</v>
      </c>
      <c r="E215" s="76">
        <v>45657</v>
      </c>
      <c r="F215" s="100">
        <v>2449700</v>
      </c>
      <c r="G215" s="77" t="s">
        <v>1235</v>
      </c>
      <c r="H215" s="101" t="s">
        <v>422</v>
      </c>
      <c r="I215" s="65" t="s">
        <v>2114</v>
      </c>
      <c r="J215" s="102"/>
      <c r="K215" s="102"/>
      <c r="L215" s="102"/>
      <c r="M215" s="102" t="s">
        <v>25</v>
      </c>
      <c r="N215" s="91"/>
    </row>
    <row r="216" spans="2:14" x14ac:dyDescent="0.3">
      <c r="B216" s="142">
        <v>213</v>
      </c>
      <c r="C216" s="75" t="s">
        <v>2115</v>
      </c>
      <c r="D216" s="143" t="s">
        <v>2116</v>
      </c>
      <c r="E216" s="76">
        <v>45657</v>
      </c>
      <c r="F216" s="144">
        <v>9633600</v>
      </c>
      <c r="G216" s="77" t="s">
        <v>1235</v>
      </c>
      <c r="H216" s="145" t="s">
        <v>422</v>
      </c>
      <c r="I216" s="65" t="s">
        <v>2117</v>
      </c>
      <c r="J216" s="102"/>
      <c r="K216" s="102"/>
      <c r="L216" s="102"/>
      <c r="M216" s="102"/>
      <c r="N216" s="91"/>
    </row>
    <row r="217" spans="2:14" ht="38.25" x14ac:dyDescent="0.3">
      <c r="B217" s="142">
        <v>214</v>
      </c>
      <c r="C217" s="75" t="s">
        <v>2118</v>
      </c>
      <c r="D217" s="143" t="s">
        <v>2119</v>
      </c>
      <c r="E217" s="76">
        <v>45657</v>
      </c>
      <c r="F217" s="144">
        <v>3686700</v>
      </c>
      <c r="G217" s="77" t="s">
        <v>2120</v>
      </c>
      <c r="H217" s="145" t="s">
        <v>422</v>
      </c>
      <c r="I217" s="65" t="s">
        <v>2120</v>
      </c>
      <c r="J217" s="102"/>
      <c r="K217" s="102"/>
      <c r="L217" s="102"/>
      <c r="M217" s="102"/>
      <c r="N217" s="91"/>
    </row>
    <row r="218" spans="2:14" ht="27" x14ac:dyDescent="0.3">
      <c r="B218" s="142">
        <v>215</v>
      </c>
      <c r="C218" s="146" t="s">
        <v>2121</v>
      </c>
      <c r="D218" s="78" t="s">
        <v>2122</v>
      </c>
      <c r="E218" s="79">
        <v>45657</v>
      </c>
      <c r="F218" s="144">
        <v>85800000</v>
      </c>
      <c r="G218" s="147" t="s">
        <v>1266</v>
      </c>
      <c r="H218" s="145" t="s">
        <v>422</v>
      </c>
      <c r="I218" s="145" t="s">
        <v>422</v>
      </c>
      <c r="J218" s="102"/>
      <c r="K218" s="102"/>
      <c r="L218" s="102"/>
      <c r="M218" s="102" t="s">
        <v>25</v>
      </c>
      <c r="N218" s="91"/>
    </row>
    <row r="219" spans="2:14" ht="27" x14ac:dyDescent="0.3">
      <c r="B219" s="142">
        <v>216</v>
      </c>
      <c r="C219" s="146" t="s">
        <v>2123</v>
      </c>
      <c r="D219" s="78" t="s">
        <v>2124</v>
      </c>
      <c r="E219" s="79">
        <v>45657</v>
      </c>
      <c r="F219" s="144">
        <v>5200000</v>
      </c>
      <c r="G219" s="147" t="s">
        <v>1266</v>
      </c>
      <c r="H219" s="145" t="s">
        <v>422</v>
      </c>
      <c r="I219" s="145" t="s">
        <v>422</v>
      </c>
      <c r="J219" s="102"/>
      <c r="K219" s="102"/>
      <c r="L219" s="102"/>
      <c r="M219" s="102"/>
      <c r="N219" s="91"/>
    </row>
    <row r="220" spans="2:14" ht="27" x14ac:dyDescent="0.3">
      <c r="B220" s="142">
        <v>217</v>
      </c>
      <c r="C220" s="146" t="s">
        <v>2125</v>
      </c>
      <c r="D220" s="78" t="s">
        <v>2126</v>
      </c>
      <c r="E220" s="79">
        <v>45657</v>
      </c>
      <c r="F220" s="144">
        <v>8300000</v>
      </c>
      <c r="G220" s="147" t="s">
        <v>1266</v>
      </c>
      <c r="H220" s="145" t="s">
        <v>422</v>
      </c>
      <c r="I220" s="145" t="s">
        <v>832</v>
      </c>
      <c r="J220" s="102"/>
      <c r="K220" s="102"/>
      <c r="L220" s="102"/>
      <c r="M220" s="102"/>
      <c r="N220" s="91"/>
    </row>
    <row r="221" spans="2:14" ht="27" x14ac:dyDescent="0.3">
      <c r="B221" s="142">
        <v>218</v>
      </c>
      <c r="C221" s="146" t="s">
        <v>2127</v>
      </c>
      <c r="D221" s="78" t="s">
        <v>2128</v>
      </c>
      <c r="E221" s="79">
        <v>45657</v>
      </c>
      <c r="F221" s="144">
        <v>128400000</v>
      </c>
      <c r="G221" s="147" t="s">
        <v>1266</v>
      </c>
      <c r="H221" s="145" t="s">
        <v>422</v>
      </c>
      <c r="I221" s="145" t="s">
        <v>811</v>
      </c>
      <c r="J221" s="102"/>
      <c r="K221" s="102"/>
      <c r="L221" s="102"/>
      <c r="M221" s="102" t="s">
        <v>25</v>
      </c>
      <c r="N221" s="91"/>
    </row>
    <row r="222" spans="2:14" ht="25.5" x14ac:dyDescent="0.3">
      <c r="B222" s="142">
        <v>219</v>
      </c>
      <c r="C222" s="146" t="s">
        <v>2129</v>
      </c>
      <c r="D222" s="65" t="s">
        <v>2130</v>
      </c>
      <c r="E222" s="79">
        <v>45657</v>
      </c>
      <c r="F222" s="144">
        <v>220200000</v>
      </c>
      <c r="G222" s="147" t="s">
        <v>1266</v>
      </c>
      <c r="H222" s="145" t="s">
        <v>422</v>
      </c>
      <c r="I222" s="145" t="s">
        <v>422</v>
      </c>
      <c r="J222" s="102"/>
      <c r="K222" s="102"/>
      <c r="L222" s="102"/>
      <c r="M222" s="102" t="s">
        <v>25</v>
      </c>
      <c r="N222" s="91"/>
    </row>
    <row r="223" spans="2:14" ht="38.25" x14ac:dyDescent="0.3">
      <c r="B223" s="142">
        <v>220</v>
      </c>
      <c r="C223" s="75" t="s">
        <v>2131</v>
      </c>
      <c r="D223" s="143" t="s">
        <v>2132</v>
      </c>
      <c r="E223" s="76">
        <v>45657</v>
      </c>
      <c r="F223" s="144">
        <v>3527300</v>
      </c>
      <c r="G223" s="77" t="s">
        <v>1266</v>
      </c>
      <c r="H223" s="145" t="s">
        <v>422</v>
      </c>
      <c r="I223" s="65"/>
      <c r="J223" s="102"/>
      <c r="K223" s="102"/>
      <c r="L223" s="102"/>
      <c r="M223" s="102" t="s">
        <v>25</v>
      </c>
      <c r="N223" s="91"/>
    </row>
    <row r="224" spans="2:14" ht="25.5" x14ac:dyDescent="0.3">
      <c r="B224" s="142">
        <v>221</v>
      </c>
      <c r="C224" s="75" t="s">
        <v>2133</v>
      </c>
      <c r="D224" s="143" t="s">
        <v>2134</v>
      </c>
      <c r="E224" s="76">
        <v>45657</v>
      </c>
      <c r="F224" s="144">
        <v>1608600</v>
      </c>
      <c r="G224" s="77" t="s">
        <v>1266</v>
      </c>
      <c r="H224" s="145" t="s">
        <v>422</v>
      </c>
      <c r="I224" s="65" t="s">
        <v>2135</v>
      </c>
      <c r="J224" s="102"/>
      <c r="K224" s="102"/>
      <c r="L224" s="102"/>
      <c r="M224" s="102"/>
      <c r="N224" s="91"/>
    </row>
    <row r="225" spans="2:14" ht="54" x14ac:dyDescent="0.3">
      <c r="B225" s="142">
        <v>222</v>
      </c>
      <c r="C225" s="75" t="s">
        <v>2136</v>
      </c>
      <c r="D225" s="143" t="s">
        <v>2137</v>
      </c>
      <c r="E225" s="76">
        <v>45657</v>
      </c>
      <c r="F225" s="144">
        <v>1659000</v>
      </c>
      <c r="G225" s="77" t="s">
        <v>1266</v>
      </c>
      <c r="H225" s="145" t="s">
        <v>422</v>
      </c>
      <c r="I225" s="65" t="s">
        <v>2138</v>
      </c>
      <c r="J225" s="102"/>
      <c r="K225" s="102"/>
      <c r="L225" s="102"/>
      <c r="M225" s="102"/>
      <c r="N225" s="91"/>
    </row>
    <row r="226" spans="2:14" ht="51" x14ac:dyDescent="0.3">
      <c r="B226" s="142">
        <v>223</v>
      </c>
      <c r="C226" s="75" t="s">
        <v>2139</v>
      </c>
      <c r="D226" s="143" t="s">
        <v>2140</v>
      </c>
      <c r="E226" s="76">
        <v>45657</v>
      </c>
      <c r="F226" s="144">
        <v>730500</v>
      </c>
      <c r="G226" s="77" t="s">
        <v>1266</v>
      </c>
      <c r="H226" s="145" t="s">
        <v>422</v>
      </c>
      <c r="I226" s="65" t="s">
        <v>2141</v>
      </c>
      <c r="J226" s="102"/>
      <c r="K226" s="102"/>
      <c r="L226" s="102"/>
      <c r="M226" s="102"/>
      <c r="N226" s="91"/>
    </row>
    <row r="227" spans="2:14" ht="38.25" x14ac:dyDescent="0.3">
      <c r="B227" s="142">
        <v>224</v>
      </c>
      <c r="C227" s="75" t="s">
        <v>2142</v>
      </c>
      <c r="D227" s="143" t="s">
        <v>2143</v>
      </c>
      <c r="E227" s="76">
        <v>45657</v>
      </c>
      <c r="F227" s="144">
        <v>3822500</v>
      </c>
      <c r="G227" s="77" t="s">
        <v>1266</v>
      </c>
      <c r="H227" s="145" t="s">
        <v>422</v>
      </c>
      <c r="I227" s="65" t="s">
        <v>2144</v>
      </c>
      <c r="J227" s="102"/>
      <c r="K227" s="102"/>
      <c r="L227" s="102"/>
      <c r="M227" s="102"/>
      <c r="N227" s="91"/>
    </row>
    <row r="228" spans="2:14" ht="27" x14ac:dyDescent="0.3">
      <c r="B228" s="142">
        <v>225</v>
      </c>
      <c r="C228" s="75" t="s">
        <v>2145</v>
      </c>
      <c r="D228" s="143" t="s">
        <v>2146</v>
      </c>
      <c r="E228" s="76">
        <v>45657</v>
      </c>
      <c r="F228" s="144">
        <v>18334900</v>
      </c>
      <c r="G228" s="77" t="s">
        <v>1266</v>
      </c>
      <c r="H228" s="145" t="s">
        <v>422</v>
      </c>
      <c r="I228" s="65" t="s">
        <v>2147</v>
      </c>
      <c r="J228" s="102"/>
      <c r="K228" s="102"/>
      <c r="L228" s="102"/>
      <c r="M228" s="102"/>
      <c r="N228" s="91"/>
    </row>
    <row r="229" spans="2:14" ht="38.25" x14ac:dyDescent="0.3">
      <c r="B229" s="142">
        <v>226</v>
      </c>
      <c r="C229" s="75" t="s">
        <v>2148</v>
      </c>
      <c r="D229" s="143" t="s">
        <v>2149</v>
      </c>
      <c r="E229" s="76">
        <v>45657</v>
      </c>
      <c r="F229" s="144">
        <v>5621300</v>
      </c>
      <c r="G229" s="77" t="s">
        <v>1266</v>
      </c>
      <c r="H229" s="145" t="s">
        <v>422</v>
      </c>
      <c r="I229" s="65" t="s">
        <v>1262</v>
      </c>
      <c r="J229" s="102"/>
      <c r="K229" s="102"/>
      <c r="L229" s="102"/>
      <c r="M229" s="102"/>
      <c r="N229" s="91"/>
    </row>
    <row r="230" spans="2:14" ht="38.25" x14ac:dyDescent="0.3">
      <c r="B230" s="142">
        <v>227</v>
      </c>
      <c r="C230" s="75" t="s">
        <v>2150</v>
      </c>
      <c r="D230" s="99" t="s">
        <v>2151</v>
      </c>
      <c r="E230" s="76">
        <v>45657</v>
      </c>
      <c r="F230" s="100">
        <v>1615700</v>
      </c>
      <c r="G230" s="77" t="s">
        <v>1266</v>
      </c>
      <c r="H230" s="101" t="s">
        <v>422</v>
      </c>
      <c r="I230" s="65" t="s">
        <v>2152</v>
      </c>
      <c r="J230" s="102"/>
      <c r="K230" s="102"/>
      <c r="L230" s="102"/>
      <c r="M230" s="102" t="s">
        <v>25</v>
      </c>
      <c r="N230" s="91"/>
    </row>
    <row r="231" spans="2:14" ht="25.5" x14ac:dyDescent="0.3">
      <c r="B231" s="142">
        <v>228</v>
      </c>
      <c r="C231" s="75" t="s">
        <v>2153</v>
      </c>
      <c r="D231" s="143" t="s">
        <v>2154</v>
      </c>
      <c r="E231" s="76">
        <v>45657</v>
      </c>
      <c r="F231" s="144">
        <v>1355900</v>
      </c>
      <c r="G231" s="77" t="s">
        <v>1292</v>
      </c>
      <c r="H231" s="145" t="s">
        <v>422</v>
      </c>
      <c r="I231" s="65" t="s">
        <v>2155</v>
      </c>
      <c r="J231" s="102"/>
      <c r="K231" s="102"/>
      <c r="L231" s="102"/>
      <c r="M231" s="102" t="s">
        <v>25</v>
      </c>
      <c r="N231" s="91" t="s">
        <v>2156</v>
      </c>
    </row>
    <row r="232" spans="2:14" ht="27" x14ac:dyDescent="0.3">
      <c r="B232" s="142">
        <v>229</v>
      </c>
      <c r="C232" s="75" t="s">
        <v>2157</v>
      </c>
      <c r="D232" s="143" t="s">
        <v>2158</v>
      </c>
      <c r="E232" s="76">
        <v>45657</v>
      </c>
      <c r="F232" s="144">
        <v>902400</v>
      </c>
      <c r="G232" s="77" t="s">
        <v>1292</v>
      </c>
      <c r="H232" s="145" t="s">
        <v>422</v>
      </c>
      <c r="I232" s="65" t="s">
        <v>2159</v>
      </c>
      <c r="J232" s="102"/>
      <c r="K232" s="102"/>
      <c r="L232" s="102"/>
      <c r="M232" s="102" t="s">
        <v>25</v>
      </c>
      <c r="N232" s="91"/>
    </row>
    <row r="233" spans="2:14" ht="25.5" x14ac:dyDescent="0.3">
      <c r="B233" s="142">
        <v>230</v>
      </c>
      <c r="C233" s="75" t="s">
        <v>2160</v>
      </c>
      <c r="D233" s="143" t="s">
        <v>2161</v>
      </c>
      <c r="E233" s="76">
        <v>45657</v>
      </c>
      <c r="F233" s="144">
        <v>2043500</v>
      </c>
      <c r="G233" s="77" t="s">
        <v>1292</v>
      </c>
      <c r="H233" s="145" t="s">
        <v>422</v>
      </c>
      <c r="I233" s="65" t="s">
        <v>2162</v>
      </c>
      <c r="J233" s="102"/>
      <c r="K233" s="102"/>
      <c r="L233" s="102"/>
      <c r="M233" s="102" t="s">
        <v>25</v>
      </c>
      <c r="N233" s="91" t="s">
        <v>2163</v>
      </c>
    </row>
    <row r="234" spans="2:14" ht="25.5" x14ac:dyDescent="0.3">
      <c r="B234" s="142">
        <v>231</v>
      </c>
      <c r="C234" s="75" t="s">
        <v>2164</v>
      </c>
      <c r="D234" s="143" t="s">
        <v>2165</v>
      </c>
      <c r="E234" s="76">
        <v>45657</v>
      </c>
      <c r="F234" s="144">
        <v>3674600</v>
      </c>
      <c r="G234" s="77" t="s">
        <v>1292</v>
      </c>
      <c r="H234" s="145" t="s">
        <v>422</v>
      </c>
      <c r="I234" s="65" t="s">
        <v>2166</v>
      </c>
      <c r="J234" s="102"/>
      <c r="K234" s="102"/>
      <c r="L234" s="102"/>
      <c r="M234" s="102" t="s">
        <v>25</v>
      </c>
      <c r="N234" s="91" t="s">
        <v>2167</v>
      </c>
    </row>
    <row r="235" spans="2:14" x14ac:dyDescent="0.3">
      <c r="B235" s="142">
        <v>232</v>
      </c>
      <c r="C235" s="75" t="s">
        <v>2168</v>
      </c>
      <c r="D235" s="143" t="s">
        <v>2169</v>
      </c>
      <c r="E235" s="76">
        <v>45657</v>
      </c>
      <c r="F235" s="144">
        <v>2279200</v>
      </c>
      <c r="G235" s="77" t="s">
        <v>1292</v>
      </c>
      <c r="H235" s="145" t="s">
        <v>422</v>
      </c>
      <c r="I235" s="65" t="s">
        <v>2170</v>
      </c>
      <c r="J235" s="102"/>
      <c r="K235" s="102"/>
      <c r="L235" s="102"/>
      <c r="M235" s="102"/>
      <c r="N235" s="91" t="s">
        <v>2171</v>
      </c>
    </row>
    <row r="236" spans="2:14" x14ac:dyDescent="0.3">
      <c r="B236" s="142">
        <v>233</v>
      </c>
      <c r="C236" s="75" t="s">
        <v>2172</v>
      </c>
      <c r="D236" s="143" t="s">
        <v>2173</v>
      </c>
      <c r="E236" s="76">
        <v>45657</v>
      </c>
      <c r="F236" s="144">
        <v>1793900</v>
      </c>
      <c r="G236" s="77" t="s">
        <v>1292</v>
      </c>
      <c r="H236" s="145" t="s">
        <v>422</v>
      </c>
      <c r="I236" s="65" t="s">
        <v>2174</v>
      </c>
      <c r="J236" s="102"/>
      <c r="K236" s="102"/>
      <c r="L236" s="102"/>
      <c r="M236" s="102" t="s">
        <v>25</v>
      </c>
      <c r="N236" s="91"/>
    </row>
    <row r="237" spans="2:14" ht="38.25" x14ac:dyDescent="0.3">
      <c r="B237" s="142">
        <v>234</v>
      </c>
      <c r="C237" s="75" t="s">
        <v>2175</v>
      </c>
      <c r="D237" s="143" t="s">
        <v>2176</v>
      </c>
      <c r="E237" s="76">
        <v>45657</v>
      </c>
      <c r="F237" s="144">
        <v>1721000</v>
      </c>
      <c r="G237" s="77" t="s">
        <v>1292</v>
      </c>
      <c r="H237" s="145" t="s">
        <v>422</v>
      </c>
      <c r="I237" s="65" t="s">
        <v>2177</v>
      </c>
      <c r="J237" s="102"/>
      <c r="K237" s="102"/>
      <c r="L237" s="102"/>
      <c r="M237" s="102"/>
      <c r="N237" s="91"/>
    </row>
    <row r="238" spans="2:14" x14ac:dyDescent="0.3">
      <c r="B238" s="142">
        <v>235</v>
      </c>
      <c r="C238" s="75" t="s">
        <v>2178</v>
      </c>
      <c r="D238" s="143" t="s">
        <v>2179</v>
      </c>
      <c r="E238" s="76">
        <v>45657</v>
      </c>
      <c r="F238" s="144">
        <v>2199700</v>
      </c>
      <c r="G238" s="77" t="s">
        <v>1292</v>
      </c>
      <c r="H238" s="145" t="s">
        <v>422</v>
      </c>
      <c r="I238" s="65" t="s">
        <v>2180</v>
      </c>
      <c r="J238" s="102"/>
      <c r="K238" s="102"/>
      <c r="L238" s="102"/>
      <c r="M238" s="102" t="s">
        <v>25</v>
      </c>
      <c r="N238" s="91"/>
    </row>
    <row r="239" spans="2:14" x14ac:dyDescent="0.3">
      <c r="B239" s="142">
        <v>236</v>
      </c>
      <c r="C239" s="75" t="s">
        <v>2181</v>
      </c>
      <c r="D239" s="143" t="s">
        <v>2182</v>
      </c>
      <c r="E239" s="76">
        <v>45657</v>
      </c>
      <c r="F239" s="144">
        <v>8860600</v>
      </c>
      <c r="G239" s="77" t="s">
        <v>1292</v>
      </c>
      <c r="H239" s="145" t="s">
        <v>422</v>
      </c>
      <c r="I239" s="65" t="s">
        <v>817</v>
      </c>
      <c r="J239" s="102"/>
      <c r="K239" s="102"/>
      <c r="L239" s="102"/>
      <c r="M239" s="102"/>
      <c r="N239" s="91" t="s">
        <v>2183</v>
      </c>
    </row>
    <row r="240" spans="2:14" ht="27" x14ac:dyDescent="0.3">
      <c r="B240" s="142">
        <v>237</v>
      </c>
      <c r="C240" s="75" t="s">
        <v>2100</v>
      </c>
      <c r="D240" s="143" t="s">
        <v>2184</v>
      </c>
      <c r="E240" s="76">
        <v>45657</v>
      </c>
      <c r="F240" s="144">
        <v>3709100</v>
      </c>
      <c r="G240" s="77" t="s">
        <v>1292</v>
      </c>
      <c r="H240" s="145" t="s">
        <v>422</v>
      </c>
      <c r="I240" s="65" t="s">
        <v>2185</v>
      </c>
      <c r="J240" s="102"/>
      <c r="K240" s="102"/>
      <c r="L240" s="102"/>
      <c r="M240" s="102"/>
      <c r="N240" s="91"/>
    </row>
    <row r="241" spans="2:14" x14ac:dyDescent="0.3">
      <c r="B241" s="142">
        <v>238</v>
      </c>
      <c r="C241" s="75" t="s">
        <v>2186</v>
      </c>
      <c r="D241" s="143" t="s">
        <v>2187</v>
      </c>
      <c r="E241" s="76">
        <v>45657</v>
      </c>
      <c r="F241" s="144">
        <v>995300</v>
      </c>
      <c r="G241" s="77" t="s">
        <v>1292</v>
      </c>
      <c r="H241" s="145" t="s">
        <v>422</v>
      </c>
      <c r="I241" s="65" t="s">
        <v>2188</v>
      </c>
      <c r="J241" s="102"/>
      <c r="K241" s="102"/>
      <c r="L241" s="102"/>
      <c r="M241" s="102"/>
      <c r="N241" s="91"/>
    </row>
    <row r="242" spans="2:14" x14ac:dyDescent="0.3">
      <c r="B242" s="142">
        <v>239</v>
      </c>
      <c r="C242" s="75" t="s">
        <v>2100</v>
      </c>
      <c r="D242" s="143" t="s">
        <v>2189</v>
      </c>
      <c r="E242" s="76">
        <v>45657</v>
      </c>
      <c r="F242" s="144">
        <v>3706800</v>
      </c>
      <c r="G242" s="77" t="s">
        <v>1292</v>
      </c>
      <c r="H242" s="145" t="s">
        <v>422</v>
      </c>
      <c r="I242" s="65" t="s">
        <v>2180</v>
      </c>
      <c r="J242" s="102"/>
      <c r="K242" s="102"/>
      <c r="L242" s="102"/>
      <c r="M242" s="102"/>
      <c r="N242" s="91"/>
    </row>
    <row r="243" spans="2:14" ht="38.25" x14ac:dyDescent="0.3">
      <c r="B243" s="142">
        <v>240</v>
      </c>
      <c r="C243" s="75" t="s">
        <v>2190</v>
      </c>
      <c r="D243" s="143" t="s">
        <v>2191</v>
      </c>
      <c r="E243" s="76">
        <v>45657</v>
      </c>
      <c r="F243" s="144">
        <v>2224100</v>
      </c>
      <c r="G243" s="77" t="s">
        <v>1292</v>
      </c>
      <c r="H243" s="145" t="s">
        <v>422</v>
      </c>
      <c r="I243" s="65" t="s">
        <v>1700</v>
      </c>
      <c r="J243" s="102"/>
      <c r="K243" s="102"/>
      <c r="L243" s="102"/>
      <c r="M243" s="102"/>
      <c r="N243" s="91"/>
    </row>
    <row r="244" spans="2:14" ht="51" x14ac:dyDescent="0.3">
      <c r="B244" s="142">
        <v>241</v>
      </c>
      <c r="C244" s="75" t="s">
        <v>2192</v>
      </c>
      <c r="D244" s="143" t="s">
        <v>2193</v>
      </c>
      <c r="E244" s="76">
        <v>45657</v>
      </c>
      <c r="F244" s="144">
        <v>720800</v>
      </c>
      <c r="G244" s="77" t="s">
        <v>1292</v>
      </c>
      <c r="H244" s="145" t="s">
        <v>422</v>
      </c>
      <c r="I244" s="65" t="s">
        <v>1917</v>
      </c>
      <c r="J244" s="102"/>
      <c r="K244" s="102"/>
      <c r="L244" s="102"/>
      <c r="M244" s="102"/>
      <c r="N244" s="91"/>
    </row>
    <row r="245" spans="2:14" ht="51" x14ac:dyDescent="0.3">
      <c r="B245" s="142">
        <v>242</v>
      </c>
      <c r="C245" s="75" t="s">
        <v>2194</v>
      </c>
      <c r="D245" s="143" t="s">
        <v>2195</v>
      </c>
      <c r="E245" s="76">
        <v>45657</v>
      </c>
      <c r="F245" s="144">
        <v>1065700</v>
      </c>
      <c r="G245" s="77" t="s">
        <v>1292</v>
      </c>
      <c r="H245" s="145" t="s">
        <v>422</v>
      </c>
      <c r="I245" s="65" t="s">
        <v>2196</v>
      </c>
      <c r="J245" s="102"/>
      <c r="K245" s="102"/>
      <c r="L245" s="102"/>
      <c r="M245" s="102" t="s">
        <v>25</v>
      </c>
      <c r="N245" s="91"/>
    </row>
    <row r="246" spans="2:14" x14ac:dyDescent="0.3">
      <c r="B246" s="142">
        <v>243</v>
      </c>
      <c r="C246" s="75" t="s">
        <v>2197</v>
      </c>
      <c r="D246" s="143" t="s">
        <v>2198</v>
      </c>
      <c r="E246" s="76">
        <v>45657</v>
      </c>
      <c r="F246" s="144">
        <v>888600</v>
      </c>
      <c r="G246" s="77" t="s">
        <v>1292</v>
      </c>
      <c r="H246" s="145" t="s">
        <v>422</v>
      </c>
      <c r="I246" s="65" t="s">
        <v>2199</v>
      </c>
      <c r="J246" s="102"/>
      <c r="K246" s="102"/>
      <c r="L246" s="102"/>
      <c r="M246" s="102" t="s">
        <v>25</v>
      </c>
      <c r="N246" s="91"/>
    </row>
    <row r="247" spans="2:14" ht="40.5" x14ac:dyDescent="0.3">
      <c r="B247" s="142">
        <v>244</v>
      </c>
      <c r="C247" s="75" t="s">
        <v>2087</v>
      </c>
      <c r="D247" s="143" t="s">
        <v>2200</v>
      </c>
      <c r="E247" s="76">
        <v>45657</v>
      </c>
      <c r="F247" s="144">
        <v>764800</v>
      </c>
      <c r="G247" s="77" t="s">
        <v>1292</v>
      </c>
      <c r="H247" s="145" t="s">
        <v>422</v>
      </c>
      <c r="I247" s="65" t="s">
        <v>2201</v>
      </c>
      <c r="J247" s="102"/>
      <c r="K247" s="102"/>
      <c r="L247" s="102"/>
      <c r="M247" s="102"/>
      <c r="N247" s="91"/>
    </row>
    <row r="248" spans="2:14" x14ac:dyDescent="0.3">
      <c r="B248" s="142">
        <v>245</v>
      </c>
      <c r="C248" s="75" t="s">
        <v>2202</v>
      </c>
      <c r="D248" s="143" t="s">
        <v>2203</v>
      </c>
      <c r="E248" s="76">
        <v>45657</v>
      </c>
      <c r="F248" s="144">
        <v>5257600</v>
      </c>
      <c r="G248" s="77" t="s">
        <v>1292</v>
      </c>
      <c r="H248" s="145" t="s">
        <v>422</v>
      </c>
      <c r="I248" s="65" t="s">
        <v>2204</v>
      </c>
      <c r="J248" s="102"/>
      <c r="K248" s="102"/>
      <c r="L248" s="102"/>
      <c r="M248" s="102" t="s">
        <v>25</v>
      </c>
      <c r="N248" s="91"/>
    </row>
    <row r="249" spans="2:14" ht="27" x14ac:dyDescent="0.3">
      <c r="B249" s="142">
        <v>246</v>
      </c>
      <c r="C249" s="75" t="s">
        <v>1644</v>
      </c>
      <c r="D249" s="143" t="s">
        <v>2205</v>
      </c>
      <c r="E249" s="76">
        <v>45657</v>
      </c>
      <c r="F249" s="144">
        <v>3575200</v>
      </c>
      <c r="G249" s="77" t="s">
        <v>1292</v>
      </c>
      <c r="H249" s="145" t="s">
        <v>422</v>
      </c>
      <c r="I249" s="65" t="s">
        <v>2206</v>
      </c>
      <c r="J249" s="102"/>
      <c r="K249" s="102"/>
      <c r="L249" s="102"/>
      <c r="M249" s="102"/>
      <c r="N249" s="91"/>
    </row>
    <row r="250" spans="2:14" ht="27" x14ac:dyDescent="0.3">
      <c r="B250" s="142">
        <v>247</v>
      </c>
      <c r="C250" s="75" t="s">
        <v>1644</v>
      </c>
      <c r="D250" s="143" t="s">
        <v>2207</v>
      </c>
      <c r="E250" s="76">
        <v>45657</v>
      </c>
      <c r="F250" s="144">
        <v>34094900</v>
      </c>
      <c r="G250" s="77" t="s">
        <v>1292</v>
      </c>
      <c r="H250" s="145" t="s">
        <v>422</v>
      </c>
      <c r="I250" s="65" t="s">
        <v>2206</v>
      </c>
      <c r="J250" s="102"/>
      <c r="K250" s="102"/>
      <c r="L250" s="102"/>
      <c r="M250" s="102"/>
      <c r="N250" s="91"/>
    </row>
    <row r="251" spans="2:14" ht="27" x14ac:dyDescent="0.3">
      <c r="B251" s="142">
        <v>248</v>
      </c>
      <c r="C251" s="75" t="s">
        <v>2208</v>
      </c>
      <c r="D251" s="143" t="s">
        <v>2209</v>
      </c>
      <c r="E251" s="76">
        <v>45657</v>
      </c>
      <c r="F251" s="144">
        <v>1833900</v>
      </c>
      <c r="G251" s="77" t="s">
        <v>1292</v>
      </c>
      <c r="H251" s="145" t="s">
        <v>422</v>
      </c>
      <c r="I251" s="65" t="s">
        <v>2155</v>
      </c>
      <c r="J251" s="102"/>
      <c r="K251" s="102"/>
      <c r="L251" s="102"/>
      <c r="M251" s="102" t="s">
        <v>25</v>
      </c>
      <c r="N251" s="91"/>
    </row>
    <row r="252" spans="2:14" ht="38.25" x14ac:dyDescent="0.3">
      <c r="B252" s="142">
        <v>249</v>
      </c>
      <c r="C252" s="75" t="s">
        <v>2210</v>
      </c>
      <c r="D252" s="143" t="s">
        <v>2211</v>
      </c>
      <c r="E252" s="76">
        <v>45657</v>
      </c>
      <c r="F252" s="144">
        <v>1014000</v>
      </c>
      <c r="G252" s="77" t="s">
        <v>1292</v>
      </c>
      <c r="H252" s="145" t="s">
        <v>422</v>
      </c>
      <c r="I252" s="65" t="s">
        <v>2212</v>
      </c>
      <c r="J252" s="102"/>
      <c r="K252" s="102"/>
      <c r="L252" s="102"/>
      <c r="M252" s="102"/>
      <c r="N252" s="91"/>
    </row>
    <row r="253" spans="2:14" ht="76.5" x14ac:dyDescent="0.3">
      <c r="B253" s="142">
        <v>250</v>
      </c>
      <c r="C253" s="75" t="s">
        <v>2213</v>
      </c>
      <c r="D253" s="143" t="s">
        <v>2214</v>
      </c>
      <c r="E253" s="76">
        <v>45657</v>
      </c>
      <c r="F253" s="144">
        <v>1030500</v>
      </c>
      <c r="G253" s="77" t="s">
        <v>1292</v>
      </c>
      <c r="H253" s="145" t="s">
        <v>422</v>
      </c>
      <c r="I253" s="65" t="s">
        <v>2199</v>
      </c>
      <c r="J253" s="102"/>
      <c r="K253" s="102"/>
      <c r="L253" s="102"/>
      <c r="M253" s="102" t="s">
        <v>25</v>
      </c>
      <c r="N253" s="91"/>
    </row>
    <row r="254" spans="2:14" ht="40.5" x14ac:dyDescent="0.3">
      <c r="B254" s="142">
        <v>251</v>
      </c>
      <c r="C254" s="75" t="s">
        <v>2215</v>
      </c>
      <c r="D254" s="143" t="s">
        <v>2216</v>
      </c>
      <c r="E254" s="76">
        <v>45657</v>
      </c>
      <c r="F254" s="144">
        <v>5413500</v>
      </c>
      <c r="G254" s="77" t="s">
        <v>1292</v>
      </c>
      <c r="H254" s="145" t="s">
        <v>422</v>
      </c>
      <c r="I254" s="65" t="s">
        <v>2217</v>
      </c>
      <c r="J254" s="102"/>
      <c r="K254" s="102"/>
      <c r="L254" s="102"/>
      <c r="M254" s="102" t="s">
        <v>25</v>
      </c>
      <c r="N254" s="91"/>
    </row>
    <row r="255" spans="2:14" ht="40.5" x14ac:dyDescent="0.3">
      <c r="B255" s="142">
        <v>252</v>
      </c>
      <c r="C255" s="75" t="s">
        <v>2218</v>
      </c>
      <c r="D255" s="143" t="s">
        <v>2219</v>
      </c>
      <c r="E255" s="76">
        <v>45657</v>
      </c>
      <c r="F255" s="144">
        <v>8889600</v>
      </c>
      <c r="G255" s="77" t="s">
        <v>1292</v>
      </c>
      <c r="H255" s="145" t="s">
        <v>422</v>
      </c>
      <c r="I255" s="65" t="s">
        <v>2220</v>
      </c>
      <c r="J255" s="102"/>
      <c r="K255" s="102"/>
      <c r="L255" s="102"/>
      <c r="M255" s="102"/>
      <c r="N255" s="91"/>
    </row>
    <row r="256" spans="2:14" ht="25.5" x14ac:dyDescent="0.3">
      <c r="B256" s="142">
        <v>253</v>
      </c>
      <c r="C256" s="75" t="s">
        <v>2221</v>
      </c>
      <c r="D256" s="143" t="s">
        <v>2222</v>
      </c>
      <c r="E256" s="76">
        <v>45657</v>
      </c>
      <c r="F256" s="144">
        <v>3350800</v>
      </c>
      <c r="G256" s="77" t="s">
        <v>1292</v>
      </c>
      <c r="H256" s="145" t="s">
        <v>422</v>
      </c>
      <c r="I256" s="65" t="s">
        <v>2223</v>
      </c>
      <c r="J256" s="102"/>
      <c r="K256" s="102"/>
      <c r="L256" s="102"/>
      <c r="M256" s="102" t="s">
        <v>25</v>
      </c>
      <c r="N256" s="91"/>
    </row>
    <row r="257" spans="2:14" ht="25.5" x14ac:dyDescent="0.3">
      <c r="B257" s="142">
        <v>254</v>
      </c>
      <c r="C257" s="75" t="s">
        <v>2221</v>
      </c>
      <c r="D257" s="143" t="s">
        <v>2224</v>
      </c>
      <c r="E257" s="76">
        <v>45657</v>
      </c>
      <c r="F257" s="144">
        <v>3018800</v>
      </c>
      <c r="G257" s="77" t="s">
        <v>1292</v>
      </c>
      <c r="H257" s="145" t="s">
        <v>422</v>
      </c>
      <c r="I257" s="65" t="s">
        <v>2223</v>
      </c>
      <c r="J257" s="102"/>
      <c r="K257" s="102"/>
      <c r="L257" s="102"/>
      <c r="M257" s="102" t="s">
        <v>25</v>
      </c>
      <c r="N257" s="91"/>
    </row>
    <row r="258" spans="2:14" ht="51" x14ac:dyDescent="0.3">
      <c r="B258" s="142">
        <v>255</v>
      </c>
      <c r="C258" s="75" t="s">
        <v>1257</v>
      </c>
      <c r="D258" s="143" t="s">
        <v>2225</v>
      </c>
      <c r="E258" s="76">
        <v>45657</v>
      </c>
      <c r="F258" s="144">
        <v>3587700</v>
      </c>
      <c r="G258" s="77" t="s">
        <v>1292</v>
      </c>
      <c r="H258" s="145" t="s">
        <v>422</v>
      </c>
      <c r="I258" s="65" t="s">
        <v>2174</v>
      </c>
      <c r="J258" s="102"/>
      <c r="K258" s="102"/>
      <c r="L258" s="102"/>
      <c r="M258" s="102"/>
      <c r="N258" s="91" t="s">
        <v>2226</v>
      </c>
    </row>
    <row r="259" spans="2:14" ht="38.25" x14ac:dyDescent="0.3">
      <c r="B259" s="142">
        <v>256</v>
      </c>
      <c r="C259" s="75" t="s">
        <v>2227</v>
      </c>
      <c r="D259" s="143" t="s">
        <v>2228</v>
      </c>
      <c r="E259" s="76">
        <v>45657</v>
      </c>
      <c r="F259" s="144">
        <v>14921600</v>
      </c>
      <c r="G259" s="77" t="s">
        <v>1292</v>
      </c>
      <c r="H259" s="145" t="s">
        <v>422</v>
      </c>
      <c r="I259" s="65" t="s">
        <v>2204</v>
      </c>
      <c r="J259" s="102"/>
      <c r="K259" s="102"/>
      <c r="L259" s="102"/>
      <c r="M259" s="102" t="s">
        <v>25</v>
      </c>
      <c r="N259" s="91"/>
    </row>
    <row r="260" spans="2:14" ht="51" x14ac:dyDescent="0.3">
      <c r="B260" s="142">
        <v>257</v>
      </c>
      <c r="C260" s="75" t="s">
        <v>2229</v>
      </c>
      <c r="D260" s="143" t="s">
        <v>2230</v>
      </c>
      <c r="E260" s="76">
        <v>45657</v>
      </c>
      <c r="F260" s="144">
        <v>8241900</v>
      </c>
      <c r="G260" s="77" t="s">
        <v>1292</v>
      </c>
      <c r="H260" s="145" t="s">
        <v>422</v>
      </c>
      <c r="I260" s="65" t="s">
        <v>2204</v>
      </c>
      <c r="J260" s="102"/>
      <c r="K260" s="102"/>
      <c r="L260" s="102"/>
      <c r="M260" s="102" t="s">
        <v>25</v>
      </c>
      <c r="N260" s="91"/>
    </row>
    <row r="261" spans="2:14" ht="81" x14ac:dyDescent="0.3">
      <c r="B261" s="142">
        <v>258</v>
      </c>
      <c r="C261" s="75" t="s">
        <v>2231</v>
      </c>
      <c r="D261" s="99" t="s">
        <v>2232</v>
      </c>
      <c r="E261" s="76">
        <v>45657</v>
      </c>
      <c r="F261" s="100">
        <v>3623600</v>
      </c>
      <c r="G261" s="77" t="s">
        <v>1292</v>
      </c>
      <c r="H261" s="101" t="s">
        <v>422</v>
      </c>
      <c r="I261" s="65" t="s">
        <v>2233</v>
      </c>
      <c r="J261" s="102"/>
      <c r="K261" s="102"/>
      <c r="L261" s="102"/>
      <c r="M261" s="102" t="s">
        <v>25</v>
      </c>
      <c r="N261" s="91"/>
    </row>
    <row r="262" spans="2:14" ht="40.5" x14ac:dyDescent="0.3">
      <c r="B262" s="142">
        <v>259</v>
      </c>
      <c r="C262" s="75" t="s">
        <v>2234</v>
      </c>
      <c r="D262" s="99" t="s">
        <v>2235</v>
      </c>
      <c r="E262" s="76">
        <v>45657</v>
      </c>
      <c r="F262" s="100">
        <v>2762500</v>
      </c>
      <c r="G262" s="77" t="s">
        <v>1292</v>
      </c>
      <c r="H262" s="101" t="s">
        <v>422</v>
      </c>
      <c r="I262" s="65" t="s">
        <v>2236</v>
      </c>
      <c r="J262" s="102"/>
      <c r="K262" s="102"/>
      <c r="L262" s="102"/>
      <c r="M262" s="102" t="s">
        <v>25</v>
      </c>
      <c r="N262" s="91"/>
    </row>
    <row r="263" spans="2:14" ht="40.5" x14ac:dyDescent="0.3">
      <c r="B263" s="142">
        <v>260</v>
      </c>
      <c r="C263" s="75" t="s">
        <v>2237</v>
      </c>
      <c r="D263" s="99" t="s">
        <v>2238</v>
      </c>
      <c r="E263" s="76">
        <v>45657</v>
      </c>
      <c r="F263" s="100">
        <v>2976000</v>
      </c>
      <c r="G263" s="77" t="s">
        <v>1292</v>
      </c>
      <c r="H263" s="101" t="s">
        <v>422</v>
      </c>
      <c r="I263" s="65" t="s">
        <v>2239</v>
      </c>
      <c r="J263" s="102"/>
      <c r="K263" s="102"/>
      <c r="L263" s="102"/>
      <c r="M263" s="102" t="s">
        <v>25</v>
      </c>
      <c r="N263" s="91"/>
    </row>
    <row r="264" spans="2:14" ht="40.5" x14ac:dyDescent="0.3">
      <c r="B264" s="142">
        <v>261</v>
      </c>
      <c r="C264" s="75" t="s">
        <v>2240</v>
      </c>
      <c r="D264" s="99" t="s">
        <v>2241</v>
      </c>
      <c r="E264" s="76">
        <v>45657</v>
      </c>
      <c r="F264" s="100">
        <v>946700</v>
      </c>
      <c r="G264" s="77" t="s">
        <v>1292</v>
      </c>
      <c r="H264" s="101" t="s">
        <v>422</v>
      </c>
      <c r="I264" s="65" t="s">
        <v>2239</v>
      </c>
      <c r="J264" s="102"/>
      <c r="K264" s="102"/>
      <c r="L264" s="102"/>
      <c r="M264" s="102" t="s">
        <v>25</v>
      </c>
      <c r="N264" s="91"/>
    </row>
    <row r="265" spans="2:14" ht="25.5" x14ac:dyDescent="0.3">
      <c r="B265" s="142">
        <v>262</v>
      </c>
      <c r="C265" s="75" t="s">
        <v>2240</v>
      </c>
      <c r="D265" s="99" t="s">
        <v>2242</v>
      </c>
      <c r="E265" s="76">
        <v>45657</v>
      </c>
      <c r="F265" s="100">
        <v>20058600</v>
      </c>
      <c r="G265" s="147" t="s">
        <v>1292</v>
      </c>
      <c r="H265" s="101" t="s">
        <v>422</v>
      </c>
      <c r="I265" s="145" t="s">
        <v>811</v>
      </c>
      <c r="J265" s="102"/>
      <c r="K265" s="102"/>
      <c r="L265" s="102"/>
      <c r="M265" s="102" t="s">
        <v>25</v>
      </c>
      <c r="N265" s="91"/>
    </row>
    <row r="266" spans="2:14" ht="38.25" x14ac:dyDescent="0.3">
      <c r="B266" s="142">
        <v>263</v>
      </c>
      <c r="C266" s="75" t="s">
        <v>2243</v>
      </c>
      <c r="D266" s="99" t="s">
        <v>2244</v>
      </c>
      <c r="E266" s="76">
        <v>45657</v>
      </c>
      <c r="F266" s="100">
        <v>674500</v>
      </c>
      <c r="G266" s="77" t="s">
        <v>1292</v>
      </c>
      <c r="H266" s="101" t="s">
        <v>422</v>
      </c>
      <c r="I266" s="65" t="s">
        <v>2245</v>
      </c>
      <c r="J266" s="102"/>
      <c r="K266" s="102"/>
      <c r="L266" s="102"/>
      <c r="M266" s="102" t="s">
        <v>25</v>
      </c>
      <c r="N266" s="91"/>
    </row>
    <row r="267" spans="2:14" ht="27" x14ac:dyDescent="0.3">
      <c r="B267" s="142">
        <v>264</v>
      </c>
      <c r="C267" s="75" t="s">
        <v>2246</v>
      </c>
      <c r="D267" s="143" t="s">
        <v>2247</v>
      </c>
      <c r="E267" s="76">
        <v>45657</v>
      </c>
      <c r="F267" s="144">
        <v>1849900</v>
      </c>
      <c r="G267" s="77" t="s">
        <v>2248</v>
      </c>
      <c r="H267" s="145" t="s">
        <v>422</v>
      </c>
      <c r="I267" s="65" t="s">
        <v>2248</v>
      </c>
      <c r="J267" s="102"/>
      <c r="K267" s="102"/>
      <c r="L267" s="102"/>
      <c r="M267" s="102" t="s">
        <v>25</v>
      </c>
      <c r="N267" s="91"/>
    </row>
    <row r="268" spans="2:14" ht="38.25" x14ac:dyDescent="0.3">
      <c r="B268" s="142">
        <v>265</v>
      </c>
      <c r="C268" s="75" t="s">
        <v>2249</v>
      </c>
      <c r="D268" s="143" t="s">
        <v>2250</v>
      </c>
      <c r="E268" s="76">
        <v>45657</v>
      </c>
      <c r="F268" s="144">
        <v>1286900</v>
      </c>
      <c r="G268" s="77" t="s">
        <v>1635</v>
      </c>
      <c r="H268" s="145" t="s">
        <v>422</v>
      </c>
      <c r="I268" s="65" t="s">
        <v>2251</v>
      </c>
      <c r="J268" s="102"/>
      <c r="K268" s="102"/>
      <c r="L268" s="102"/>
      <c r="M268" s="102"/>
      <c r="N268" s="91"/>
    </row>
    <row r="269" spans="2:14" ht="25.5" x14ac:dyDescent="0.3">
      <c r="B269" s="142">
        <v>266</v>
      </c>
      <c r="C269" s="75" t="s">
        <v>2252</v>
      </c>
      <c r="D269" s="143" t="s">
        <v>2253</v>
      </c>
      <c r="E269" s="76">
        <v>45657</v>
      </c>
      <c r="F269" s="144">
        <v>1635600</v>
      </c>
      <c r="G269" s="77" t="s">
        <v>1635</v>
      </c>
      <c r="H269" s="145" t="s">
        <v>422</v>
      </c>
      <c r="I269" s="65" t="s">
        <v>2251</v>
      </c>
      <c r="J269" s="102"/>
      <c r="K269" s="102"/>
      <c r="L269" s="102"/>
      <c r="M269" s="102"/>
      <c r="N269" s="91"/>
    </row>
    <row r="270" spans="2:14" x14ac:dyDescent="0.3">
      <c r="B270" s="142">
        <v>267</v>
      </c>
      <c r="C270" s="75" t="s">
        <v>2254</v>
      </c>
      <c r="D270" s="143" t="s">
        <v>2255</v>
      </c>
      <c r="E270" s="76">
        <v>45657</v>
      </c>
      <c r="F270" s="144">
        <v>1593900</v>
      </c>
      <c r="G270" s="77" t="s">
        <v>1635</v>
      </c>
      <c r="H270" s="145" t="s">
        <v>422</v>
      </c>
      <c r="I270" s="65" t="s">
        <v>2256</v>
      </c>
      <c r="J270" s="102"/>
      <c r="K270" s="102"/>
      <c r="L270" s="102"/>
      <c r="M270" s="102"/>
      <c r="N270" s="91"/>
    </row>
    <row r="271" spans="2:14" ht="40.5" x14ac:dyDescent="0.3">
      <c r="B271" s="142">
        <v>268</v>
      </c>
      <c r="C271" s="75" t="s">
        <v>2257</v>
      </c>
      <c r="D271" s="143" t="s">
        <v>2258</v>
      </c>
      <c r="E271" s="76">
        <v>45657</v>
      </c>
      <c r="F271" s="144">
        <v>9066600</v>
      </c>
      <c r="G271" s="77" t="s">
        <v>2259</v>
      </c>
      <c r="H271" s="145" t="s">
        <v>422</v>
      </c>
      <c r="I271" s="65" t="s">
        <v>2260</v>
      </c>
      <c r="J271" s="102"/>
      <c r="K271" s="102"/>
      <c r="L271" s="102"/>
      <c r="M271" s="102"/>
      <c r="N271" s="91"/>
    </row>
    <row r="272" spans="2:14" ht="25.5" x14ac:dyDescent="0.3">
      <c r="B272" s="142">
        <v>269</v>
      </c>
      <c r="C272" s="75" t="s">
        <v>2261</v>
      </c>
      <c r="D272" s="99" t="s">
        <v>2262</v>
      </c>
      <c r="E272" s="76">
        <v>45657</v>
      </c>
      <c r="F272" s="100">
        <v>2283200</v>
      </c>
      <c r="G272" s="77" t="s">
        <v>2259</v>
      </c>
      <c r="H272" s="101" t="s">
        <v>422</v>
      </c>
      <c r="I272" s="65" t="s">
        <v>2263</v>
      </c>
      <c r="J272" s="102"/>
      <c r="K272" s="102"/>
      <c r="L272" s="102"/>
      <c r="M272" s="102" t="s">
        <v>25</v>
      </c>
      <c r="N272" s="91"/>
    </row>
    <row r="273" spans="2:14" ht="27" x14ac:dyDescent="0.3">
      <c r="B273" s="142">
        <v>270</v>
      </c>
      <c r="C273" s="75" t="s">
        <v>2261</v>
      </c>
      <c r="D273" s="99" t="s">
        <v>2264</v>
      </c>
      <c r="E273" s="76">
        <v>45657</v>
      </c>
      <c r="F273" s="100">
        <v>4566500</v>
      </c>
      <c r="G273" s="77" t="s">
        <v>2259</v>
      </c>
      <c r="H273" s="101" t="s">
        <v>422</v>
      </c>
      <c r="I273" s="65" t="s">
        <v>2265</v>
      </c>
      <c r="J273" s="102"/>
      <c r="K273" s="102"/>
      <c r="L273" s="102"/>
      <c r="M273" s="102" t="s">
        <v>25</v>
      </c>
      <c r="N273" s="91" t="s">
        <v>2266</v>
      </c>
    </row>
    <row r="274" spans="2:14" ht="51" x14ac:dyDescent="0.3">
      <c r="B274" s="142">
        <v>271</v>
      </c>
      <c r="C274" s="75" t="s">
        <v>2267</v>
      </c>
      <c r="D274" s="143" t="s">
        <v>2268</v>
      </c>
      <c r="E274" s="76">
        <v>45657</v>
      </c>
      <c r="F274" s="144">
        <v>4136300</v>
      </c>
      <c r="G274" s="77" t="s">
        <v>2269</v>
      </c>
      <c r="H274" s="145" t="s">
        <v>422</v>
      </c>
      <c r="I274" s="65" t="s">
        <v>2196</v>
      </c>
      <c r="J274" s="102"/>
      <c r="K274" s="102"/>
      <c r="L274" s="102"/>
      <c r="M274" s="102" t="s">
        <v>25</v>
      </c>
      <c r="N274" s="91"/>
    </row>
    <row r="275" spans="2:14" ht="51" x14ac:dyDescent="0.3">
      <c r="B275" s="142">
        <v>272</v>
      </c>
      <c r="C275" s="75" t="s">
        <v>2270</v>
      </c>
      <c r="D275" s="143" t="s">
        <v>2271</v>
      </c>
      <c r="E275" s="76">
        <v>45657</v>
      </c>
      <c r="F275" s="144">
        <v>4553700</v>
      </c>
      <c r="G275" s="77" t="s">
        <v>2272</v>
      </c>
      <c r="H275" s="145" t="s">
        <v>422</v>
      </c>
      <c r="I275" s="65" t="s">
        <v>2273</v>
      </c>
      <c r="J275" s="102"/>
      <c r="K275" s="102"/>
      <c r="L275" s="102"/>
      <c r="M275" s="102"/>
      <c r="N275" s="91"/>
    </row>
    <row r="276" spans="2:14" ht="25.5" x14ac:dyDescent="0.3">
      <c r="B276" s="142">
        <v>273</v>
      </c>
      <c r="C276" s="75" t="s">
        <v>2274</v>
      </c>
      <c r="D276" s="99" t="s">
        <v>2275</v>
      </c>
      <c r="E276" s="76">
        <v>45657</v>
      </c>
      <c r="F276" s="100">
        <v>1503500</v>
      </c>
      <c r="G276" s="77" t="s">
        <v>2272</v>
      </c>
      <c r="H276" s="101" t="s">
        <v>422</v>
      </c>
      <c r="I276" s="65" t="s">
        <v>2276</v>
      </c>
      <c r="J276" s="102"/>
      <c r="K276" s="102"/>
      <c r="L276" s="102"/>
      <c r="M276" s="102"/>
      <c r="N276" s="91"/>
    </row>
    <row r="277" spans="2:14" ht="27" x14ac:dyDescent="0.3">
      <c r="B277" s="142">
        <v>274</v>
      </c>
      <c r="C277" s="75" t="s">
        <v>2277</v>
      </c>
      <c r="D277" s="99" t="s">
        <v>2278</v>
      </c>
      <c r="E277" s="76">
        <v>45657</v>
      </c>
      <c r="F277" s="100">
        <v>1675700</v>
      </c>
      <c r="G277" s="77" t="s">
        <v>2279</v>
      </c>
      <c r="H277" s="101" t="s">
        <v>422</v>
      </c>
      <c r="I277" s="65" t="s">
        <v>2280</v>
      </c>
      <c r="J277" s="102"/>
      <c r="K277" s="102"/>
      <c r="L277" s="102"/>
      <c r="M277" s="102" t="s">
        <v>25</v>
      </c>
      <c r="N277" s="91"/>
    </row>
    <row r="278" spans="2:14" ht="27" x14ac:dyDescent="0.3">
      <c r="B278" s="142">
        <v>275</v>
      </c>
      <c r="C278" s="75" t="s">
        <v>2281</v>
      </c>
      <c r="D278" s="99" t="s">
        <v>2282</v>
      </c>
      <c r="E278" s="76">
        <v>45657</v>
      </c>
      <c r="F278" s="100">
        <v>1636300</v>
      </c>
      <c r="G278" s="77" t="s">
        <v>2279</v>
      </c>
      <c r="H278" s="101" t="s">
        <v>422</v>
      </c>
      <c r="I278" s="65" t="s">
        <v>2280</v>
      </c>
      <c r="J278" s="102"/>
      <c r="K278" s="102"/>
      <c r="L278" s="102"/>
      <c r="M278" s="102" t="s">
        <v>25</v>
      </c>
      <c r="N278" s="91"/>
    </row>
    <row r="279" spans="2:14" x14ac:dyDescent="0.3">
      <c r="B279" s="142">
        <v>276</v>
      </c>
      <c r="C279" s="75" t="s">
        <v>2283</v>
      </c>
      <c r="D279" s="143" t="s">
        <v>2284</v>
      </c>
      <c r="E279" s="76">
        <v>45657</v>
      </c>
      <c r="F279" s="144">
        <v>2047000</v>
      </c>
      <c r="G279" s="77" t="s">
        <v>1527</v>
      </c>
      <c r="H279" s="145" t="s">
        <v>422</v>
      </c>
      <c r="I279" s="65" t="s">
        <v>1527</v>
      </c>
      <c r="J279" s="102"/>
      <c r="K279" s="102"/>
      <c r="L279" s="102"/>
      <c r="M279" s="102"/>
      <c r="N279" s="91"/>
    </row>
    <row r="280" spans="2:14" ht="25.5" x14ac:dyDescent="0.3">
      <c r="B280" s="142">
        <v>277</v>
      </c>
      <c r="C280" s="75" t="s">
        <v>2285</v>
      </c>
      <c r="D280" s="143" t="s">
        <v>2286</v>
      </c>
      <c r="E280" s="76">
        <v>45657</v>
      </c>
      <c r="F280" s="144">
        <v>764800</v>
      </c>
      <c r="G280" s="77" t="s">
        <v>1527</v>
      </c>
      <c r="H280" s="145" t="s">
        <v>422</v>
      </c>
      <c r="I280" s="65" t="s">
        <v>2287</v>
      </c>
      <c r="J280" s="102"/>
      <c r="K280" s="102"/>
      <c r="L280" s="102"/>
      <c r="M280" s="102"/>
      <c r="N280" s="91"/>
    </row>
    <row r="281" spans="2:14" ht="25.5" x14ac:dyDescent="0.3">
      <c r="B281" s="142">
        <v>278</v>
      </c>
      <c r="C281" s="75" t="s">
        <v>2288</v>
      </c>
      <c r="D281" s="143" t="s">
        <v>2289</v>
      </c>
      <c r="E281" s="76">
        <v>45657</v>
      </c>
      <c r="F281" s="144">
        <v>764800</v>
      </c>
      <c r="G281" s="77" t="s">
        <v>1527</v>
      </c>
      <c r="H281" s="145" t="s">
        <v>422</v>
      </c>
      <c r="I281" s="65" t="s">
        <v>2287</v>
      </c>
      <c r="J281" s="102"/>
      <c r="K281" s="102"/>
      <c r="L281" s="102"/>
      <c r="M281" s="102"/>
      <c r="N281" s="91"/>
    </row>
    <row r="282" spans="2:14" ht="25.5" x14ac:dyDescent="0.3">
      <c r="B282" s="142">
        <v>279</v>
      </c>
      <c r="C282" s="75" t="s">
        <v>2290</v>
      </c>
      <c r="D282" s="143" t="s">
        <v>2291</v>
      </c>
      <c r="E282" s="76">
        <v>45657</v>
      </c>
      <c r="F282" s="144">
        <v>2039300</v>
      </c>
      <c r="G282" s="77" t="s">
        <v>1527</v>
      </c>
      <c r="H282" s="145" t="s">
        <v>422</v>
      </c>
      <c r="I282" s="65" t="s">
        <v>2287</v>
      </c>
      <c r="J282" s="102"/>
      <c r="K282" s="102"/>
      <c r="L282" s="102"/>
      <c r="M282" s="102"/>
      <c r="N282" s="91"/>
    </row>
    <row r="283" spans="2:14" ht="25.5" x14ac:dyDescent="0.3">
      <c r="B283" s="142">
        <v>280</v>
      </c>
      <c r="C283" s="75" t="s">
        <v>2292</v>
      </c>
      <c r="D283" s="143" t="s">
        <v>2293</v>
      </c>
      <c r="E283" s="76">
        <v>45657</v>
      </c>
      <c r="F283" s="144">
        <v>2039300</v>
      </c>
      <c r="G283" s="77" t="s">
        <v>1527</v>
      </c>
      <c r="H283" s="145" t="s">
        <v>422</v>
      </c>
      <c r="I283" s="65" t="s">
        <v>2287</v>
      </c>
      <c r="J283" s="102"/>
      <c r="K283" s="102"/>
      <c r="L283" s="102"/>
      <c r="M283" s="102"/>
      <c r="N283" s="91"/>
    </row>
    <row r="284" spans="2:14" x14ac:dyDescent="0.3">
      <c r="B284" s="142">
        <v>281</v>
      </c>
      <c r="C284" s="75" t="s">
        <v>1745</v>
      </c>
      <c r="D284" s="143" t="s">
        <v>2294</v>
      </c>
      <c r="E284" s="76">
        <v>45657</v>
      </c>
      <c r="F284" s="144">
        <v>764800</v>
      </c>
      <c r="G284" s="77" t="s">
        <v>1527</v>
      </c>
      <c r="H284" s="145" t="s">
        <v>422</v>
      </c>
      <c r="I284" s="65" t="s">
        <v>2287</v>
      </c>
      <c r="J284" s="102"/>
      <c r="K284" s="102"/>
      <c r="L284" s="102"/>
      <c r="M284" s="102" t="s">
        <v>25</v>
      </c>
      <c r="N284" s="91" t="s">
        <v>2295</v>
      </c>
    </row>
    <row r="285" spans="2:14" ht="25.5" x14ac:dyDescent="0.3">
      <c r="B285" s="142">
        <v>282</v>
      </c>
      <c r="C285" s="75" t="s">
        <v>2292</v>
      </c>
      <c r="D285" s="143" t="s">
        <v>2296</v>
      </c>
      <c r="E285" s="76">
        <v>45657</v>
      </c>
      <c r="F285" s="144">
        <v>2039300</v>
      </c>
      <c r="G285" s="77" t="s">
        <v>1527</v>
      </c>
      <c r="H285" s="145" t="s">
        <v>422</v>
      </c>
      <c r="I285" s="65" t="s">
        <v>2287</v>
      </c>
      <c r="J285" s="102"/>
      <c r="K285" s="102"/>
      <c r="L285" s="102"/>
      <c r="M285" s="102"/>
      <c r="N285" s="91"/>
    </row>
    <row r="286" spans="2:14" x14ac:dyDescent="0.3">
      <c r="B286" s="142">
        <v>283</v>
      </c>
      <c r="C286" s="75" t="s">
        <v>2297</v>
      </c>
      <c r="D286" s="143" t="s">
        <v>2298</v>
      </c>
      <c r="E286" s="76">
        <v>45657</v>
      </c>
      <c r="F286" s="144">
        <v>764800</v>
      </c>
      <c r="G286" s="77" t="s">
        <v>1527</v>
      </c>
      <c r="H286" s="145" t="s">
        <v>422</v>
      </c>
      <c r="I286" s="65" t="s">
        <v>2287</v>
      </c>
      <c r="J286" s="102"/>
      <c r="K286" s="102"/>
      <c r="L286" s="102"/>
      <c r="M286" s="102"/>
      <c r="N286" s="91"/>
    </row>
    <row r="287" spans="2:14" ht="18" customHeight="1" x14ac:dyDescent="0.3">
      <c r="B287" s="212" t="s">
        <v>2</v>
      </c>
      <c r="C287" s="216" t="s">
        <v>799</v>
      </c>
      <c r="D287" s="212" t="s">
        <v>800</v>
      </c>
      <c r="E287" s="229" t="s">
        <v>7</v>
      </c>
      <c r="F287" s="212" t="s">
        <v>8</v>
      </c>
      <c r="G287" s="229" t="s">
        <v>9</v>
      </c>
      <c r="H287" s="212" t="s">
        <v>11</v>
      </c>
      <c r="I287" s="212"/>
      <c r="J287" s="213" t="s">
        <v>12</v>
      </c>
      <c r="K287" s="213"/>
      <c r="L287" s="213"/>
      <c r="M287" s="212" t="s">
        <v>1636</v>
      </c>
      <c r="N287" s="230" t="s">
        <v>6</v>
      </c>
    </row>
    <row r="288" spans="2:14" ht="27" x14ac:dyDescent="0.3">
      <c r="B288" s="212"/>
      <c r="C288" s="216"/>
      <c r="D288" s="212"/>
      <c r="E288" s="229"/>
      <c r="F288" s="212"/>
      <c r="G288" s="229"/>
      <c r="H288" s="212"/>
      <c r="I288" s="212"/>
      <c r="J288" s="109" t="s">
        <v>15</v>
      </c>
      <c r="K288" s="109" t="s">
        <v>16</v>
      </c>
      <c r="L288" s="109" t="s">
        <v>17</v>
      </c>
      <c r="M288" s="212"/>
      <c r="N288" s="230"/>
    </row>
    <row r="289" spans="2:14" x14ac:dyDescent="0.3">
      <c r="B289" s="142">
        <v>284</v>
      </c>
      <c r="C289" s="75" t="s">
        <v>2299</v>
      </c>
      <c r="D289" s="143" t="s">
        <v>2300</v>
      </c>
      <c r="E289" s="76">
        <v>45657</v>
      </c>
      <c r="F289" s="144">
        <v>1116300</v>
      </c>
      <c r="G289" s="147" t="s">
        <v>811</v>
      </c>
      <c r="H289" s="145" t="s">
        <v>422</v>
      </c>
      <c r="I289" s="145" t="s">
        <v>811</v>
      </c>
      <c r="J289" s="102"/>
      <c r="K289" s="102"/>
      <c r="L289" s="102"/>
      <c r="M289" s="102"/>
      <c r="N289" s="91"/>
    </row>
    <row r="290" spans="2:14" x14ac:dyDescent="0.3">
      <c r="B290" s="142">
        <v>285</v>
      </c>
      <c r="C290" s="75" t="s">
        <v>2301</v>
      </c>
      <c r="D290" s="143" t="s">
        <v>2302</v>
      </c>
      <c r="E290" s="76">
        <v>45657</v>
      </c>
      <c r="F290" s="144">
        <v>1395400</v>
      </c>
      <c r="G290" s="147" t="s">
        <v>811</v>
      </c>
      <c r="H290" s="145" t="s">
        <v>422</v>
      </c>
      <c r="I290" s="145" t="s">
        <v>811</v>
      </c>
      <c r="J290" s="102"/>
      <c r="K290" s="102"/>
      <c r="L290" s="102"/>
      <c r="M290" s="102"/>
      <c r="N290" s="91"/>
    </row>
    <row r="291" spans="2:14" x14ac:dyDescent="0.3">
      <c r="B291" s="142">
        <v>286</v>
      </c>
      <c r="C291" s="75" t="s">
        <v>2303</v>
      </c>
      <c r="D291" s="143" t="s">
        <v>2304</v>
      </c>
      <c r="E291" s="76">
        <v>45657</v>
      </c>
      <c r="F291" s="144">
        <v>1085300</v>
      </c>
      <c r="G291" s="147" t="s">
        <v>811</v>
      </c>
      <c r="H291" s="145" t="s">
        <v>422</v>
      </c>
      <c r="I291" s="145" t="s">
        <v>811</v>
      </c>
      <c r="J291" s="102"/>
      <c r="K291" s="102"/>
      <c r="L291" s="102"/>
      <c r="M291" s="102"/>
      <c r="N291" s="91"/>
    </row>
    <row r="292" spans="2:14" ht="38.25" x14ac:dyDescent="0.3">
      <c r="B292" s="142">
        <v>287</v>
      </c>
      <c r="C292" s="75" t="s">
        <v>2305</v>
      </c>
      <c r="D292" s="143" t="s">
        <v>2306</v>
      </c>
      <c r="E292" s="76">
        <v>45657</v>
      </c>
      <c r="F292" s="144">
        <v>1488500</v>
      </c>
      <c r="G292" s="147" t="s">
        <v>811</v>
      </c>
      <c r="H292" s="145" t="s">
        <v>422</v>
      </c>
      <c r="I292" s="145" t="s">
        <v>811</v>
      </c>
      <c r="J292" s="102"/>
      <c r="K292" s="102"/>
      <c r="L292" s="102"/>
      <c r="M292" s="102"/>
      <c r="N292" s="91"/>
    </row>
    <row r="293" spans="2:14" x14ac:dyDescent="0.3">
      <c r="B293" s="142">
        <v>288</v>
      </c>
      <c r="C293" s="75" t="s">
        <v>2307</v>
      </c>
      <c r="D293" s="143" t="s">
        <v>2308</v>
      </c>
      <c r="E293" s="76">
        <v>45657</v>
      </c>
      <c r="F293" s="144">
        <v>9106000</v>
      </c>
      <c r="G293" s="147" t="s">
        <v>811</v>
      </c>
      <c r="H293" s="145" t="s">
        <v>422</v>
      </c>
      <c r="I293" s="145" t="s">
        <v>811</v>
      </c>
      <c r="J293" s="102"/>
      <c r="K293" s="102"/>
      <c r="L293" s="102"/>
      <c r="M293" s="102"/>
      <c r="N293" s="91"/>
    </row>
    <row r="294" spans="2:14" x14ac:dyDescent="0.3">
      <c r="B294" s="142">
        <v>289</v>
      </c>
      <c r="C294" s="75" t="s">
        <v>2309</v>
      </c>
      <c r="D294" s="99" t="s">
        <v>2310</v>
      </c>
      <c r="E294" s="76">
        <v>45657</v>
      </c>
      <c r="F294" s="100">
        <v>1616100</v>
      </c>
      <c r="G294" s="147" t="s">
        <v>811</v>
      </c>
      <c r="H294" s="101" t="s">
        <v>422</v>
      </c>
      <c r="I294" s="145" t="s">
        <v>811</v>
      </c>
      <c r="J294" s="102"/>
      <c r="K294" s="102"/>
      <c r="L294" s="102"/>
      <c r="M294" s="102"/>
      <c r="N294" s="91"/>
    </row>
    <row r="295" spans="2:14" ht="25.5" x14ac:dyDescent="0.3">
      <c r="B295" s="142">
        <v>290</v>
      </c>
      <c r="C295" s="75" t="s">
        <v>2311</v>
      </c>
      <c r="D295" s="99" t="s">
        <v>2312</v>
      </c>
      <c r="E295" s="76">
        <v>45657</v>
      </c>
      <c r="F295" s="100">
        <v>1819100</v>
      </c>
      <c r="G295" s="147" t="s">
        <v>811</v>
      </c>
      <c r="H295" s="101" t="s">
        <v>422</v>
      </c>
      <c r="I295" s="145" t="s">
        <v>811</v>
      </c>
      <c r="J295" s="102"/>
      <c r="K295" s="102"/>
      <c r="L295" s="102"/>
      <c r="M295" s="102"/>
      <c r="N295" s="91"/>
    </row>
    <row r="296" spans="2:14" x14ac:dyDescent="0.3">
      <c r="B296" s="142">
        <v>291</v>
      </c>
      <c r="C296" s="75" t="s">
        <v>916</v>
      </c>
      <c r="D296" s="99" t="s">
        <v>2313</v>
      </c>
      <c r="E296" s="76">
        <v>45657</v>
      </c>
      <c r="F296" s="100">
        <v>3981600</v>
      </c>
      <c r="G296" s="147" t="s">
        <v>811</v>
      </c>
      <c r="H296" s="101" t="s">
        <v>422</v>
      </c>
      <c r="I296" s="145" t="s">
        <v>811</v>
      </c>
      <c r="J296" s="102"/>
      <c r="K296" s="102"/>
      <c r="L296" s="102"/>
      <c r="M296" s="102"/>
      <c r="N296" s="91"/>
    </row>
    <row r="297" spans="2:14" x14ac:dyDescent="0.3">
      <c r="B297" s="142">
        <v>292</v>
      </c>
      <c r="C297" s="75" t="s">
        <v>2309</v>
      </c>
      <c r="D297" s="99" t="s">
        <v>2314</v>
      </c>
      <c r="E297" s="76">
        <v>45657</v>
      </c>
      <c r="F297" s="100">
        <v>1497100</v>
      </c>
      <c r="G297" s="147" t="s">
        <v>811</v>
      </c>
      <c r="H297" s="101" t="s">
        <v>422</v>
      </c>
      <c r="I297" s="145" t="s">
        <v>811</v>
      </c>
      <c r="J297" s="102"/>
      <c r="K297" s="102"/>
      <c r="L297" s="102"/>
      <c r="M297" s="102"/>
      <c r="N297" s="91"/>
    </row>
    <row r="298" spans="2:14" ht="25.5" x14ac:dyDescent="0.3">
      <c r="B298" s="142">
        <v>293</v>
      </c>
      <c r="C298" s="75" t="s">
        <v>2315</v>
      </c>
      <c r="D298" s="99" t="s">
        <v>2316</v>
      </c>
      <c r="E298" s="76">
        <v>45657</v>
      </c>
      <c r="F298" s="100">
        <v>957400</v>
      </c>
      <c r="G298" s="147" t="s">
        <v>811</v>
      </c>
      <c r="H298" s="101" t="s">
        <v>422</v>
      </c>
      <c r="I298" s="145" t="s">
        <v>811</v>
      </c>
      <c r="J298" s="102"/>
      <c r="K298" s="102"/>
      <c r="L298" s="102"/>
      <c r="M298" s="102"/>
      <c r="N298" s="91"/>
    </row>
    <row r="299" spans="2:14" ht="26.25" customHeight="1" x14ac:dyDescent="0.3">
      <c r="B299" s="142">
        <v>294</v>
      </c>
      <c r="C299" s="75" t="s">
        <v>2317</v>
      </c>
      <c r="D299" s="99" t="s">
        <v>2318</v>
      </c>
      <c r="E299" s="76">
        <v>45657</v>
      </c>
      <c r="F299" s="100">
        <v>143134600</v>
      </c>
      <c r="G299" s="147" t="s">
        <v>811</v>
      </c>
      <c r="H299" s="101" t="s">
        <v>422</v>
      </c>
      <c r="I299" s="145" t="s">
        <v>811</v>
      </c>
      <c r="J299" s="102"/>
      <c r="K299" s="102"/>
      <c r="L299" s="102"/>
      <c r="M299" s="102"/>
      <c r="N299" s="91"/>
    </row>
    <row r="300" spans="2:14" ht="25.5" x14ac:dyDescent="0.3">
      <c r="B300" s="142">
        <v>295</v>
      </c>
      <c r="C300" s="75" t="s">
        <v>2319</v>
      </c>
      <c r="D300" s="99" t="s">
        <v>2320</v>
      </c>
      <c r="E300" s="76">
        <v>45657</v>
      </c>
      <c r="F300" s="100">
        <v>4537900</v>
      </c>
      <c r="G300" s="147" t="s">
        <v>811</v>
      </c>
      <c r="H300" s="101" t="s">
        <v>422</v>
      </c>
      <c r="I300" s="145" t="s">
        <v>811</v>
      </c>
      <c r="J300" s="102"/>
      <c r="K300" s="102"/>
      <c r="L300" s="102"/>
      <c r="M300" s="102"/>
      <c r="N300" s="91"/>
    </row>
    <row r="301" spans="2:14" ht="25.5" x14ac:dyDescent="0.3">
      <c r="B301" s="142">
        <v>296</v>
      </c>
      <c r="C301" s="75" t="s">
        <v>1731</v>
      </c>
      <c r="D301" s="99" t="s">
        <v>2321</v>
      </c>
      <c r="E301" s="76">
        <v>45657</v>
      </c>
      <c r="F301" s="100">
        <v>7672000</v>
      </c>
      <c r="G301" s="147" t="s">
        <v>811</v>
      </c>
      <c r="H301" s="101" t="s">
        <v>422</v>
      </c>
      <c r="I301" s="145" t="s">
        <v>811</v>
      </c>
      <c r="J301" s="102"/>
      <c r="K301" s="102"/>
      <c r="L301" s="102"/>
      <c r="M301" s="102" t="s">
        <v>124</v>
      </c>
      <c r="N301" s="91"/>
    </row>
    <row r="302" spans="2:14" x14ac:dyDescent="0.3">
      <c r="B302" s="142">
        <v>297</v>
      </c>
      <c r="C302" s="75" t="s">
        <v>352</v>
      </c>
      <c r="D302" s="99" t="s">
        <v>2322</v>
      </c>
      <c r="E302" s="76">
        <v>45657</v>
      </c>
      <c r="F302" s="100">
        <v>91625300</v>
      </c>
      <c r="G302" s="147" t="s">
        <v>811</v>
      </c>
      <c r="H302" s="101" t="s">
        <v>422</v>
      </c>
      <c r="I302" s="145" t="s">
        <v>811</v>
      </c>
      <c r="J302" s="102"/>
      <c r="K302" s="102"/>
      <c r="L302" s="102"/>
      <c r="M302" s="102"/>
      <c r="N302" s="91"/>
    </row>
    <row r="303" spans="2:14" x14ac:dyDescent="0.3">
      <c r="B303" s="142">
        <v>298</v>
      </c>
      <c r="C303" s="75" t="s">
        <v>352</v>
      </c>
      <c r="D303" s="99" t="s">
        <v>2323</v>
      </c>
      <c r="E303" s="76">
        <v>45657</v>
      </c>
      <c r="F303" s="100">
        <v>91625300</v>
      </c>
      <c r="G303" s="147" t="s">
        <v>811</v>
      </c>
      <c r="H303" s="101" t="s">
        <v>422</v>
      </c>
      <c r="I303" s="145" t="s">
        <v>811</v>
      </c>
      <c r="J303" s="102"/>
      <c r="K303" s="102"/>
      <c r="L303" s="102"/>
      <c r="M303" s="102"/>
      <c r="N303" s="91"/>
    </row>
    <row r="304" spans="2:14" ht="25.5" x14ac:dyDescent="0.3">
      <c r="B304" s="142">
        <v>299</v>
      </c>
      <c r="C304" s="75" t="s">
        <v>2324</v>
      </c>
      <c r="D304" s="99" t="s">
        <v>2325</v>
      </c>
      <c r="E304" s="76">
        <v>45657</v>
      </c>
      <c r="F304" s="100">
        <v>76725000</v>
      </c>
      <c r="G304" s="147" t="s">
        <v>811</v>
      </c>
      <c r="H304" s="101" t="s">
        <v>422</v>
      </c>
      <c r="I304" s="145" t="s">
        <v>811</v>
      </c>
      <c r="J304" s="102"/>
      <c r="K304" s="102"/>
      <c r="L304" s="102"/>
      <c r="M304" s="102"/>
      <c r="N304" s="91"/>
    </row>
    <row r="305" spans="2:14" x14ac:dyDescent="0.3">
      <c r="B305" s="142">
        <v>300</v>
      </c>
      <c r="C305" s="75" t="s">
        <v>2326</v>
      </c>
      <c r="D305" s="99" t="s">
        <v>2327</v>
      </c>
      <c r="E305" s="76">
        <v>45657</v>
      </c>
      <c r="F305" s="100">
        <v>22340200</v>
      </c>
      <c r="G305" s="147" t="s">
        <v>811</v>
      </c>
      <c r="H305" s="101" t="s">
        <v>422</v>
      </c>
      <c r="I305" s="145" t="s">
        <v>811</v>
      </c>
      <c r="J305" s="102"/>
      <c r="K305" s="102"/>
      <c r="L305" s="102"/>
      <c r="M305" s="102"/>
      <c r="N305" s="91"/>
    </row>
    <row r="306" spans="2:14" ht="38.25" x14ac:dyDescent="0.3">
      <c r="B306" s="142">
        <v>301</v>
      </c>
      <c r="C306" s="75" t="s">
        <v>2328</v>
      </c>
      <c r="D306" s="99" t="s">
        <v>2329</v>
      </c>
      <c r="E306" s="76">
        <v>45657</v>
      </c>
      <c r="F306" s="100">
        <v>2883000</v>
      </c>
      <c r="G306" s="147" t="s">
        <v>811</v>
      </c>
      <c r="H306" s="101" t="s">
        <v>422</v>
      </c>
      <c r="I306" s="145" t="s">
        <v>811</v>
      </c>
      <c r="J306" s="102"/>
      <c r="K306" s="102"/>
      <c r="L306" s="102"/>
      <c r="M306" s="102"/>
      <c r="N306" s="91"/>
    </row>
    <row r="307" spans="2:14" ht="25.5" x14ac:dyDescent="0.3">
      <c r="B307" s="142">
        <v>302</v>
      </c>
      <c r="C307" s="75" t="s">
        <v>2330</v>
      </c>
      <c r="D307" s="99" t="s">
        <v>2331</v>
      </c>
      <c r="E307" s="76">
        <v>45657</v>
      </c>
      <c r="F307" s="100">
        <v>659000</v>
      </c>
      <c r="G307" s="77" t="s">
        <v>811</v>
      </c>
      <c r="H307" s="101" t="s">
        <v>422</v>
      </c>
      <c r="I307" s="65" t="s">
        <v>811</v>
      </c>
      <c r="J307" s="102"/>
      <c r="K307" s="102"/>
      <c r="L307" s="102"/>
      <c r="M307" s="102"/>
      <c r="N307" s="91"/>
    </row>
    <row r="308" spans="2:14" ht="27" x14ac:dyDescent="0.3">
      <c r="B308" s="142">
        <v>303</v>
      </c>
      <c r="C308" s="75" t="s">
        <v>2332</v>
      </c>
      <c r="D308" s="143" t="s">
        <v>2333</v>
      </c>
      <c r="E308" s="76">
        <v>45657</v>
      </c>
      <c r="F308" s="144">
        <v>15256700</v>
      </c>
      <c r="G308" s="77" t="s">
        <v>2334</v>
      </c>
      <c r="H308" s="145" t="s">
        <v>422</v>
      </c>
      <c r="I308" s="65" t="s">
        <v>1811</v>
      </c>
      <c r="J308" s="102"/>
      <c r="K308" s="102"/>
      <c r="L308" s="102"/>
      <c r="M308" s="102"/>
      <c r="N308" s="91"/>
    </row>
    <row r="309" spans="2:14" ht="38.25" x14ac:dyDescent="0.3">
      <c r="B309" s="142">
        <v>304</v>
      </c>
      <c r="C309" s="80" t="s">
        <v>2335</v>
      </c>
      <c r="D309" s="148" t="s">
        <v>2336</v>
      </c>
      <c r="E309" s="81">
        <v>45657</v>
      </c>
      <c r="F309" s="149">
        <v>5581700</v>
      </c>
      <c r="G309" s="82" t="s">
        <v>2337</v>
      </c>
      <c r="H309" s="150" t="s">
        <v>422</v>
      </c>
      <c r="I309" s="83" t="s">
        <v>2337</v>
      </c>
      <c r="J309" s="102"/>
      <c r="K309" s="102"/>
      <c r="L309" s="102"/>
      <c r="M309" s="102"/>
      <c r="N309" s="91"/>
    </row>
    <row r="310" spans="2:14" ht="27" x14ac:dyDescent="0.3">
      <c r="B310" s="142">
        <v>305</v>
      </c>
      <c r="C310" s="75" t="s">
        <v>2338</v>
      </c>
      <c r="D310" s="99" t="s">
        <v>2339</v>
      </c>
      <c r="E310" s="76">
        <v>45657</v>
      </c>
      <c r="F310" s="100">
        <v>1071300</v>
      </c>
      <c r="G310" s="77" t="s">
        <v>2340</v>
      </c>
      <c r="H310" s="101" t="s">
        <v>422</v>
      </c>
      <c r="I310" s="65" t="s">
        <v>2340</v>
      </c>
      <c r="J310" s="102"/>
      <c r="K310" s="102"/>
      <c r="L310" s="102"/>
      <c r="M310" s="102"/>
      <c r="N310" s="91"/>
    </row>
    <row r="311" spans="2:14" ht="27" x14ac:dyDescent="0.3">
      <c r="B311" s="142">
        <v>306</v>
      </c>
      <c r="C311" s="75" t="s">
        <v>2341</v>
      </c>
      <c r="D311" s="143" t="s">
        <v>2342</v>
      </c>
      <c r="E311" s="76">
        <v>45657</v>
      </c>
      <c r="F311" s="144">
        <v>13092400</v>
      </c>
      <c r="G311" s="77" t="s">
        <v>2343</v>
      </c>
      <c r="H311" s="145" t="s">
        <v>422</v>
      </c>
      <c r="I311" s="65" t="s">
        <v>2343</v>
      </c>
      <c r="J311" s="102"/>
      <c r="K311" s="102"/>
      <c r="L311" s="102"/>
      <c r="M311" s="102"/>
      <c r="N311" s="91"/>
    </row>
    <row r="312" spans="2:14" ht="38.25" x14ac:dyDescent="0.3">
      <c r="B312" s="142">
        <v>307</v>
      </c>
      <c r="C312" s="75" t="s">
        <v>2344</v>
      </c>
      <c r="D312" s="143" t="s">
        <v>2345</v>
      </c>
      <c r="E312" s="76">
        <v>45657</v>
      </c>
      <c r="F312" s="144">
        <v>839900</v>
      </c>
      <c r="G312" s="77" t="s">
        <v>2346</v>
      </c>
      <c r="H312" s="145" t="s">
        <v>422</v>
      </c>
      <c r="I312" s="65" t="s">
        <v>2346</v>
      </c>
      <c r="J312" s="102"/>
      <c r="K312" s="102"/>
      <c r="L312" s="102"/>
      <c r="M312" s="102"/>
      <c r="N312" s="91"/>
    </row>
    <row r="313" spans="2:14" ht="38.25" x14ac:dyDescent="0.3">
      <c r="B313" s="142">
        <v>308</v>
      </c>
      <c r="C313" s="75" t="s">
        <v>2344</v>
      </c>
      <c r="D313" s="143" t="s">
        <v>2345</v>
      </c>
      <c r="E313" s="76">
        <v>45657</v>
      </c>
      <c r="F313" s="144">
        <v>839900</v>
      </c>
      <c r="G313" s="77" t="s">
        <v>2346</v>
      </c>
      <c r="H313" s="145" t="s">
        <v>422</v>
      </c>
      <c r="I313" s="65" t="s">
        <v>2346</v>
      </c>
      <c r="J313" s="102"/>
      <c r="K313" s="102"/>
      <c r="L313" s="102"/>
      <c r="M313" s="102"/>
      <c r="N313" s="91"/>
    </row>
    <row r="314" spans="2:14" ht="25.5" x14ac:dyDescent="0.3">
      <c r="B314" s="142">
        <v>309</v>
      </c>
      <c r="C314" s="80" t="s">
        <v>2347</v>
      </c>
      <c r="D314" s="148" t="s">
        <v>2348</v>
      </c>
      <c r="E314" s="81">
        <v>45657</v>
      </c>
      <c r="F314" s="149">
        <v>1247400</v>
      </c>
      <c r="G314" s="82" t="s">
        <v>2287</v>
      </c>
      <c r="H314" s="150" t="s">
        <v>422</v>
      </c>
      <c r="I314" s="83" t="s">
        <v>2287</v>
      </c>
      <c r="J314" s="102"/>
      <c r="K314" s="102"/>
      <c r="L314" s="102"/>
      <c r="M314" s="102"/>
      <c r="N314" s="91"/>
    </row>
    <row r="315" spans="2:14" ht="38.25" x14ac:dyDescent="0.3">
      <c r="B315" s="142">
        <v>310</v>
      </c>
      <c r="C315" s="80" t="s">
        <v>2349</v>
      </c>
      <c r="D315" s="148" t="s">
        <v>2350</v>
      </c>
      <c r="E315" s="81">
        <v>45657</v>
      </c>
      <c r="F315" s="149">
        <v>3225000</v>
      </c>
      <c r="G315" s="82" t="s">
        <v>2351</v>
      </c>
      <c r="H315" s="150" t="s">
        <v>422</v>
      </c>
      <c r="I315" s="83" t="s">
        <v>2351</v>
      </c>
      <c r="J315" s="102"/>
      <c r="K315" s="102"/>
      <c r="L315" s="102"/>
      <c r="M315" s="102"/>
      <c r="N315" s="91"/>
    </row>
    <row r="316" spans="2:14" ht="25.5" x14ac:dyDescent="0.3">
      <c r="B316" s="142">
        <v>311</v>
      </c>
      <c r="C316" s="80" t="s">
        <v>2352</v>
      </c>
      <c r="D316" s="148" t="s">
        <v>2353</v>
      </c>
      <c r="E316" s="81">
        <v>45657</v>
      </c>
      <c r="F316" s="149">
        <v>3385600</v>
      </c>
      <c r="G316" s="82" t="s">
        <v>1790</v>
      </c>
      <c r="H316" s="150" t="s">
        <v>422</v>
      </c>
      <c r="I316" s="83" t="s">
        <v>1790</v>
      </c>
      <c r="J316" s="102"/>
      <c r="K316" s="102"/>
      <c r="L316" s="102"/>
      <c r="M316" s="102"/>
      <c r="N316" s="91"/>
    </row>
    <row r="317" spans="2:14" x14ac:dyDescent="0.3">
      <c r="B317" s="142">
        <v>312</v>
      </c>
      <c r="C317" s="80" t="s">
        <v>2354</v>
      </c>
      <c r="D317" s="148" t="s">
        <v>2355</v>
      </c>
      <c r="E317" s="81">
        <v>45657</v>
      </c>
      <c r="F317" s="149">
        <v>1015600</v>
      </c>
      <c r="G317" s="82" t="s">
        <v>2356</v>
      </c>
      <c r="H317" s="150" t="s">
        <v>422</v>
      </c>
      <c r="I317" s="83" t="s">
        <v>2356</v>
      </c>
      <c r="J317" s="102"/>
      <c r="K317" s="102"/>
      <c r="L317" s="102"/>
      <c r="M317" s="102"/>
      <c r="N317" s="91"/>
    </row>
    <row r="318" spans="2:14" ht="25.5" x14ac:dyDescent="0.3">
      <c r="B318" s="142">
        <v>313</v>
      </c>
      <c r="C318" s="75" t="s">
        <v>2357</v>
      </c>
      <c r="D318" s="99" t="s">
        <v>2358</v>
      </c>
      <c r="E318" s="76">
        <v>45657</v>
      </c>
      <c r="F318" s="100">
        <v>17121500</v>
      </c>
      <c r="G318" s="151" t="s">
        <v>422</v>
      </c>
      <c r="H318" s="101" t="s">
        <v>422</v>
      </c>
      <c r="I318" s="101" t="s">
        <v>422</v>
      </c>
      <c r="J318" s="102"/>
      <c r="K318" s="102"/>
      <c r="L318" s="102"/>
      <c r="M318" s="102"/>
      <c r="N318" s="91"/>
    </row>
    <row r="319" spans="2:14" x14ac:dyDescent="0.3">
      <c r="B319" s="142">
        <v>314</v>
      </c>
      <c r="C319" s="75" t="s">
        <v>2359</v>
      </c>
      <c r="D319" s="99" t="s">
        <v>2360</v>
      </c>
      <c r="E319" s="76">
        <v>45657</v>
      </c>
      <c r="F319" s="100">
        <v>623972800</v>
      </c>
      <c r="G319" s="151" t="s">
        <v>422</v>
      </c>
      <c r="H319" s="101" t="s">
        <v>422</v>
      </c>
      <c r="I319" s="101" t="s">
        <v>422</v>
      </c>
      <c r="J319" s="102"/>
      <c r="K319" s="102"/>
      <c r="L319" s="102"/>
      <c r="M319" s="102"/>
      <c r="N319" s="91"/>
    </row>
    <row r="320" spans="2:14" x14ac:dyDescent="0.3">
      <c r="B320" s="142">
        <v>315</v>
      </c>
      <c r="C320" s="75" t="s">
        <v>2361</v>
      </c>
      <c r="D320" s="99" t="s">
        <v>2362</v>
      </c>
      <c r="E320" s="76">
        <v>45657</v>
      </c>
      <c r="F320" s="100">
        <v>802155900</v>
      </c>
      <c r="G320" s="151" t="s">
        <v>422</v>
      </c>
      <c r="H320" s="101" t="s">
        <v>422</v>
      </c>
      <c r="I320" s="101" t="s">
        <v>422</v>
      </c>
      <c r="J320" s="102"/>
      <c r="K320" s="102"/>
      <c r="L320" s="102"/>
      <c r="M320" s="102"/>
      <c r="N320" s="91"/>
    </row>
    <row r="321" spans="2:14" ht="25.5" x14ac:dyDescent="0.3">
      <c r="B321" s="142">
        <v>316</v>
      </c>
      <c r="C321" s="75" t="s">
        <v>2363</v>
      </c>
      <c r="D321" s="143" t="s">
        <v>2364</v>
      </c>
      <c r="E321" s="76">
        <v>45657</v>
      </c>
      <c r="F321" s="144">
        <v>3525300</v>
      </c>
      <c r="G321" s="77" t="s">
        <v>2365</v>
      </c>
      <c r="H321" s="145" t="s">
        <v>422</v>
      </c>
      <c r="I321" s="65" t="s">
        <v>2365</v>
      </c>
      <c r="J321" s="102"/>
      <c r="K321" s="102"/>
      <c r="L321" s="102"/>
      <c r="M321" s="102"/>
      <c r="N321" s="91"/>
    </row>
    <row r="322" spans="2:14" ht="25.5" x14ac:dyDescent="0.3">
      <c r="B322" s="142">
        <v>317</v>
      </c>
      <c r="C322" s="75" t="s">
        <v>2363</v>
      </c>
      <c r="D322" s="143" t="s">
        <v>2366</v>
      </c>
      <c r="E322" s="76">
        <v>45657</v>
      </c>
      <c r="F322" s="144">
        <v>24676900</v>
      </c>
      <c r="G322" s="77" t="s">
        <v>2365</v>
      </c>
      <c r="H322" s="145" t="s">
        <v>422</v>
      </c>
      <c r="I322" s="65" t="s">
        <v>2365</v>
      </c>
      <c r="J322" s="102"/>
      <c r="K322" s="102"/>
      <c r="L322" s="102"/>
      <c r="M322" s="102"/>
      <c r="N322" s="91"/>
    </row>
    <row r="323" spans="2:14" ht="25.5" x14ac:dyDescent="0.3">
      <c r="B323" s="142">
        <v>318</v>
      </c>
      <c r="C323" s="75" t="s">
        <v>2221</v>
      </c>
      <c r="D323" s="143" t="s">
        <v>2367</v>
      </c>
      <c r="E323" s="76">
        <v>45657</v>
      </c>
      <c r="F323" s="144">
        <v>1509400</v>
      </c>
      <c r="G323" s="77" t="s">
        <v>2368</v>
      </c>
      <c r="H323" s="145" t="s">
        <v>422</v>
      </c>
      <c r="I323" s="65" t="s">
        <v>2368</v>
      </c>
      <c r="J323" s="102"/>
      <c r="K323" s="102"/>
      <c r="L323" s="102"/>
      <c r="M323" s="102"/>
      <c r="N323" s="91"/>
    </row>
    <row r="324" spans="2:14" ht="25.5" x14ac:dyDescent="0.3">
      <c r="B324" s="142">
        <v>319</v>
      </c>
      <c r="C324" s="75" t="s">
        <v>2369</v>
      </c>
      <c r="D324" s="143" t="s">
        <v>2370</v>
      </c>
      <c r="E324" s="76">
        <v>45657</v>
      </c>
      <c r="F324" s="144">
        <v>18067100</v>
      </c>
      <c r="G324" s="77" t="s">
        <v>2371</v>
      </c>
      <c r="H324" s="145" t="s">
        <v>422</v>
      </c>
      <c r="I324" s="65" t="s">
        <v>2371</v>
      </c>
      <c r="J324" s="102"/>
      <c r="K324" s="102"/>
      <c r="L324" s="102"/>
      <c r="M324" s="102"/>
      <c r="N324" s="91"/>
    </row>
    <row r="325" spans="2:14" ht="38.25" x14ac:dyDescent="0.3">
      <c r="B325" s="142">
        <v>320</v>
      </c>
      <c r="C325" s="75" t="s">
        <v>2372</v>
      </c>
      <c r="D325" s="143" t="s">
        <v>2373</v>
      </c>
      <c r="E325" s="76">
        <v>45657</v>
      </c>
      <c r="F325" s="144">
        <v>8992800</v>
      </c>
      <c r="G325" s="77" t="s">
        <v>2159</v>
      </c>
      <c r="H325" s="145" t="s">
        <v>422</v>
      </c>
      <c r="I325" s="65" t="s">
        <v>2159</v>
      </c>
      <c r="J325" s="102"/>
      <c r="K325" s="102"/>
      <c r="L325" s="102"/>
      <c r="M325" s="102"/>
      <c r="N325" s="91"/>
    </row>
    <row r="326" spans="2:14" ht="25.5" x14ac:dyDescent="0.3">
      <c r="B326" s="142">
        <v>321</v>
      </c>
      <c r="C326" s="75" t="s">
        <v>2374</v>
      </c>
      <c r="D326" s="143" t="s">
        <v>2375</v>
      </c>
      <c r="E326" s="76">
        <v>45657</v>
      </c>
      <c r="F326" s="144">
        <v>930300</v>
      </c>
      <c r="G326" s="77" t="s">
        <v>1563</v>
      </c>
      <c r="H326" s="145" t="s">
        <v>422</v>
      </c>
      <c r="I326" s="65" t="s">
        <v>1563</v>
      </c>
      <c r="J326" s="102"/>
      <c r="K326" s="102"/>
      <c r="L326" s="102"/>
      <c r="M326" s="102"/>
      <c r="N326" s="91"/>
    </row>
    <row r="327" spans="2:14" ht="25.5" x14ac:dyDescent="0.3">
      <c r="B327" s="142">
        <v>322</v>
      </c>
      <c r="C327" s="75" t="s">
        <v>2376</v>
      </c>
      <c r="D327" s="143" t="s">
        <v>2377</v>
      </c>
      <c r="E327" s="76">
        <v>45657</v>
      </c>
      <c r="F327" s="144">
        <v>1310900</v>
      </c>
      <c r="G327" s="77" t="s">
        <v>1563</v>
      </c>
      <c r="H327" s="145" t="s">
        <v>422</v>
      </c>
      <c r="I327" s="65" t="s">
        <v>1563</v>
      </c>
      <c r="J327" s="102"/>
      <c r="K327" s="102"/>
      <c r="L327" s="102"/>
      <c r="M327" s="102"/>
      <c r="N327" s="91"/>
    </row>
    <row r="328" spans="2:14" ht="25.5" x14ac:dyDescent="0.3">
      <c r="B328" s="142">
        <v>323</v>
      </c>
      <c r="C328" s="75" t="s">
        <v>2378</v>
      </c>
      <c r="D328" s="143" t="s">
        <v>2379</v>
      </c>
      <c r="E328" s="76">
        <v>45657</v>
      </c>
      <c r="F328" s="144">
        <v>1383800</v>
      </c>
      <c r="G328" s="77" t="s">
        <v>1563</v>
      </c>
      <c r="H328" s="145" t="s">
        <v>422</v>
      </c>
      <c r="I328" s="65" t="s">
        <v>1563</v>
      </c>
      <c r="J328" s="102"/>
      <c r="K328" s="102"/>
      <c r="L328" s="102"/>
      <c r="M328" s="102"/>
      <c r="N328" s="91"/>
    </row>
    <row r="329" spans="2:14" ht="25.5" x14ac:dyDescent="0.3">
      <c r="B329" s="142">
        <v>324</v>
      </c>
      <c r="C329" s="75" t="s">
        <v>2380</v>
      </c>
      <c r="D329" s="143" t="s">
        <v>2381</v>
      </c>
      <c r="E329" s="76">
        <v>45657</v>
      </c>
      <c r="F329" s="144">
        <v>850100</v>
      </c>
      <c r="G329" s="77" t="s">
        <v>1563</v>
      </c>
      <c r="H329" s="145" t="s">
        <v>422</v>
      </c>
      <c r="I329" s="65" t="s">
        <v>1563</v>
      </c>
      <c r="J329" s="102"/>
      <c r="K329" s="102"/>
      <c r="L329" s="102"/>
      <c r="M329" s="102"/>
      <c r="N329" s="91"/>
    </row>
    <row r="330" spans="2:14" ht="38.25" x14ac:dyDescent="0.3">
      <c r="B330" s="142">
        <v>325</v>
      </c>
      <c r="C330" s="75" t="s">
        <v>2382</v>
      </c>
      <c r="D330" s="143" t="s">
        <v>2383</v>
      </c>
      <c r="E330" s="76">
        <v>45657</v>
      </c>
      <c r="F330" s="144">
        <v>1517300</v>
      </c>
      <c r="G330" s="77" t="s">
        <v>2384</v>
      </c>
      <c r="H330" s="145" t="s">
        <v>422</v>
      </c>
      <c r="I330" s="65" t="s">
        <v>2384</v>
      </c>
      <c r="J330" s="102"/>
      <c r="K330" s="102"/>
      <c r="L330" s="102"/>
      <c r="M330" s="102"/>
      <c r="N330" s="91"/>
    </row>
    <row r="331" spans="2:14" ht="25.5" x14ac:dyDescent="0.3">
      <c r="B331" s="142">
        <v>326</v>
      </c>
      <c r="C331" s="75" t="s">
        <v>2385</v>
      </c>
      <c r="D331" s="143" t="s">
        <v>2386</v>
      </c>
      <c r="E331" s="76">
        <v>45657</v>
      </c>
      <c r="F331" s="144">
        <v>1204700</v>
      </c>
      <c r="G331" s="77" t="s">
        <v>1563</v>
      </c>
      <c r="H331" s="145" t="s">
        <v>422</v>
      </c>
      <c r="I331" s="65" t="s">
        <v>1563</v>
      </c>
      <c r="J331" s="102"/>
      <c r="K331" s="102"/>
      <c r="L331" s="102"/>
      <c r="M331" s="102"/>
      <c r="N331" s="91"/>
    </row>
    <row r="332" spans="2:14" ht="25.5" x14ac:dyDescent="0.3">
      <c r="B332" s="142">
        <v>327</v>
      </c>
      <c r="C332" s="75" t="s">
        <v>2387</v>
      </c>
      <c r="D332" s="143" t="s">
        <v>2388</v>
      </c>
      <c r="E332" s="76">
        <v>45657</v>
      </c>
      <c r="F332" s="144">
        <v>1666100</v>
      </c>
      <c r="G332" s="77" t="s">
        <v>1563</v>
      </c>
      <c r="H332" s="145" t="s">
        <v>422</v>
      </c>
      <c r="I332" s="65" t="s">
        <v>1563</v>
      </c>
      <c r="J332" s="102"/>
      <c r="K332" s="102"/>
      <c r="L332" s="102"/>
      <c r="M332" s="102"/>
      <c r="N332" s="91"/>
    </row>
    <row r="333" spans="2:14" ht="25.5" x14ac:dyDescent="0.3">
      <c r="B333" s="142">
        <v>328</v>
      </c>
      <c r="C333" s="75" t="s">
        <v>2389</v>
      </c>
      <c r="D333" s="143" t="s">
        <v>2390</v>
      </c>
      <c r="E333" s="76">
        <v>45657</v>
      </c>
      <c r="F333" s="144">
        <v>888600</v>
      </c>
      <c r="G333" s="77" t="s">
        <v>1563</v>
      </c>
      <c r="H333" s="145" t="s">
        <v>422</v>
      </c>
      <c r="I333" s="65" t="s">
        <v>1563</v>
      </c>
      <c r="J333" s="102"/>
      <c r="K333" s="102"/>
      <c r="L333" s="102"/>
      <c r="M333" s="102"/>
      <c r="N333" s="91"/>
    </row>
    <row r="334" spans="2:14" ht="38.25" x14ac:dyDescent="0.3">
      <c r="B334" s="142">
        <v>329</v>
      </c>
      <c r="C334" s="75" t="s">
        <v>1567</v>
      </c>
      <c r="D334" s="143" t="s">
        <v>2391</v>
      </c>
      <c r="E334" s="76">
        <v>45657</v>
      </c>
      <c r="F334" s="144">
        <v>9330300</v>
      </c>
      <c r="G334" s="77" t="s">
        <v>2384</v>
      </c>
      <c r="H334" s="145" t="s">
        <v>422</v>
      </c>
      <c r="I334" s="65" t="s">
        <v>2384</v>
      </c>
      <c r="J334" s="102"/>
      <c r="K334" s="102"/>
      <c r="L334" s="102"/>
      <c r="M334" s="102"/>
      <c r="N334" s="91"/>
    </row>
    <row r="335" spans="2:14" ht="38.25" x14ac:dyDescent="0.3">
      <c r="B335" s="142">
        <v>330</v>
      </c>
      <c r="C335" s="75" t="s">
        <v>1567</v>
      </c>
      <c r="D335" s="143" t="s">
        <v>2392</v>
      </c>
      <c r="E335" s="76">
        <v>45657</v>
      </c>
      <c r="F335" s="144">
        <v>9330300</v>
      </c>
      <c r="G335" s="77" t="s">
        <v>2384</v>
      </c>
      <c r="H335" s="145" t="s">
        <v>422</v>
      </c>
      <c r="I335" s="65" t="s">
        <v>2384</v>
      </c>
      <c r="J335" s="102"/>
      <c r="K335" s="102"/>
      <c r="L335" s="102"/>
      <c r="M335" s="102"/>
      <c r="N335" s="91"/>
    </row>
    <row r="336" spans="2:14" ht="38.25" x14ac:dyDescent="0.3">
      <c r="B336" s="142">
        <v>331</v>
      </c>
      <c r="C336" s="75" t="s">
        <v>1567</v>
      </c>
      <c r="D336" s="143" t="s">
        <v>2393</v>
      </c>
      <c r="E336" s="76">
        <v>45657</v>
      </c>
      <c r="F336" s="144">
        <v>9330300</v>
      </c>
      <c r="G336" s="77" t="s">
        <v>2384</v>
      </c>
      <c r="H336" s="145" t="s">
        <v>422</v>
      </c>
      <c r="I336" s="65" t="s">
        <v>2384</v>
      </c>
      <c r="J336" s="102"/>
      <c r="K336" s="102"/>
      <c r="L336" s="102"/>
      <c r="M336" s="102"/>
      <c r="N336" s="91"/>
    </row>
    <row r="337" spans="2:14" ht="93.75" customHeight="1" x14ac:dyDescent="0.3">
      <c r="B337" s="142">
        <v>332</v>
      </c>
      <c r="C337" s="75" t="s">
        <v>2394</v>
      </c>
      <c r="D337" s="143" t="s">
        <v>2395</v>
      </c>
      <c r="E337" s="76">
        <v>45657</v>
      </c>
      <c r="F337" s="144">
        <v>694200</v>
      </c>
      <c r="G337" s="77" t="s">
        <v>1563</v>
      </c>
      <c r="H337" s="145" t="s">
        <v>422</v>
      </c>
      <c r="I337" s="65" t="s">
        <v>1563</v>
      </c>
      <c r="J337" s="102"/>
      <c r="K337" s="102"/>
      <c r="L337" s="102"/>
      <c r="M337" s="102"/>
      <c r="N337" s="91"/>
    </row>
    <row r="338" spans="2:14" ht="38.25" x14ac:dyDescent="0.3">
      <c r="B338" s="142">
        <v>333</v>
      </c>
      <c r="C338" s="75" t="s">
        <v>2396</v>
      </c>
      <c r="D338" s="143" t="s">
        <v>2397</v>
      </c>
      <c r="E338" s="76">
        <v>45657</v>
      </c>
      <c r="F338" s="144">
        <v>1274600</v>
      </c>
      <c r="G338" s="77" t="s">
        <v>2384</v>
      </c>
      <c r="H338" s="145" t="s">
        <v>422</v>
      </c>
      <c r="I338" s="65" t="s">
        <v>2384</v>
      </c>
      <c r="J338" s="102"/>
      <c r="K338" s="102"/>
      <c r="L338" s="102"/>
      <c r="M338" s="102"/>
      <c r="N338" s="91"/>
    </row>
    <row r="339" spans="2:14" ht="38.25" x14ac:dyDescent="0.3">
      <c r="B339" s="142">
        <v>334</v>
      </c>
      <c r="C339" s="75" t="s">
        <v>2398</v>
      </c>
      <c r="D339" s="99" t="s">
        <v>2399</v>
      </c>
      <c r="E339" s="76">
        <v>45657</v>
      </c>
      <c r="F339" s="100">
        <v>1633500</v>
      </c>
      <c r="G339" s="77" t="s">
        <v>1563</v>
      </c>
      <c r="H339" s="101" t="s">
        <v>422</v>
      </c>
      <c r="I339" s="65" t="s">
        <v>1563</v>
      </c>
      <c r="J339" s="102"/>
      <c r="K339" s="102"/>
      <c r="L339" s="102"/>
      <c r="M339" s="102"/>
      <c r="N339" s="91"/>
    </row>
    <row r="340" spans="2:14" ht="38.25" x14ac:dyDescent="0.3">
      <c r="B340" s="142">
        <v>335</v>
      </c>
      <c r="C340" s="75" t="s">
        <v>2400</v>
      </c>
      <c r="D340" s="99" t="s">
        <v>2401</v>
      </c>
      <c r="E340" s="76">
        <v>45657</v>
      </c>
      <c r="F340" s="100">
        <v>7037000</v>
      </c>
      <c r="G340" s="77" t="s">
        <v>1563</v>
      </c>
      <c r="H340" s="101" t="s">
        <v>422</v>
      </c>
      <c r="I340" s="65" t="s">
        <v>1563</v>
      </c>
      <c r="J340" s="102"/>
      <c r="K340" s="102"/>
      <c r="L340" s="102"/>
      <c r="M340" s="102"/>
      <c r="N340" s="91"/>
    </row>
    <row r="341" spans="2:14" ht="25.5" x14ac:dyDescent="0.3">
      <c r="B341" s="142">
        <v>336</v>
      </c>
      <c r="C341" s="75" t="s">
        <v>2402</v>
      </c>
      <c r="D341" s="143" t="s">
        <v>2403</v>
      </c>
      <c r="E341" s="76">
        <v>45657</v>
      </c>
      <c r="F341" s="144">
        <v>1172200</v>
      </c>
      <c r="G341" s="77" t="s">
        <v>2404</v>
      </c>
      <c r="H341" s="145" t="s">
        <v>422</v>
      </c>
      <c r="I341" s="65" t="s">
        <v>2404</v>
      </c>
      <c r="J341" s="102"/>
      <c r="K341" s="102"/>
      <c r="L341" s="102"/>
      <c r="M341" s="102"/>
      <c r="N341" s="91"/>
    </row>
    <row r="342" spans="2:14" ht="114.75" x14ac:dyDescent="0.3">
      <c r="B342" s="142">
        <v>337</v>
      </c>
      <c r="C342" s="75" t="s">
        <v>2405</v>
      </c>
      <c r="D342" s="143" t="s">
        <v>2406</v>
      </c>
      <c r="E342" s="76">
        <v>45657</v>
      </c>
      <c r="F342" s="144">
        <v>745716.66666666663</v>
      </c>
      <c r="G342" s="77" t="s">
        <v>2407</v>
      </c>
      <c r="H342" s="145" t="s">
        <v>422</v>
      </c>
      <c r="I342" s="65" t="s">
        <v>2407</v>
      </c>
      <c r="J342" s="102"/>
      <c r="K342" s="102"/>
      <c r="L342" s="102"/>
      <c r="M342" s="102"/>
      <c r="N342" s="91"/>
    </row>
    <row r="343" spans="2:14" ht="114.75" x14ac:dyDescent="0.3">
      <c r="B343" s="142">
        <v>338</v>
      </c>
      <c r="C343" s="75" t="s">
        <v>2405</v>
      </c>
      <c r="D343" s="143" t="s">
        <v>2406</v>
      </c>
      <c r="E343" s="76">
        <v>45657</v>
      </c>
      <c r="F343" s="144">
        <v>745716.66666666663</v>
      </c>
      <c r="G343" s="77" t="s">
        <v>2407</v>
      </c>
      <c r="H343" s="145" t="s">
        <v>422</v>
      </c>
      <c r="I343" s="65" t="s">
        <v>2407</v>
      </c>
      <c r="J343" s="102"/>
      <c r="K343" s="102"/>
      <c r="L343" s="102"/>
      <c r="M343" s="102"/>
      <c r="N343" s="91"/>
    </row>
    <row r="344" spans="2:14" ht="114.75" x14ac:dyDescent="0.3">
      <c r="B344" s="142">
        <v>339</v>
      </c>
      <c r="C344" s="75" t="s">
        <v>2405</v>
      </c>
      <c r="D344" s="143" t="s">
        <v>2406</v>
      </c>
      <c r="E344" s="76">
        <v>45657</v>
      </c>
      <c r="F344" s="144">
        <v>745716.66666666663</v>
      </c>
      <c r="G344" s="77" t="s">
        <v>2407</v>
      </c>
      <c r="H344" s="145" t="s">
        <v>422</v>
      </c>
      <c r="I344" s="65" t="s">
        <v>2407</v>
      </c>
      <c r="J344" s="102"/>
      <c r="K344" s="102"/>
      <c r="L344" s="102"/>
      <c r="M344" s="102"/>
      <c r="N344" s="91"/>
    </row>
    <row r="345" spans="2:14" ht="114.75" x14ac:dyDescent="0.3">
      <c r="B345" s="142">
        <v>340</v>
      </c>
      <c r="C345" s="75" t="s">
        <v>2405</v>
      </c>
      <c r="D345" s="143" t="s">
        <v>2406</v>
      </c>
      <c r="E345" s="76">
        <v>45657</v>
      </c>
      <c r="F345" s="144">
        <v>745716.66666666663</v>
      </c>
      <c r="G345" s="77" t="s">
        <v>2407</v>
      </c>
      <c r="H345" s="145" t="s">
        <v>422</v>
      </c>
      <c r="I345" s="65" t="s">
        <v>2407</v>
      </c>
      <c r="J345" s="102"/>
      <c r="K345" s="102"/>
      <c r="L345" s="102"/>
      <c r="M345" s="102"/>
      <c r="N345" s="91"/>
    </row>
    <row r="346" spans="2:14" ht="114.75" x14ac:dyDescent="0.3">
      <c r="B346" s="142">
        <v>341</v>
      </c>
      <c r="C346" s="75" t="s">
        <v>2405</v>
      </c>
      <c r="D346" s="143" t="s">
        <v>2406</v>
      </c>
      <c r="E346" s="76">
        <v>45657</v>
      </c>
      <c r="F346" s="144">
        <v>745716.66666666663</v>
      </c>
      <c r="G346" s="77" t="s">
        <v>2407</v>
      </c>
      <c r="H346" s="145" t="s">
        <v>422</v>
      </c>
      <c r="I346" s="65" t="s">
        <v>2407</v>
      </c>
      <c r="J346" s="102"/>
      <c r="K346" s="102"/>
      <c r="L346" s="102"/>
      <c r="M346" s="102"/>
      <c r="N346" s="91"/>
    </row>
    <row r="347" spans="2:14" ht="114.75" x14ac:dyDescent="0.3">
      <c r="B347" s="142">
        <v>342</v>
      </c>
      <c r="C347" s="75" t="s">
        <v>2405</v>
      </c>
      <c r="D347" s="143" t="s">
        <v>2406</v>
      </c>
      <c r="E347" s="76">
        <v>45657</v>
      </c>
      <c r="F347" s="144">
        <v>745716.66666666663</v>
      </c>
      <c r="G347" s="77" t="s">
        <v>2407</v>
      </c>
      <c r="H347" s="145" t="s">
        <v>422</v>
      </c>
      <c r="I347" s="65" t="s">
        <v>2407</v>
      </c>
      <c r="J347" s="102"/>
      <c r="K347" s="102"/>
      <c r="L347" s="102"/>
      <c r="M347" s="102"/>
      <c r="N347" s="91"/>
    </row>
    <row r="348" spans="2:14" ht="38.25" x14ac:dyDescent="0.3">
      <c r="B348" s="142">
        <v>343</v>
      </c>
      <c r="C348" s="75" t="s">
        <v>2408</v>
      </c>
      <c r="D348" s="143" t="s">
        <v>2409</v>
      </c>
      <c r="E348" s="76">
        <v>45657</v>
      </c>
      <c r="F348" s="144">
        <v>47723700</v>
      </c>
      <c r="G348" s="77" t="s">
        <v>2410</v>
      </c>
      <c r="H348" s="145" t="s">
        <v>422</v>
      </c>
      <c r="I348" s="65" t="s">
        <v>2410</v>
      </c>
      <c r="J348" s="102"/>
      <c r="K348" s="102"/>
      <c r="L348" s="102"/>
      <c r="M348" s="102"/>
      <c r="N348" s="91"/>
    </row>
    <row r="349" spans="2:14" ht="38.25" x14ac:dyDescent="0.3">
      <c r="B349" s="142">
        <v>344</v>
      </c>
      <c r="C349" s="80" t="s">
        <v>2411</v>
      </c>
      <c r="D349" s="148" t="s">
        <v>2412</v>
      </c>
      <c r="E349" s="81">
        <v>45657</v>
      </c>
      <c r="F349" s="149">
        <v>7240700</v>
      </c>
      <c r="G349" s="82" t="s">
        <v>2413</v>
      </c>
      <c r="H349" s="150" t="s">
        <v>422</v>
      </c>
      <c r="I349" s="83" t="s">
        <v>2413</v>
      </c>
      <c r="J349" s="102"/>
      <c r="K349" s="102"/>
      <c r="L349" s="102"/>
      <c r="M349" s="102"/>
      <c r="N349" s="91"/>
    </row>
    <row r="350" spans="2:14" ht="25.5" x14ac:dyDescent="0.3">
      <c r="B350" s="142">
        <v>345</v>
      </c>
      <c r="C350" s="75" t="s">
        <v>2414</v>
      </c>
      <c r="D350" s="143" t="s">
        <v>2415</v>
      </c>
      <c r="E350" s="76">
        <v>45657</v>
      </c>
      <c r="F350" s="144">
        <v>806300</v>
      </c>
      <c r="G350" s="77" t="s">
        <v>2416</v>
      </c>
      <c r="H350" s="145" t="s">
        <v>422</v>
      </c>
      <c r="I350" s="65" t="s">
        <v>2416</v>
      </c>
      <c r="J350" s="102"/>
      <c r="K350" s="102"/>
      <c r="L350" s="102"/>
      <c r="M350" s="102"/>
      <c r="N350" s="91"/>
    </row>
    <row r="351" spans="2:14" ht="25.5" x14ac:dyDescent="0.3">
      <c r="B351" s="142">
        <v>346</v>
      </c>
      <c r="C351" s="75" t="s">
        <v>2417</v>
      </c>
      <c r="D351" s="143" t="s">
        <v>2418</v>
      </c>
      <c r="E351" s="76">
        <v>45657</v>
      </c>
      <c r="F351" s="144">
        <v>1085300</v>
      </c>
      <c r="G351" s="77" t="s">
        <v>2416</v>
      </c>
      <c r="H351" s="145" t="s">
        <v>422</v>
      </c>
      <c r="I351" s="65" t="s">
        <v>2416</v>
      </c>
      <c r="J351" s="102"/>
      <c r="K351" s="102"/>
      <c r="L351" s="102"/>
      <c r="M351" s="102"/>
      <c r="N351" s="91"/>
    </row>
    <row r="352" spans="2:14" ht="25.5" x14ac:dyDescent="0.3">
      <c r="B352" s="142">
        <v>347</v>
      </c>
      <c r="C352" s="75" t="s">
        <v>2419</v>
      </c>
      <c r="D352" s="143" t="s">
        <v>2420</v>
      </c>
      <c r="E352" s="76">
        <v>45657</v>
      </c>
      <c r="F352" s="144">
        <v>744200</v>
      </c>
      <c r="G352" s="77" t="s">
        <v>2416</v>
      </c>
      <c r="H352" s="145" t="s">
        <v>422</v>
      </c>
      <c r="I352" s="65" t="s">
        <v>2416</v>
      </c>
      <c r="J352" s="102"/>
      <c r="K352" s="102"/>
      <c r="L352" s="102"/>
      <c r="M352" s="102"/>
      <c r="N352" s="91"/>
    </row>
    <row r="353" spans="2:14" ht="25.5" x14ac:dyDescent="0.3">
      <c r="B353" s="142">
        <v>348</v>
      </c>
      <c r="C353" s="75" t="s">
        <v>2421</v>
      </c>
      <c r="D353" s="143" t="s">
        <v>2422</v>
      </c>
      <c r="E353" s="76">
        <v>45657</v>
      </c>
      <c r="F353" s="144">
        <v>1364400</v>
      </c>
      <c r="G353" s="77" t="s">
        <v>2416</v>
      </c>
      <c r="H353" s="145" t="s">
        <v>422</v>
      </c>
      <c r="I353" s="65" t="s">
        <v>2416</v>
      </c>
      <c r="J353" s="102"/>
      <c r="K353" s="102"/>
      <c r="L353" s="102"/>
      <c r="M353" s="102"/>
      <c r="N353" s="91"/>
    </row>
    <row r="354" spans="2:14" ht="51" x14ac:dyDescent="0.3">
      <c r="B354" s="142">
        <v>349</v>
      </c>
      <c r="C354" s="75" t="s">
        <v>2423</v>
      </c>
      <c r="D354" s="99" t="s">
        <v>2424</v>
      </c>
      <c r="E354" s="76">
        <v>45657</v>
      </c>
      <c r="F354" s="100">
        <v>2697900</v>
      </c>
      <c r="G354" s="77" t="s">
        <v>2425</v>
      </c>
      <c r="H354" s="101" t="s">
        <v>422</v>
      </c>
      <c r="I354" s="65" t="s">
        <v>2425</v>
      </c>
      <c r="J354" s="102"/>
      <c r="K354" s="102"/>
      <c r="L354" s="102"/>
      <c r="M354" s="102"/>
      <c r="N354" s="91"/>
    </row>
    <row r="355" spans="2:14" ht="38.25" x14ac:dyDescent="0.3">
      <c r="B355" s="142">
        <v>350</v>
      </c>
      <c r="C355" s="75" t="s">
        <v>2426</v>
      </c>
      <c r="D355" s="143" t="s">
        <v>2427</v>
      </c>
      <c r="E355" s="76">
        <v>45657</v>
      </c>
      <c r="F355" s="144">
        <v>1937000</v>
      </c>
      <c r="G355" s="77" t="s">
        <v>2428</v>
      </c>
      <c r="H355" s="145" t="s">
        <v>422</v>
      </c>
      <c r="I355" s="65" t="s">
        <v>2428</v>
      </c>
      <c r="J355" s="102"/>
      <c r="K355" s="102"/>
      <c r="L355" s="102"/>
      <c r="M355" s="102"/>
      <c r="N355" s="91"/>
    </row>
    <row r="356" spans="2:14" ht="76.5" x14ac:dyDescent="0.3">
      <c r="B356" s="142">
        <v>351</v>
      </c>
      <c r="C356" s="75" t="s">
        <v>2429</v>
      </c>
      <c r="D356" s="143" t="s">
        <v>2430</v>
      </c>
      <c r="E356" s="76">
        <v>45657</v>
      </c>
      <c r="F356" s="144">
        <v>15210600</v>
      </c>
      <c r="G356" s="77" t="s">
        <v>2428</v>
      </c>
      <c r="H356" s="145" t="s">
        <v>422</v>
      </c>
      <c r="I356" s="65" t="s">
        <v>2428</v>
      </c>
      <c r="J356" s="102"/>
      <c r="K356" s="102"/>
      <c r="L356" s="102"/>
      <c r="M356" s="102"/>
      <c r="N356" s="91"/>
    </row>
    <row r="357" spans="2:14" ht="51" x14ac:dyDescent="0.3">
      <c r="B357" s="142">
        <v>352</v>
      </c>
      <c r="C357" s="75" t="s">
        <v>2431</v>
      </c>
      <c r="D357" s="143" t="s">
        <v>2432</v>
      </c>
      <c r="E357" s="76">
        <v>45657</v>
      </c>
      <c r="F357" s="144">
        <v>2085100</v>
      </c>
      <c r="G357" s="77" t="s">
        <v>2433</v>
      </c>
      <c r="H357" s="145" t="s">
        <v>422</v>
      </c>
      <c r="I357" s="65" t="s">
        <v>2433</v>
      </c>
      <c r="J357" s="102"/>
      <c r="K357" s="102"/>
      <c r="L357" s="102"/>
      <c r="M357" s="102"/>
      <c r="N357" s="91"/>
    </row>
    <row r="358" spans="2:14" ht="51" x14ac:dyDescent="0.3">
      <c r="B358" s="142">
        <v>353</v>
      </c>
      <c r="C358" s="75" t="s">
        <v>2431</v>
      </c>
      <c r="D358" s="143" t="s">
        <v>2432</v>
      </c>
      <c r="E358" s="76">
        <v>45657</v>
      </c>
      <c r="F358" s="144">
        <v>2085100</v>
      </c>
      <c r="G358" s="77" t="s">
        <v>2433</v>
      </c>
      <c r="H358" s="145" t="s">
        <v>422</v>
      </c>
      <c r="I358" s="65" t="s">
        <v>2433</v>
      </c>
      <c r="J358" s="102"/>
      <c r="K358" s="102"/>
      <c r="L358" s="102"/>
      <c r="M358" s="102"/>
      <c r="N358" s="91"/>
    </row>
    <row r="359" spans="2:14" ht="51" x14ac:dyDescent="0.3">
      <c r="B359" s="142">
        <v>354</v>
      </c>
      <c r="C359" s="75" t="s">
        <v>2434</v>
      </c>
      <c r="D359" s="99" t="s">
        <v>2435</v>
      </c>
      <c r="E359" s="76">
        <v>45657</v>
      </c>
      <c r="F359" s="100">
        <v>639400</v>
      </c>
      <c r="G359" s="77" t="s">
        <v>2436</v>
      </c>
      <c r="H359" s="101" t="s">
        <v>422</v>
      </c>
      <c r="I359" s="65" t="s">
        <v>2437</v>
      </c>
      <c r="J359" s="102"/>
      <c r="K359" s="102"/>
      <c r="L359" s="102"/>
      <c r="M359" s="102"/>
      <c r="N359" s="91"/>
    </row>
    <row r="360" spans="2:14" ht="25.5" x14ac:dyDescent="0.3">
      <c r="B360" s="142">
        <v>355</v>
      </c>
      <c r="C360" s="75" t="s">
        <v>2438</v>
      </c>
      <c r="D360" s="143" t="s">
        <v>2439</v>
      </c>
      <c r="E360" s="76">
        <v>45657</v>
      </c>
      <c r="F360" s="144">
        <v>3746100</v>
      </c>
      <c r="G360" s="77" t="s">
        <v>2440</v>
      </c>
      <c r="H360" s="145" t="s">
        <v>422</v>
      </c>
      <c r="I360" s="65" t="s">
        <v>2440</v>
      </c>
      <c r="J360" s="102"/>
      <c r="K360" s="102"/>
      <c r="L360" s="102"/>
      <c r="M360" s="102"/>
      <c r="N360" s="91"/>
    </row>
    <row r="361" spans="2:14" x14ac:dyDescent="0.3">
      <c r="B361" s="142">
        <v>356</v>
      </c>
      <c r="C361" s="146" t="s">
        <v>2441</v>
      </c>
      <c r="D361" s="78" t="s">
        <v>2442</v>
      </c>
      <c r="E361" s="79">
        <v>45657</v>
      </c>
      <c r="F361" s="144">
        <v>378200000</v>
      </c>
      <c r="G361" s="147" t="s">
        <v>2443</v>
      </c>
      <c r="H361" s="145" t="s">
        <v>422</v>
      </c>
      <c r="I361" s="145" t="s">
        <v>2443</v>
      </c>
      <c r="J361" s="102"/>
      <c r="K361" s="102"/>
      <c r="L361" s="102"/>
      <c r="M361" s="102"/>
      <c r="N361" s="91"/>
    </row>
    <row r="362" spans="2:14" x14ac:dyDescent="0.3">
      <c r="B362" s="142">
        <v>357</v>
      </c>
      <c r="C362" s="75" t="s">
        <v>2444</v>
      </c>
      <c r="D362" s="143" t="s">
        <v>2445</v>
      </c>
      <c r="E362" s="76">
        <v>45657</v>
      </c>
      <c r="F362" s="144">
        <v>2635800</v>
      </c>
      <c r="G362" s="77" t="s">
        <v>1603</v>
      </c>
      <c r="H362" s="145" t="s">
        <v>422</v>
      </c>
      <c r="I362" s="65" t="s">
        <v>1603</v>
      </c>
      <c r="J362" s="102"/>
      <c r="K362" s="102"/>
      <c r="L362" s="102"/>
      <c r="M362" s="102"/>
      <c r="N362" s="91"/>
    </row>
    <row r="363" spans="2:14" ht="25.5" x14ac:dyDescent="0.3">
      <c r="B363" s="142">
        <v>358</v>
      </c>
      <c r="C363" s="75" t="s">
        <v>2446</v>
      </c>
      <c r="D363" s="143" t="s">
        <v>2447</v>
      </c>
      <c r="E363" s="76">
        <v>45657</v>
      </c>
      <c r="F363" s="144">
        <v>1333400</v>
      </c>
      <c r="G363" s="77" t="s">
        <v>2448</v>
      </c>
      <c r="H363" s="145" t="s">
        <v>422</v>
      </c>
      <c r="I363" s="65" t="s">
        <v>2448</v>
      </c>
      <c r="J363" s="102"/>
      <c r="K363" s="102"/>
      <c r="L363" s="102"/>
      <c r="M363" s="102"/>
      <c r="N363" s="91"/>
    </row>
    <row r="364" spans="2:14" ht="25.5" x14ac:dyDescent="0.3">
      <c r="B364" s="142">
        <v>359</v>
      </c>
      <c r="C364" s="75" t="s">
        <v>2449</v>
      </c>
      <c r="D364" s="143" t="s">
        <v>2450</v>
      </c>
      <c r="E364" s="76">
        <v>45657</v>
      </c>
      <c r="F364" s="144">
        <v>1306700</v>
      </c>
      <c r="G364" s="77" t="s">
        <v>2451</v>
      </c>
      <c r="H364" s="145" t="s">
        <v>422</v>
      </c>
      <c r="I364" s="65" t="s">
        <v>2451</v>
      </c>
      <c r="J364" s="102"/>
      <c r="K364" s="102"/>
      <c r="L364" s="102"/>
      <c r="M364" s="102"/>
      <c r="N364" s="91"/>
    </row>
    <row r="365" spans="2:14" ht="25.5" x14ac:dyDescent="0.3">
      <c r="B365" s="142">
        <v>360</v>
      </c>
      <c r="C365" s="75" t="s">
        <v>2452</v>
      </c>
      <c r="D365" s="143" t="s">
        <v>2453</v>
      </c>
      <c r="E365" s="76">
        <v>45657</v>
      </c>
      <c r="F365" s="144">
        <v>2953800</v>
      </c>
      <c r="G365" s="77" t="s">
        <v>2451</v>
      </c>
      <c r="H365" s="145" t="s">
        <v>422</v>
      </c>
      <c r="I365" s="65" t="s">
        <v>2451</v>
      </c>
      <c r="J365" s="102"/>
      <c r="K365" s="102"/>
      <c r="L365" s="102"/>
      <c r="M365" s="102"/>
      <c r="N365" s="91"/>
    </row>
    <row r="366" spans="2:14" ht="25.5" x14ac:dyDescent="0.3">
      <c r="B366" s="142">
        <v>361</v>
      </c>
      <c r="C366" s="75" t="s">
        <v>2452</v>
      </c>
      <c r="D366" s="143" t="s">
        <v>2454</v>
      </c>
      <c r="E366" s="76">
        <v>45657</v>
      </c>
      <c r="F366" s="144">
        <v>2953800</v>
      </c>
      <c r="G366" s="77" t="s">
        <v>2451</v>
      </c>
      <c r="H366" s="145" t="s">
        <v>422</v>
      </c>
      <c r="I366" s="65" t="s">
        <v>2451</v>
      </c>
      <c r="J366" s="102"/>
      <c r="K366" s="102"/>
      <c r="L366" s="102"/>
      <c r="M366" s="102"/>
      <c r="N366" s="91"/>
    </row>
    <row r="367" spans="2:14" ht="25.5" x14ac:dyDescent="0.3">
      <c r="B367" s="142">
        <v>362</v>
      </c>
      <c r="C367" s="75" t="s">
        <v>2455</v>
      </c>
      <c r="D367" s="143" t="s">
        <v>2456</v>
      </c>
      <c r="E367" s="76">
        <v>45657</v>
      </c>
      <c r="F367" s="144">
        <v>14402700</v>
      </c>
      <c r="G367" s="77" t="s">
        <v>2457</v>
      </c>
      <c r="H367" s="145" t="s">
        <v>422</v>
      </c>
      <c r="I367" s="65" t="s">
        <v>2457</v>
      </c>
      <c r="J367" s="102"/>
      <c r="K367" s="102"/>
      <c r="L367" s="102"/>
      <c r="M367" s="102"/>
      <c r="N367" s="91"/>
    </row>
    <row r="368" spans="2:14" ht="25.5" x14ac:dyDescent="0.3">
      <c r="B368" s="142">
        <v>363</v>
      </c>
      <c r="C368" s="75" t="s">
        <v>2458</v>
      </c>
      <c r="D368" s="143" t="s">
        <v>2459</v>
      </c>
      <c r="E368" s="76">
        <v>45657</v>
      </c>
      <c r="F368" s="144">
        <v>888600</v>
      </c>
      <c r="G368" s="77" t="s">
        <v>2460</v>
      </c>
      <c r="H368" s="145" t="s">
        <v>422</v>
      </c>
      <c r="I368" s="65" t="s">
        <v>2460</v>
      </c>
      <c r="J368" s="102"/>
      <c r="K368" s="102"/>
      <c r="L368" s="102"/>
      <c r="M368" s="102"/>
      <c r="N368" s="91"/>
    </row>
    <row r="369" spans="2:14" ht="25.5" x14ac:dyDescent="0.3">
      <c r="B369" s="142">
        <v>364</v>
      </c>
      <c r="C369" s="75" t="s">
        <v>2461</v>
      </c>
      <c r="D369" s="143" t="s">
        <v>2462</v>
      </c>
      <c r="E369" s="76">
        <v>45657</v>
      </c>
      <c r="F369" s="144">
        <v>1274600</v>
      </c>
      <c r="G369" s="77" t="s">
        <v>2460</v>
      </c>
      <c r="H369" s="145" t="s">
        <v>422</v>
      </c>
      <c r="I369" s="65" t="s">
        <v>2460</v>
      </c>
      <c r="J369" s="102"/>
      <c r="K369" s="102"/>
      <c r="L369" s="102"/>
      <c r="M369" s="102"/>
      <c r="N369" s="91"/>
    </row>
    <row r="370" spans="2:14" ht="25.5" x14ac:dyDescent="0.3">
      <c r="B370" s="142">
        <v>365</v>
      </c>
      <c r="C370" s="75" t="s">
        <v>2463</v>
      </c>
      <c r="D370" s="99" t="s">
        <v>2464</v>
      </c>
      <c r="E370" s="76">
        <v>45657</v>
      </c>
      <c r="F370" s="100">
        <v>648700</v>
      </c>
      <c r="G370" s="77" t="s">
        <v>2465</v>
      </c>
      <c r="H370" s="101" t="s">
        <v>422</v>
      </c>
      <c r="I370" s="65" t="s">
        <v>2465</v>
      </c>
      <c r="J370" s="102"/>
      <c r="K370" s="102"/>
      <c r="L370" s="102"/>
      <c r="M370" s="102"/>
      <c r="N370" s="91"/>
    </row>
    <row r="371" spans="2:14" ht="63.75" x14ac:dyDescent="0.3">
      <c r="B371" s="142">
        <v>366</v>
      </c>
      <c r="C371" s="75" t="s">
        <v>2466</v>
      </c>
      <c r="D371" s="143" t="s">
        <v>2467</v>
      </c>
      <c r="E371" s="76">
        <v>45657</v>
      </c>
      <c r="F371" s="144">
        <v>4553900</v>
      </c>
      <c r="G371" s="77" t="s">
        <v>2468</v>
      </c>
      <c r="H371" s="145" t="s">
        <v>422</v>
      </c>
      <c r="I371" s="65" t="s">
        <v>2468</v>
      </c>
      <c r="J371" s="102"/>
      <c r="K371" s="102"/>
      <c r="L371" s="102"/>
      <c r="M371" s="102"/>
      <c r="N371" s="91"/>
    </row>
    <row r="374" spans="2:14" ht="18" customHeight="1" x14ac:dyDescent="0.3">
      <c r="B374" s="227" t="s">
        <v>2</v>
      </c>
      <c r="C374" s="231" t="s">
        <v>799</v>
      </c>
      <c r="D374" s="227" t="s">
        <v>800</v>
      </c>
      <c r="E374" s="218" t="s">
        <v>7</v>
      </c>
      <c r="F374" s="227" t="s">
        <v>8</v>
      </c>
      <c r="G374" s="218" t="s">
        <v>9</v>
      </c>
      <c r="H374" s="220" t="s">
        <v>11</v>
      </c>
      <c r="I374" s="221"/>
      <c r="J374" s="224" t="s">
        <v>12</v>
      </c>
      <c r="K374" s="225"/>
      <c r="L374" s="226"/>
      <c r="M374" s="227" t="s">
        <v>1636</v>
      </c>
      <c r="N374" s="227" t="s">
        <v>6</v>
      </c>
    </row>
    <row r="375" spans="2:14" ht="27" x14ac:dyDescent="0.3">
      <c r="B375" s="228"/>
      <c r="C375" s="232"/>
      <c r="D375" s="228"/>
      <c r="E375" s="219"/>
      <c r="F375" s="228"/>
      <c r="G375" s="219"/>
      <c r="H375" s="222"/>
      <c r="I375" s="223"/>
      <c r="J375" s="109" t="s">
        <v>15</v>
      </c>
      <c r="K375" s="109" t="s">
        <v>16</v>
      </c>
      <c r="L375" s="109" t="s">
        <v>17</v>
      </c>
      <c r="M375" s="228"/>
      <c r="N375" s="228"/>
    </row>
    <row r="376" spans="2:14" ht="25.5" x14ac:dyDescent="0.3">
      <c r="B376" s="142">
        <v>1</v>
      </c>
      <c r="C376" s="75" t="s">
        <v>2469</v>
      </c>
      <c r="D376" s="99" t="s">
        <v>2470</v>
      </c>
      <c r="E376" s="76">
        <v>45657</v>
      </c>
      <c r="F376" s="100">
        <v>690300</v>
      </c>
      <c r="G376" s="77" t="s">
        <v>2269</v>
      </c>
      <c r="H376" s="101" t="s">
        <v>422</v>
      </c>
      <c r="I376" s="65" t="s">
        <v>2471</v>
      </c>
      <c r="J376" s="102"/>
      <c r="K376" s="102"/>
      <c r="L376" s="102"/>
      <c r="M376" s="102"/>
      <c r="N376" s="91" t="s">
        <v>2472</v>
      </c>
    </row>
    <row r="377" spans="2:14" ht="38.25" x14ac:dyDescent="0.3">
      <c r="B377" s="142">
        <v>2</v>
      </c>
      <c r="C377" s="75" t="s">
        <v>2473</v>
      </c>
      <c r="D377" s="143" t="s">
        <v>2474</v>
      </c>
      <c r="E377" s="76">
        <v>45657</v>
      </c>
      <c r="F377" s="144">
        <v>1767500</v>
      </c>
      <c r="G377" s="77" t="s">
        <v>1292</v>
      </c>
      <c r="H377" s="145" t="s">
        <v>422</v>
      </c>
      <c r="I377" s="65" t="s">
        <v>1794</v>
      </c>
      <c r="J377" s="102"/>
      <c r="K377" s="102"/>
      <c r="L377" s="102"/>
      <c r="M377" s="102"/>
      <c r="N377" s="91" t="s">
        <v>2472</v>
      </c>
    </row>
    <row r="378" spans="2:14" x14ac:dyDescent="0.3">
      <c r="B378" s="142">
        <v>3</v>
      </c>
      <c r="C378" s="75" t="s">
        <v>2475</v>
      </c>
      <c r="D378" s="143" t="s">
        <v>2476</v>
      </c>
      <c r="E378" s="76">
        <v>45657</v>
      </c>
      <c r="F378" s="144">
        <v>1240400</v>
      </c>
      <c r="G378" s="77" t="s">
        <v>1292</v>
      </c>
      <c r="H378" s="145" t="s">
        <v>422</v>
      </c>
      <c r="I378" s="65" t="s">
        <v>2174</v>
      </c>
      <c r="J378" s="102"/>
      <c r="K378" s="102"/>
      <c r="L378" s="102"/>
      <c r="M378" s="102"/>
      <c r="N378" s="91" t="s">
        <v>2477</v>
      </c>
    </row>
    <row r="379" spans="2:14" ht="25.5" x14ac:dyDescent="0.3">
      <c r="B379" s="142">
        <v>4</v>
      </c>
      <c r="C379" s="75" t="s">
        <v>2478</v>
      </c>
      <c r="D379" s="143" t="s">
        <v>2479</v>
      </c>
      <c r="E379" s="76">
        <v>45657</v>
      </c>
      <c r="F379" s="144">
        <v>1566100</v>
      </c>
      <c r="G379" s="77" t="s">
        <v>1292</v>
      </c>
      <c r="H379" s="145" t="s">
        <v>422</v>
      </c>
      <c r="I379" s="65" t="s">
        <v>2180</v>
      </c>
      <c r="J379" s="102"/>
      <c r="K379" s="102"/>
      <c r="L379" s="102"/>
      <c r="M379" s="102"/>
      <c r="N379" s="91" t="s">
        <v>2477</v>
      </c>
    </row>
    <row r="380" spans="2:14" ht="27" x14ac:dyDescent="0.3">
      <c r="B380" s="142">
        <v>5</v>
      </c>
      <c r="C380" s="75" t="s">
        <v>2480</v>
      </c>
      <c r="D380" s="143" t="s">
        <v>2481</v>
      </c>
      <c r="E380" s="76">
        <v>45657</v>
      </c>
      <c r="F380" s="144">
        <v>1773800</v>
      </c>
      <c r="G380" s="77" t="s">
        <v>1747</v>
      </c>
      <c r="H380" s="145" t="s">
        <v>422</v>
      </c>
      <c r="I380" s="65" t="s">
        <v>1679</v>
      </c>
      <c r="J380" s="102"/>
      <c r="K380" s="102"/>
      <c r="L380" s="102"/>
      <c r="M380" s="102"/>
      <c r="N380" s="91" t="s">
        <v>2472</v>
      </c>
    </row>
    <row r="381" spans="2:14" ht="25.5" x14ac:dyDescent="0.3">
      <c r="B381" s="142">
        <v>6</v>
      </c>
      <c r="C381" s="75" t="s">
        <v>2482</v>
      </c>
      <c r="D381" s="143" t="s">
        <v>2483</v>
      </c>
      <c r="E381" s="76">
        <v>45657</v>
      </c>
      <c r="F381" s="144">
        <v>20001200</v>
      </c>
      <c r="G381" s="77" t="s">
        <v>1055</v>
      </c>
      <c r="H381" s="145" t="s">
        <v>422</v>
      </c>
      <c r="I381" s="65" t="s">
        <v>2484</v>
      </c>
      <c r="J381" s="102"/>
      <c r="K381" s="102"/>
      <c r="L381" s="102"/>
      <c r="M381" s="102"/>
      <c r="N381" s="91" t="s">
        <v>2477</v>
      </c>
    </row>
    <row r="382" spans="2:14" ht="27" x14ac:dyDescent="0.3">
      <c r="B382" s="142">
        <v>7</v>
      </c>
      <c r="C382" s="75" t="s">
        <v>2485</v>
      </c>
      <c r="D382" s="143" t="s">
        <v>2486</v>
      </c>
      <c r="E382" s="76">
        <v>45657</v>
      </c>
      <c r="F382" s="144">
        <v>1860600</v>
      </c>
      <c r="G382" s="77" t="s">
        <v>1055</v>
      </c>
      <c r="H382" s="145" t="s">
        <v>422</v>
      </c>
      <c r="I382" s="65" t="s">
        <v>1797</v>
      </c>
      <c r="J382" s="102"/>
      <c r="K382" s="102"/>
      <c r="L382" s="102"/>
      <c r="M382" s="102"/>
      <c r="N382" s="91" t="s">
        <v>2472</v>
      </c>
    </row>
    <row r="383" spans="2:14" ht="40.5" x14ac:dyDescent="0.3">
      <c r="B383" s="142">
        <v>8</v>
      </c>
      <c r="C383" s="75" t="s">
        <v>2487</v>
      </c>
      <c r="D383" s="143" t="s">
        <v>2488</v>
      </c>
      <c r="E383" s="76">
        <v>45657</v>
      </c>
      <c r="F383" s="144">
        <v>3915000</v>
      </c>
      <c r="G383" s="77" t="s">
        <v>951</v>
      </c>
      <c r="H383" s="145" t="s">
        <v>422</v>
      </c>
      <c r="I383" s="65" t="s">
        <v>2489</v>
      </c>
      <c r="J383" s="102"/>
      <c r="K383" s="102"/>
      <c r="L383" s="102"/>
      <c r="M383" s="102"/>
      <c r="N383" s="91" t="s">
        <v>2472</v>
      </c>
    </row>
    <row r="384" spans="2:14" x14ac:dyDescent="0.3">
      <c r="B384" s="142">
        <v>9</v>
      </c>
      <c r="C384" s="75" t="s">
        <v>2490</v>
      </c>
      <c r="D384" s="143" t="s">
        <v>2491</v>
      </c>
      <c r="E384" s="76">
        <v>45657</v>
      </c>
      <c r="F384" s="144">
        <v>865500</v>
      </c>
      <c r="G384" s="77" t="s">
        <v>951</v>
      </c>
      <c r="H384" s="145" t="s">
        <v>422</v>
      </c>
      <c r="I384" s="65" t="s">
        <v>1834</v>
      </c>
      <c r="J384" s="102"/>
      <c r="K384" s="102"/>
      <c r="L384" s="102"/>
      <c r="M384" s="102"/>
      <c r="N384" s="91" t="s">
        <v>2472</v>
      </c>
    </row>
    <row r="385" spans="2:14" ht="51" x14ac:dyDescent="0.3">
      <c r="B385" s="142">
        <v>10</v>
      </c>
      <c r="C385" s="75" t="s">
        <v>2492</v>
      </c>
      <c r="D385" s="143" t="s">
        <v>2493</v>
      </c>
      <c r="E385" s="76">
        <v>45657</v>
      </c>
      <c r="F385" s="144">
        <v>1274600</v>
      </c>
      <c r="G385" s="77" t="s">
        <v>951</v>
      </c>
      <c r="H385" s="145" t="s">
        <v>422</v>
      </c>
      <c r="I385" s="65" t="s">
        <v>2494</v>
      </c>
      <c r="J385" s="102"/>
      <c r="K385" s="102"/>
      <c r="L385" s="102"/>
      <c r="M385" s="102"/>
      <c r="N385" s="91" t="s">
        <v>2472</v>
      </c>
    </row>
    <row r="386" spans="2:14" ht="76.5" x14ac:dyDescent="0.3">
      <c r="B386" s="142">
        <v>11</v>
      </c>
      <c r="C386" s="75" t="s">
        <v>2495</v>
      </c>
      <c r="D386" s="143" t="s">
        <v>2496</v>
      </c>
      <c r="E386" s="76">
        <v>45657</v>
      </c>
      <c r="F386" s="144">
        <v>6037500</v>
      </c>
      <c r="G386" s="77" t="s">
        <v>951</v>
      </c>
      <c r="H386" s="145" t="s">
        <v>422</v>
      </c>
      <c r="I386" s="65" t="s">
        <v>2497</v>
      </c>
      <c r="J386" s="102"/>
      <c r="K386" s="102"/>
      <c r="L386" s="102"/>
      <c r="M386" s="102"/>
      <c r="N386" s="91" t="s">
        <v>2472</v>
      </c>
    </row>
    <row r="387" spans="2:14" ht="76.5" x14ac:dyDescent="0.3">
      <c r="B387" s="142">
        <v>12</v>
      </c>
      <c r="C387" s="75" t="s">
        <v>2495</v>
      </c>
      <c r="D387" s="143" t="s">
        <v>2496</v>
      </c>
      <c r="E387" s="76">
        <v>45657</v>
      </c>
      <c r="F387" s="144">
        <v>6037500</v>
      </c>
      <c r="G387" s="77" t="s">
        <v>951</v>
      </c>
      <c r="H387" s="145" t="s">
        <v>422</v>
      </c>
      <c r="I387" s="65" t="s">
        <v>2497</v>
      </c>
      <c r="J387" s="102"/>
      <c r="K387" s="102"/>
      <c r="L387" s="102"/>
      <c r="M387" s="102"/>
      <c r="N387" s="91" t="s">
        <v>2472</v>
      </c>
    </row>
    <row r="388" spans="2:14" ht="38.25" x14ac:dyDescent="0.3">
      <c r="B388" s="142">
        <v>13</v>
      </c>
      <c r="C388" s="75" t="s">
        <v>2498</v>
      </c>
      <c r="D388" s="143" t="s">
        <v>2499</v>
      </c>
      <c r="E388" s="76">
        <v>45657</v>
      </c>
      <c r="F388" s="144">
        <v>3790600</v>
      </c>
      <c r="G388" s="77" t="s">
        <v>951</v>
      </c>
      <c r="H388" s="145" t="s">
        <v>422</v>
      </c>
      <c r="I388" s="65" t="s">
        <v>2500</v>
      </c>
      <c r="J388" s="102"/>
      <c r="K388" s="102"/>
      <c r="L388" s="102"/>
      <c r="M388" s="102"/>
      <c r="N388" s="91" t="s">
        <v>2477</v>
      </c>
    </row>
    <row r="389" spans="2:14" ht="51" x14ac:dyDescent="0.3">
      <c r="B389" s="142">
        <v>14</v>
      </c>
      <c r="C389" s="75" t="s">
        <v>2501</v>
      </c>
      <c r="D389" s="143" t="s">
        <v>2502</v>
      </c>
      <c r="E389" s="76">
        <v>45657</v>
      </c>
      <c r="F389" s="144">
        <v>3559900</v>
      </c>
      <c r="G389" s="77" t="s">
        <v>951</v>
      </c>
      <c r="H389" s="145" t="s">
        <v>422</v>
      </c>
      <c r="I389" s="65" t="s">
        <v>2503</v>
      </c>
      <c r="J389" s="102"/>
      <c r="K389" s="102"/>
      <c r="L389" s="102"/>
      <c r="M389" s="102"/>
      <c r="N389" s="91" t="s">
        <v>2472</v>
      </c>
    </row>
    <row r="390" spans="2:14" ht="27" x14ac:dyDescent="0.3">
      <c r="B390" s="142">
        <v>15</v>
      </c>
      <c r="C390" s="75" t="s">
        <v>2504</v>
      </c>
      <c r="D390" s="143" t="s">
        <v>2505</v>
      </c>
      <c r="E390" s="76">
        <v>45657</v>
      </c>
      <c r="F390" s="144">
        <v>25840300</v>
      </c>
      <c r="G390" s="77" t="s">
        <v>951</v>
      </c>
      <c r="H390" s="145" t="s">
        <v>422</v>
      </c>
      <c r="I390" s="65" t="s">
        <v>2506</v>
      </c>
      <c r="J390" s="102"/>
      <c r="K390" s="102"/>
      <c r="L390" s="102"/>
      <c r="M390" s="102"/>
      <c r="N390" s="91" t="s">
        <v>2472</v>
      </c>
    </row>
    <row r="391" spans="2:14" ht="54" x14ac:dyDescent="0.3">
      <c r="B391" s="142">
        <v>16</v>
      </c>
      <c r="C391" s="75" t="s">
        <v>2507</v>
      </c>
      <c r="D391" s="143" t="s">
        <v>2508</v>
      </c>
      <c r="E391" s="76">
        <v>45657</v>
      </c>
      <c r="F391" s="144">
        <v>1818200</v>
      </c>
      <c r="G391" s="77" t="s">
        <v>951</v>
      </c>
      <c r="H391" s="145" t="s">
        <v>422</v>
      </c>
      <c r="I391" s="65" t="s">
        <v>2509</v>
      </c>
      <c r="J391" s="102"/>
      <c r="K391" s="102"/>
      <c r="L391" s="102"/>
      <c r="M391" s="102"/>
      <c r="N391" s="91" t="s">
        <v>2472</v>
      </c>
    </row>
    <row r="392" spans="2:14" ht="51" x14ac:dyDescent="0.3">
      <c r="B392" s="142">
        <v>17</v>
      </c>
      <c r="C392" s="75" t="s">
        <v>2510</v>
      </c>
      <c r="D392" s="143" t="s">
        <v>2511</v>
      </c>
      <c r="E392" s="76">
        <v>45657</v>
      </c>
      <c r="F392" s="144">
        <v>2324800</v>
      </c>
      <c r="G392" s="77" t="s">
        <v>951</v>
      </c>
      <c r="H392" s="145" t="s">
        <v>422</v>
      </c>
      <c r="I392" s="65" t="s">
        <v>1055</v>
      </c>
      <c r="J392" s="102"/>
      <c r="K392" s="102"/>
      <c r="L392" s="102"/>
      <c r="M392" s="102"/>
      <c r="N392" s="91" t="s">
        <v>2477</v>
      </c>
    </row>
    <row r="393" spans="2:14" ht="51" x14ac:dyDescent="0.3">
      <c r="B393" s="142">
        <v>18</v>
      </c>
      <c r="C393" s="75" t="s">
        <v>2512</v>
      </c>
      <c r="D393" s="99" t="s">
        <v>2513</v>
      </c>
      <c r="E393" s="76">
        <v>45657</v>
      </c>
      <c r="F393" s="100">
        <v>2034900</v>
      </c>
      <c r="G393" s="77" t="s">
        <v>951</v>
      </c>
      <c r="H393" s="101" t="s">
        <v>422</v>
      </c>
      <c r="I393" s="65" t="s">
        <v>1790</v>
      </c>
      <c r="J393" s="102"/>
      <c r="K393" s="102"/>
      <c r="L393" s="102"/>
      <c r="M393" s="102"/>
      <c r="N393" s="91" t="s">
        <v>2477</v>
      </c>
    </row>
    <row r="394" spans="2:14" ht="51" x14ac:dyDescent="0.3">
      <c r="B394" s="142">
        <v>19</v>
      </c>
      <c r="C394" s="75" t="s">
        <v>2514</v>
      </c>
      <c r="D394" s="99" t="s">
        <v>2515</v>
      </c>
      <c r="E394" s="76">
        <v>45657</v>
      </c>
      <c r="F394" s="100">
        <v>2632900</v>
      </c>
      <c r="G394" s="77" t="s">
        <v>951</v>
      </c>
      <c r="H394" s="101" t="s">
        <v>422</v>
      </c>
      <c r="I394" s="65" t="s">
        <v>1790</v>
      </c>
      <c r="J394" s="102"/>
      <c r="K394" s="102"/>
      <c r="L394" s="102"/>
      <c r="M394" s="102"/>
      <c r="N394" s="91" t="s">
        <v>2472</v>
      </c>
    </row>
    <row r="395" spans="2:14" ht="27" x14ac:dyDescent="0.3">
      <c r="B395" s="142">
        <v>20</v>
      </c>
      <c r="C395" s="75" t="s">
        <v>2100</v>
      </c>
      <c r="D395" s="143" t="s">
        <v>2516</v>
      </c>
      <c r="E395" s="76">
        <v>45657</v>
      </c>
      <c r="F395" s="144">
        <v>3709100</v>
      </c>
      <c r="G395" s="77" t="s">
        <v>678</v>
      </c>
      <c r="H395" s="145" t="s">
        <v>422</v>
      </c>
      <c r="I395" s="65" t="s">
        <v>2517</v>
      </c>
      <c r="J395" s="102"/>
      <c r="K395" s="102"/>
      <c r="L395" s="102"/>
      <c r="M395" s="102"/>
      <c r="N395" s="91" t="s">
        <v>1626</v>
      </c>
    </row>
    <row r="398" spans="2:14" ht="17.25" thickBot="1" x14ac:dyDescent="0.35">
      <c r="B398" s="110"/>
      <c r="C398" s="111"/>
      <c r="D398" s="111"/>
      <c r="E398" s="111"/>
      <c r="F398" s="111"/>
      <c r="G398" s="112"/>
      <c r="H398" s="113"/>
      <c r="I398" s="111"/>
      <c r="J398" s="114"/>
      <c r="K398" s="111"/>
      <c r="L398" s="115"/>
      <c r="M398" s="115"/>
      <c r="N398" s="115"/>
    </row>
    <row r="399" spans="2:14" ht="45.75" thickTop="1" x14ac:dyDescent="0.3">
      <c r="B399" s="116"/>
      <c r="C399" s="117" t="s">
        <v>795</v>
      </c>
      <c r="D399" s="118">
        <v>386</v>
      </c>
      <c r="E399" s="119"/>
      <c r="F399" s="117" t="s">
        <v>796</v>
      </c>
      <c r="G399" s="120">
        <f>SUM(J245:J396)</f>
        <v>0</v>
      </c>
      <c r="H399" s="121"/>
      <c r="I399" s="119"/>
      <c r="J399" s="119"/>
      <c r="K399" s="122" t="s">
        <v>797</v>
      </c>
      <c r="L399" s="123" t="s">
        <v>13</v>
      </c>
      <c r="M399" s="123">
        <v>91</v>
      </c>
      <c r="N399" s="124"/>
    </row>
    <row r="400" spans="2:14" x14ac:dyDescent="0.3">
      <c r="B400" s="125" t="s">
        <v>798</v>
      </c>
      <c r="C400" s="126"/>
      <c r="D400" s="126"/>
      <c r="E400" s="126"/>
      <c r="F400" s="126"/>
      <c r="G400" s="127"/>
      <c r="H400" s="128"/>
      <c r="I400" s="126"/>
      <c r="J400" s="126"/>
      <c r="K400" s="129"/>
      <c r="L400" s="130" t="s">
        <v>6</v>
      </c>
      <c r="M400" s="130">
        <f>COUNTA(P245:P396)</f>
        <v>0</v>
      </c>
      <c r="N400" s="131"/>
    </row>
    <row r="401" spans="2:14" ht="76.5" thickBot="1" x14ac:dyDescent="0.35">
      <c r="B401" s="132"/>
      <c r="C401" s="133"/>
      <c r="D401" s="133"/>
      <c r="E401" s="133"/>
      <c r="F401" s="133"/>
      <c r="G401" s="134"/>
      <c r="H401" s="135"/>
      <c r="I401" s="133"/>
      <c r="J401" s="133"/>
      <c r="K401" s="136"/>
      <c r="L401" s="137" t="s">
        <v>14</v>
      </c>
      <c r="M401" s="137">
        <f>COUNTA(Q245:Q396)</f>
        <v>0</v>
      </c>
      <c r="N401" s="138"/>
    </row>
    <row r="402" spans="2:14" ht="17.25" thickTop="1" x14ac:dyDescent="0.3"/>
  </sheetData>
  <mergeCells count="31">
    <mergeCell ref="G2:G3"/>
    <mergeCell ref="B2:B3"/>
    <mergeCell ref="C2:C3"/>
    <mergeCell ref="D2:D3"/>
    <mergeCell ref="E2:E3"/>
    <mergeCell ref="F2:F3"/>
    <mergeCell ref="B287:B288"/>
    <mergeCell ref="C287:C288"/>
    <mergeCell ref="D287:D288"/>
    <mergeCell ref="E287:E288"/>
    <mergeCell ref="F287:F288"/>
    <mergeCell ref="H2:I3"/>
    <mergeCell ref="J2:L2"/>
    <mergeCell ref="M2:M3"/>
    <mergeCell ref="N2:N3"/>
    <mergeCell ref="O2:O3"/>
    <mergeCell ref="B374:B375"/>
    <mergeCell ref="C374:C375"/>
    <mergeCell ref="D374:D375"/>
    <mergeCell ref="E374:E375"/>
    <mergeCell ref="F374:F375"/>
    <mergeCell ref="G287:G288"/>
    <mergeCell ref="H287:I288"/>
    <mergeCell ref="J287:L287"/>
    <mergeCell ref="M287:M288"/>
    <mergeCell ref="N287:N288"/>
    <mergeCell ref="G374:G375"/>
    <mergeCell ref="H374:I375"/>
    <mergeCell ref="J374:L374"/>
    <mergeCell ref="M374:M375"/>
    <mergeCell ref="N374:N375"/>
  </mergeCells>
  <printOptions horizontalCentered="1"/>
  <pageMargins left="0" right="0" top="0.75" bottom="0.75" header="0.3" footer="0.3"/>
  <pageSetup scale="90"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2:P176"/>
  <sheetViews>
    <sheetView topLeftCell="A149" workbookViewId="0">
      <selection activeCell="H167" sqref="H167"/>
    </sheetView>
  </sheetViews>
  <sheetFormatPr defaultRowHeight="15" x14ac:dyDescent="0.25"/>
  <cols>
    <col min="1" max="1" width="4.28515625" style="54" customWidth="1"/>
    <col min="2" max="2" width="24.28515625" customWidth="1"/>
    <col min="3" max="4" width="13.5703125" customWidth="1"/>
    <col min="5" max="5" width="14.5703125" customWidth="1"/>
    <col min="6" max="6" width="9.28515625" style="55" customWidth="1"/>
    <col min="7" max="7" width="13" style="56" customWidth="1"/>
    <col min="8" max="8" width="14.28515625" customWidth="1"/>
    <col min="9" max="9" width="5.42578125" style="57" customWidth="1"/>
    <col min="10" max="10" width="6" style="12" customWidth="1"/>
    <col min="11" max="11" width="6.140625" customWidth="1"/>
    <col min="12" max="12" width="6.7109375" customWidth="1"/>
    <col min="13" max="13" width="6.140625" customWidth="1"/>
    <col min="14" max="14" width="10.28515625" style="12" customWidth="1"/>
    <col min="15" max="16" width="9.140625" style="12"/>
  </cols>
  <sheetData>
    <row r="2" spans="1:16" x14ac:dyDescent="0.25">
      <c r="A2" s="238" t="s">
        <v>0</v>
      </c>
      <c r="B2" s="238"/>
      <c r="C2" s="238"/>
      <c r="D2" s="238"/>
      <c r="E2" s="238"/>
      <c r="F2" s="238"/>
      <c r="G2" s="238"/>
      <c r="H2" s="238"/>
      <c r="I2" s="238"/>
      <c r="J2" s="238"/>
      <c r="K2" s="238"/>
      <c r="L2" s="238"/>
      <c r="M2" s="238"/>
      <c r="N2" s="238"/>
      <c r="O2" s="238"/>
      <c r="P2" s="238"/>
    </row>
    <row r="3" spans="1:16" x14ac:dyDescent="0.25">
      <c r="A3" s="238" t="s">
        <v>1</v>
      </c>
      <c r="B3" s="238"/>
      <c r="C3" s="238"/>
      <c r="D3" s="238"/>
      <c r="E3" s="238"/>
      <c r="F3" s="238"/>
      <c r="G3" s="238"/>
      <c r="H3" s="238"/>
      <c r="I3" s="238"/>
      <c r="J3" s="238"/>
      <c r="K3" s="238"/>
      <c r="L3" s="238"/>
      <c r="M3" s="238"/>
      <c r="N3" s="238"/>
      <c r="O3" s="238"/>
      <c r="P3" s="238"/>
    </row>
    <row r="5" spans="1:16" ht="21.75" customHeight="1" x14ac:dyDescent="0.25">
      <c r="A5" s="236" t="s">
        <v>2</v>
      </c>
      <c r="B5" s="236" t="s">
        <v>3</v>
      </c>
      <c r="C5" s="236" t="s">
        <v>4</v>
      </c>
      <c r="D5" s="236" t="s">
        <v>5</v>
      </c>
      <c r="E5" s="236" t="s">
        <v>6</v>
      </c>
      <c r="F5" s="236" t="s">
        <v>7</v>
      </c>
      <c r="G5" s="236" t="s">
        <v>8</v>
      </c>
      <c r="H5" s="236" t="s">
        <v>9</v>
      </c>
      <c r="I5" s="236" t="s">
        <v>10</v>
      </c>
      <c r="J5" s="236" t="s">
        <v>11</v>
      </c>
      <c r="K5" s="242" t="s">
        <v>12</v>
      </c>
      <c r="L5" s="242"/>
      <c r="M5" s="242"/>
      <c r="N5" s="236" t="s">
        <v>13</v>
      </c>
      <c r="O5" s="236" t="s">
        <v>6</v>
      </c>
      <c r="P5" s="236" t="s">
        <v>14</v>
      </c>
    </row>
    <row r="6" spans="1:16" ht="21.75" customHeight="1" x14ac:dyDescent="0.25">
      <c r="A6" s="237"/>
      <c r="B6" s="237"/>
      <c r="C6" s="237"/>
      <c r="D6" s="237"/>
      <c r="E6" s="237"/>
      <c r="F6" s="237"/>
      <c r="G6" s="237"/>
      <c r="H6" s="237"/>
      <c r="I6" s="237"/>
      <c r="J6" s="237"/>
      <c r="K6" s="1" t="s">
        <v>15</v>
      </c>
      <c r="L6" s="1" t="s">
        <v>16</v>
      </c>
      <c r="M6" s="1" t="s">
        <v>17</v>
      </c>
      <c r="N6" s="237"/>
      <c r="O6" s="237"/>
      <c r="P6" s="237"/>
    </row>
    <row r="7" spans="1:16" ht="120" x14ac:dyDescent="0.25">
      <c r="A7" s="2">
        <v>1</v>
      </c>
      <c r="B7" s="3" t="s">
        <v>18</v>
      </c>
      <c r="C7" s="3" t="s">
        <v>19</v>
      </c>
      <c r="D7" s="3" t="s">
        <v>20</v>
      </c>
      <c r="E7" s="3" t="s">
        <v>21</v>
      </c>
      <c r="F7" s="4" t="s">
        <v>22</v>
      </c>
      <c r="G7" s="5">
        <v>1730820</v>
      </c>
      <c r="H7" s="3" t="s">
        <v>23</v>
      </c>
      <c r="I7" s="6">
        <v>1</v>
      </c>
      <c r="J7" s="3" t="s">
        <v>24</v>
      </c>
      <c r="K7" s="7"/>
      <c r="L7" s="7"/>
      <c r="M7" s="7"/>
      <c r="N7" s="3" t="s">
        <v>25</v>
      </c>
      <c r="O7" s="3"/>
      <c r="P7" s="3" t="s">
        <v>14</v>
      </c>
    </row>
    <row r="8" spans="1:16" ht="60" x14ac:dyDescent="0.25">
      <c r="A8" s="2">
        <v>2</v>
      </c>
      <c r="B8" s="3" t="s">
        <v>26</v>
      </c>
      <c r="C8" s="3" t="s">
        <v>27</v>
      </c>
      <c r="D8" s="3" t="s">
        <v>28</v>
      </c>
      <c r="E8" s="3" t="s">
        <v>29</v>
      </c>
      <c r="F8" s="4" t="s">
        <v>30</v>
      </c>
      <c r="G8" s="5">
        <v>1608800</v>
      </c>
      <c r="H8" s="3" t="s">
        <v>23</v>
      </c>
      <c r="I8" s="6">
        <v>1</v>
      </c>
      <c r="J8" s="3" t="s">
        <v>24</v>
      </c>
      <c r="K8" s="7"/>
      <c r="L8" s="7"/>
      <c r="M8" s="7"/>
      <c r="N8" s="3" t="s">
        <v>25</v>
      </c>
      <c r="O8" s="3"/>
      <c r="P8" s="3" t="s">
        <v>14</v>
      </c>
    </row>
    <row r="9" spans="1:16" ht="75" x14ac:dyDescent="0.25">
      <c r="A9" s="2">
        <v>3</v>
      </c>
      <c r="B9" s="3" t="s">
        <v>31</v>
      </c>
      <c r="C9" s="3" t="s">
        <v>32</v>
      </c>
      <c r="D9" s="3" t="s">
        <v>33</v>
      </c>
      <c r="E9" s="3" t="s">
        <v>34</v>
      </c>
      <c r="F9" s="4" t="s">
        <v>35</v>
      </c>
      <c r="G9" s="5">
        <v>1600000</v>
      </c>
      <c r="H9" s="3" t="s">
        <v>23</v>
      </c>
      <c r="I9" s="6">
        <v>1</v>
      </c>
      <c r="J9" s="3" t="s">
        <v>36</v>
      </c>
      <c r="K9" s="7"/>
      <c r="L9" s="7"/>
      <c r="M9" s="7"/>
      <c r="N9" s="3" t="s">
        <v>25</v>
      </c>
      <c r="O9" s="3" t="s">
        <v>37</v>
      </c>
      <c r="P9" s="3"/>
    </row>
    <row r="10" spans="1:16" ht="102" x14ac:dyDescent="0.25">
      <c r="A10" s="2">
        <v>4</v>
      </c>
      <c r="B10" s="8" t="s">
        <v>38</v>
      </c>
      <c r="C10" s="8" t="s">
        <v>39</v>
      </c>
      <c r="D10" s="3" t="s">
        <v>40</v>
      </c>
      <c r="E10" s="8" t="s">
        <v>41</v>
      </c>
      <c r="F10" s="8" t="s">
        <v>42</v>
      </c>
      <c r="G10" s="9">
        <v>1650000</v>
      </c>
      <c r="H10" s="8" t="s">
        <v>23</v>
      </c>
      <c r="I10" s="10">
        <v>1</v>
      </c>
      <c r="J10" s="3" t="s">
        <v>24</v>
      </c>
      <c r="K10" s="7"/>
      <c r="L10" s="7"/>
      <c r="M10" s="7"/>
      <c r="N10" s="3" t="s">
        <v>25</v>
      </c>
      <c r="O10" s="3"/>
      <c r="P10" s="3" t="s">
        <v>14</v>
      </c>
    </row>
    <row r="11" spans="1:16" ht="34.5" x14ac:dyDescent="0.25">
      <c r="A11" s="2">
        <v>5</v>
      </c>
      <c r="B11" s="8" t="s">
        <v>43</v>
      </c>
      <c r="C11" s="8" t="s">
        <v>44</v>
      </c>
      <c r="D11" s="3" t="s">
        <v>45</v>
      </c>
      <c r="E11" s="8" t="s">
        <v>46</v>
      </c>
      <c r="F11" s="8" t="s">
        <v>47</v>
      </c>
      <c r="G11" s="9">
        <v>14875000</v>
      </c>
      <c r="H11" s="8" t="s">
        <v>23</v>
      </c>
      <c r="I11" s="10">
        <v>1</v>
      </c>
      <c r="J11" s="3" t="s">
        <v>24</v>
      </c>
      <c r="K11" s="7"/>
      <c r="L11" s="7"/>
      <c r="M11" s="7"/>
      <c r="N11" s="3" t="s">
        <v>25</v>
      </c>
      <c r="O11" s="3"/>
      <c r="P11" s="3" t="s">
        <v>14</v>
      </c>
    </row>
    <row r="12" spans="1:16" ht="34.5" x14ac:dyDescent="0.25">
      <c r="A12" s="2">
        <v>6</v>
      </c>
      <c r="B12" s="8" t="s">
        <v>48</v>
      </c>
      <c r="C12" s="8" t="s">
        <v>49</v>
      </c>
      <c r="D12" s="3" t="s">
        <v>28</v>
      </c>
      <c r="E12" s="8" t="s">
        <v>46</v>
      </c>
      <c r="F12" s="8" t="s">
        <v>47</v>
      </c>
      <c r="G12" s="9">
        <v>5800000</v>
      </c>
      <c r="H12" s="8" t="s">
        <v>23</v>
      </c>
      <c r="I12" s="10">
        <v>1</v>
      </c>
      <c r="J12" s="3" t="s">
        <v>24</v>
      </c>
      <c r="K12" s="7"/>
      <c r="L12" s="7"/>
      <c r="M12" s="7"/>
      <c r="N12" s="3" t="s">
        <v>25</v>
      </c>
      <c r="O12" s="3"/>
      <c r="P12" s="3" t="s">
        <v>14</v>
      </c>
    </row>
    <row r="13" spans="1:16" ht="105" x14ac:dyDescent="0.25">
      <c r="A13" s="2">
        <v>7</v>
      </c>
      <c r="B13" s="3" t="s">
        <v>50</v>
      </c>
      <c r="C13" s="3" t="s">
        <v>51</v>
      </c>
      <c r="D13" s="3" t="s">
        <v>52</v>
      </c>
      <c r="E13" s="3" t="s">
        <v>53</v>
      </c>
      <c r="F13" s="4" t="s">
        <v>54</v>
      </c>
      <c r="G13" s="5">
        <v>7931380</v>
      </c>
      <c r="H13" s="3" t="s">
        <v>23</v>
      </c>
      <c r="I13" s="6">
        <v>2</v>
      </c>
      <c r="J13" s="3" t="s">
        <v>24</v>
      </c>
      <c r="K13" s="7"/>
      <c r="L13" s="7"/>
      <c r="M13" s="7"/>
      <c r="N13" s="3"/>
      <c r="O13" s="3" t="s">
        <v>55</v>
      </c>
      <c r="P13" s="3"/>
    </row>
    <row r="14" spans="1:16" ht="75" x14ac:dyDescent="0.25">
      <c r="A14" s="2">
        <v>8</v>
      </c>
      <c r="B14" s="3" t="s">
        <v>56</v>
      </c>
      <c r="C14" s="3" t="s">
        <v>57</v>
      </c>
      <c r="D14" s="3" t="s">
        <v>58</v>
      </c>
      <c r="E14" s="3" t="s">
        <v>59</v>
      </c>
      <c r="F14" s="4" t="s">
        <v>60</v>
      </c>
      <c r="G14" s="5">
        <v>1891892</v>
      </c>
      <c r="H14" s="3" t="s">
        <v>61</v>
      </c>
      <c r="I14" s="6">
        <v>1</v>
      </c>
      <c r="J14" s="3" t="s">
        <v>24</v>
      </c>
      <c r="K14" s="7"/>
      <c r="L14" s="7"/>
      <c r="M14" s="7"/>
      <c r="N14" s="3" t="s">
        <v>25</v>
      </c>
      <c r="O14" s="3"/>
      <c r="P14" s="3" t="s">
        <v>14</v>
      </c>
    </row>
    <row r="15" spans="1:16" ht="45" x14ac:dyDescent="0.25">
      <c r="A15" s="2">
        <v>9</v>
      </c>
      <c r="B15" s="3" t="s">
        <v>62</v>
      </c>
      <c r="C15" s="3" t="s">
        <v>63</v>
      </c>
      <c r="D15" s="3" t="s">
        <v>64</v>
      </c>
      <c r="E15" s="3" t="s">
        <v>65</v>
      </c>
      <c r="F15" s="4" t="s">
        <v>66</v>
      </c>
      <c r="G15" s="5">
        <v>1664050</v>
      </c>
      <c r="H15" s="3" t="s">
        <v>61</v>
      </c>
      <c r="I15" s="6">
        <v>1</v>
      </c>
      <c r="J15" s="3" t="s">
        <v>24</v>
      </c>
      <c r="K15" s="7"/>
      <c r="L15" s="7"/>
      <c r="M15" s="7"/>
      <c r="N15" s="3" t="s">
        <v>25</v>
      </c>
      <c r="O15" s="3"/>
      <c r="P15" s="3" t="s">
        <v>14</v>
      </c>
    </row>
    <row r="16" spans="1:16" ht="75" x14ac:dyDescent="0.25">
      <c r="A16" s="2">
        <v>10</v>
      </c>
      <c r="B16" s="3" t="s">
        <v>67</v>
      </c>
      <c r="C16" s="3" t="s">
        <v>68</v>
      </c>
      <c r="D16" s="3" t="s">
        <v>69</v>
      </c>
      <c r="E16" s="3" t="s">
        <v>70</v>
      </c>
      <c r="F16" s="4" t="s">
        <v>71</v>
      </c>
      <c r="G16" s="5">
        <v>1825050</v>
      </c>
      <c r="H16" s="3" t="s">
        <v>61</v>
      </c>
      <c r="I16" s="6">
        <v>1</v>
      </c>
      <c r="J16" s="3" t="s">
        <v>24</v>
      </c>
      <c r="K16" s="7"/>
      <c r="L16" s="7"/>
      <c r="M16" s="7"/>
      <c r="N16" s="3" t="s">
        <v>25</v>
      </c>
      <c r="O16" s="3"/>
      <c r="P16" s="3" t="s">
        <v>14</v>
      </c>
    </row>
    <row r="17" spans="1:16" ht="75" x14ac:dyDescent="0.25">
      <c r="A17" s="2">
        <v>11</v>
      </c>
      <c r="B17" s="3" t="s">
        <v>72</v>
      </c>
      <c r="C17" s="3" t="s">
        <v>73</v>
      </c>
      <c r="D17" s="3" t="s">
        <v>74</v>
      </c>
      <c r="E17" s="3" t="s">
        <v>75</v>
      </c>
      <c r="F17" s="4" t="s">
        <v>76</v>
      </c>
      <c r="G17" s="5">
        <v>1531531.41</v>
      </c>
      <c r="H17" s="3" t="s">
        <v>61</v>
      </c>
      <c r="I17" s="6">
        <v>1</v>
      </c>
      <c r="J17" s="3" t="s">
        <v>24</v>
      </c>
      <c r="K17" s="7"/>
      <c r="L17" s="7"/>
      <c r="M17" s="7"/>
      <c r="N17" s="3" t="s">
        <v>25</v>
      </c>
      <c r="O17" s="3"/>
      <c r="P17" s="3" t="s">
        <v>14</v>
      </c>
    </row>
    <row r="18" spans="1:16" ht="45" x14ac:dyDescent="0.25">
      <c r="A18" s="2">
        <v>12</v>
      </c>
      <c r="B18" s="3" t="s">
        <v>77</v>
      </c>
      <c r="C18" s="3" t="s">
        <v>78</v>
      </c>
      <c r="D18" s="3" t="s">
        <v>79</v>
      </c>
      <c r="E18" s="3" t="s">
        <v>80</v>
      </c>
      <c r="F18" s="4" t="s">
        <v>81</v>
      </c>
      <c r="G18" s="5">
        <v>1550000</v>
      </c>
      <c r="H18" s="3" t="s">
        <v>61</v>
      </c>
      <c r="I18" s="6">
        <v>1</v>
      </c>
      <c r="J18" s="3" t="s">
        <v>24</v>
      </c>
      <c r="K18" s="7"/>
      <c r="L18" s="7"/>
      <c r="M18" s="7"/>
      <c r="N18" s="3" t="s">
        <v>25</v>
      </c>
      <c r="O18" s="3"/>
      <c r="P18" s="3" t="s">
        <v>14</v>
      </c>
    </row>
    <row r="19" spans="1:16" ht="75" x14ac:dyDescent="0.25">
      <c r="A19" s="2">
        <v>13</v>
      </c>
      <c r="B19" s="3" t="s">
        <v>82</v>
      </c>
      <c r="C19" s="3" t="s">
        <v>83</v>
      </c>
      <c r="D19" s="3" t="s">
        <v>84</v>
      </c>
      <c r="E19" s="3" t="s">
        <v>85</v>
      </c>
      <c r="F19" s="4" t="s">
        <v>86</v>
      </c>
      <c r="G19" s="5">
        <v>1590000</v>
      </c>
      <c r="H19" s="3" t="s">
        <v>61</v>
      </c>
      <c r="I19" s="6">
        <v>1</v>
      </c>
      <c r="J19" s="3" t="s">
        <v>36</v>
      </c>
      <c r="K19" s="7"/>
      <c r="L19" s="7"/>
      <c r="M19" s="7"/>
      <c r="N19" s="3" t="s">
        <v>25</v>
      </c>
      <c r="O19" s="3"/>
      <c r="P19" s="3" t="s">
        <v>14</v>
      </c>
    </row>
    <row r="20" spans="1:16" ht="90" x14ac:dyDescent="0.25">
      <c r="A20" s="2">
        <v>14</v>
      </c>
      <c r="B20" s="3" t="s">
        <v>87</v>
      </c>
      <c r="C20" s="3" t="s">
        <v>88</v>
      </c>
      <c r="D20" s="3" t="s">
        <v>89</v>
      </c>
      <c r="E20" s="3" t="s">
        <v>90</v>
      </c>
      <c r="F20" s="4" t="s">
        <v>91</v>
      </c>
      <c r="G20" s="5">
        <v>1584865</v>
      </c>
      <c r="H20" s="3" t="s">
        <v>61</v>
      </c>
      <c r="I20" s="6">
        <v>1</v>
      </c>
      <c r="J20" s="3" t="s">
        <v>36</v>
      </c>
      <c r="K20" s="7"/>
      <c r="L20" s="7"/>
      <c r="M20" s="7"/>
      <c r="N20" s="3" t="s">
        <v>25</v>
      </c>
      <c r="O20" s="3"/>
      <c r="P20" s="3" t="s">
        <v>14</v>
      </c>
    </row>
    <row r="21" spans="1:16" ht="90" x14ac:dyDescent="0.25">
      <c r="A21" s="2">
        <v>15</v>
      </c>
      <c r="B21" s="3" t="s">
        <v>92</v>
      </c>
      <c r="C21" s="3" t="s">
        <v>93</v>
      </c>
      <c r="D21" s="3" t="s">
        <v>94</v>
      </c>
      <c r="E21" s="3" t="s">
        <v>95</v>
      </c>
      <c r="F21" s="4" t="s">
        <v>96</v>
      </c>
      <c r="G21" s="5">
        <v>1350000</v>
      </c>
      <c r="H21" s="3" t="s">
        <v>61</v>
      </c>
      <c r="I21" s="6">
        <v>1</v>
      </c>
      <c r="J21" s="3" t="s">
        <v>36</v>
      </c>
      <c r="K21" s="7"/>
      <c r="L21" s="7"/>
      <c r="M21" s="7"/>
      <c r="N21" s="3" t="s">
        <v>25</v>
      </c>
      <c r="O21" s="3"/>
      <c r="P21" s="3" t="s">
        <v>14</v>
      </c>
    </row>
    <row r="22" spans="1:16" ht="45" x14ac:dyDescent="0.25">
      <c r="A22" s="2">
        <v>16</v>
      </c>
      <c r="B22" s="3" t="s">
        <v>97</v>
      </c>
      <c r="C22" s="3" t="s">
        <v>98</v>
      </c>
      <c r="D22" s="3" t="s">
        <v>99</v>
      </c>
      <c r="E22" s="3" t="s">
        <v>100</v>
      </c>
      <c r="F22" s="4" t="s">
        <v>101</v>
      </c>
      <c r="G22" s="5">
        <v>1355425</v>
      </c>
      <c r="H22" s="3" t="s">
        <v>61</v>
      </c>
      <c r="I22" s="6">
        <v>1</v>
      </c>
      <c r="J22" s="3" t="s">
        <v>36</v>
      </c>
      <c r="K22" s="7"/>
      <c r="L22" s="7"/>
      <c r="M22" s="7"/>
      <c r="N22" s="3"/>
      <c r="O22" s="3" t="s">
        <v>102</v>
      </c>
      <c r="P22" s="3" t="s">
        <v>14</v>
      </c>
    </row>
    <row r="23" spans="1:16" ht="75" x14ac:dyDescent="0.25">
      <c r="A23" s="2">
        <v>17</v>
      </c>
      <c r="B23" s="3" t="s">
        <v>103</v>
      </c>
      <c r="C23" s="3" t="s">
        <v>104</v>
      </c>
      <c r="D23" s="3" t="s">
        <v>105</v>
      </c>
      <c r="E23" s="3" t="s">
        <v>106</v>
      </c>
      <c r="F23" s="4" t="s">
        <v>35</v>
      </c>
      <c r="G23" s="5">
        <v>1025000</v>
      </c>
      <c r="H23" s="3" t="s">
        <v>61</v>
      </c>
      <c r="I23" s="6">
        <v>1</v>
      </c>
      <c r="J23" s="3" t="s">
        <v>36</v>
      </c>
      <c r="K23" s="7"/>
      <c r="L23" s="7"/>
      <c r="M23" s="7"/>
      <c r="N23" s="3"/>
      <c r="O23" s="3" t="s">
        <v>107</v>
      </c>
      <c r="P23" s="3" t="s">
        <v>14</v>
      </c>
    </row>
    <row r="24" spans="1:16" ht="60" x14ac:dyDescent="0.25">
      <c r="A24" s="2">
        <v>18</v>
      </c>
      <c r="B24" s="3" t="s">
        <v>108</v>
      </c>
      <c r="C24" s="3" t="s">
        <v>109</v>
      </c>
      <c r="D24" s="3" t="s">
        <v>110</v>
      </c>
      <c r="E24" s="3" t="s">
        <v>111</v>
      </c>
      <c r="F24" s="4" t="s">
        <v>91</v>
      </c>
      <c r="G24" s="5">
        <v>5806307</v>
      </c>
      <c r="H24" s="3" t="s">
        <v>61</v>
      </c>
      <c r="I24" s="6">
        <v>5</v>
      </c>
      <c r="J24" s="3" t="s">
        <v>36</v>
      </c>
      <c r="K24" s="7"/>
      <c r="L24" s="7"/>
      <c r="M24" s="7"/>
      <c r="N24" s="3" t="s">
        <v>25</v>
      </c>
      <c r="O24" s="3" t="s">
        <v>112</v>
      </c>
      <c r="P24" s="3" t="s">
        <v>14</v>
      </c>
    </row>
    <row r="25" spans="1:16" ht="45" x14ac:dyDescent="0.25">
      <c r="A25" s="2">
        <v>19</v>
      </c>
      <c r="B25" s="3" t="s">
        <v>113</v>
      </c>
      <c r="C25" s="3" t="s">
        <v>114</v>
      </c>
      <c r="D25" s="3" t="s">
        <v>115</v>
      </c>
      <c r="E25" s="3" t="s">
        <v>116</v>
      </c>
      <c r="F25" s="4" t="s">
        <v>117</v>
      </c>
      <c r="G25" s="5">
        <v>2125000</v>
      </c>
      <c r="H25" s="3" t="s">
        <v>61</v>
      </c>
      <c r="I25" s="6"/>
      <c r="J25" s="3" t="s">
        <v>36</v>
      </c>
      <c r="K25" s="7"/>
      <c r="L25" s="7"/>
      <c r="M25" s="7"/>
      <c r="N25" s="3" t="s">
        <v>25</v>
      </c>
      <c r="O25" s="3"/>
      <c r="P25" s="3" t="s">
        <v>14</v>
      </c>
    </row>
    <row r="26" spans="1:16" ht="270" x14ac:dyDescent="0.25">
      <c r="A26" s="2">
        <v>20</v>
      </c>
      <c r="B26" s="3" t="s">
        <v>118</v>
      </c>
      <c r="C26" s="3" t="s">
        <v>119</v>
      </c>
      <c r="D26" s="3" t="s">
        <v>120</v>
      </c>
      <c r="E26" s="3" t="s">
        <v>121</v>
      </c>
      <c r="F26" s="4" t="s">
        <v>122</v>
      </c>
      <c r="G26" s="5">
        <v>2550000</v>
      </c>
      <c r="H26" s="3" t="s">
        <v>123</v>
      </c>
      <c r="I26" s="6">
        <v>3</v>
      </c>
      <c r="J26" s="3" t="s">
        <v>36</v>
      </c>
      <c r="K26" s="7"/>
      <c r="L26" s="7"/>
      <c r="M26" s="7"/>
      <c r="N26" s="3" t="s">
        <v>124</v>
      </c>
      <c r="O26" s="3" t="s">
        <v>125</v>
      </c>
      <c r="P26" s="3"/>
    </row>
    <row r="27" spans="1:16" ht="45" x14ac:dyDescent="0.25">
      <c r="A27" s="2">
        <v>21</v>
      </c>
      <c r="B27" s="3" t="s">
        <v>126</v>
      </c>
      <c r="C27" s="3" t="s">
        <v>127</v>
      </c>
      <c r="D27" s="3" t="s">
        <v>128</v>
      </c>
      <c r="E27" s="3" t="s">
        <v>129</v>
      </c>
      <c r="F27" s="4" t="s">
        <v>130</v>
      </c>
      <c r="G27" s="5">
        <v>7650000</v>
      </c>
      <c r="H27" s="3" t="s">
        <v>123</v>
      </c>
      <c r="I27" s="6">
        <v>1</v>
      </c>
      <c r="J27" s="3" t="s">
        <v>36</v>
      </c>
      <c r="K27" s="7"/>
      <c r="L27" s="7"/>
      <c r="M27" s="7"/>
      <c r="N27" s="3" t="s">
        <v>124</v>
      </c>
      <c r="O27" s="3"/>
      <c r="P27" s="3" t="s">
        <v>14</v>
      </c>
    </row>
    <row r="28" spans="1:16" ht="90" x14ac:dyDescent="0.25">
      <c r="A28" s="2">
        <v>22</v>
      </c>
      <c r="B28" s="3" t="s">
        <v>131</v>
      </c>
      <c r="C28" s="3" t="s">
        <v>132</v>
      </c>
      <c r="D28" s="3" t="s">
        <v>133</v>
      </c>
      <c r="E28" s="3" t="s">
        <v>134</v>
      </c>
      <c r="F28" s="4" t="s">
        <v>135</v>
      </c>
      <c r="G28" s="5">
        <v>25000000</v>
      </c>
      <c r="H28" s="3" t="s">
        <v>136</v>
      </c>
      <c r="I28" s="6">
        <v>1</v>
      </c>
      <c r="J28" s="3" t="s">
        <v>24</v>
      </c>
      <c r="K28" s="7"/>
      <c r="L28" s="7"/>
      <c r="M28" s="7"/>
      <c r="N28" s="3" t="s">
        <v>25</v>
      </c>
      <c r="O28" s="3"/>
      <c r="P28" s="3" t="s">
        <v>14</v>
      </c>
    </row>
    <row r="29" spans="1:16" ht="105" x14ac:dyDescent="0.25">
      <c r="A29" s="2">
        <v>23</v>
      </c>
      <c r="B29" s="3" t="s">
        <v>137</v>
      </c>
      <c r="C29" s="3" t="s">
        <v>138</v>
      </c>
      <c r="D29" s="3" t="s">
        <v>139</v>
      </c>
      <c r="E29" s="3" t="s">
        <v>140</v>
      </c>
      <c r="F29" s="4" t="s">
        <v>141</v>
      </c>
      <c r="G29" s="5">
        <v>2603604</v>
      </c>
      <c r="H29" s="3" t="s">
        <v>136</v>
      </c>
      <c r="I29" s="6">
        <v>1</v>
      </c>
      <c r="J29" s="3" t="s">
        <v>24</v>
      </c>
      <c r="K29" s="7"/>
      <c r="L29" s="7"/>
      <c r="M29" s="7"/>
      <c r="N29" s="3"/>
      <c r="O29" s="3" t="s">
        <v>142</v>
      </c>
      <c r="P29" s="3"/>
    </row>
    <row r="30" spans="1:16" ht="135" x14ac:dyDescent="0.25">
      <c r="A30" s="2">
        <v>24</v>
      </c>
      <c r="B30" s="3" t="s">
        <v>143</v>
      </c>
      <c r="C30" s="3" t="s">
        <v>144</v>
      </c>
      <c r="D30" s="3" t="s">
        <v>145</v>
      </c>
      <c r="E30" s="3" t="s">
        <v>146</v>
      </c>
      <c r="F30" s="4" t="s">
        <v>147</v>
      </c>
      <c r="G30" s="5">
        <v>4407700</v>
      </c>
      <c r="H30" s="3" t="s">
        <v>136</v>
      </c>
      <c r="I30" s="6">
        <v>1</v>
      </c>
      <c r="J30" s="3" t="s">
        <v>24</v>
      </c>
      <c r="K30" s="7"/>
      <c r="L30" s="7"/>
      <c r="M30" s="7"/>
      <c r="N30" s="3" t="s">
        <v>25</v>
      </c>
      <c r="O30" s="3"/>
      <c r="P30" s="3" t="s">
        <v>14</v>
      </c>
    </row>
    <row r="31" spans="1:16" ht="120" x14ac:dyDescent="0.25">
      <c r="A31" s="2">
        <v>25</v>
      </c>
      <c r="B31" s="3" t="s">
        <v>148</v>
      </c>
      <c r="C31" s="3" t="s">
        <v>149</v>
      </c>
      <c r="D31" s="3" t="s">
        <v>150</v>
      </c>
      <c r="E31" s="3" t="s">
        <v>151</v>
      </c>
      <c r="F31" s="4" t="s">
        <v>60</v>
      </c>
      <c r="G31" s="5">
        <v>1975000</v>
      </c>
      <c r="H31" s="3" t="s">
        <v>136</v>
      </c>
      <c r="I31" s="6">
        <v>1</v>
      </c>
      <c r="J31" s="3" t="s">
        <v>24</v>
      </c>
      <c r="K31" s="7"/>
      <c r="L31" s="7"/>
      <c r="M31" s="7"/>
      <c r="N31" s="3" t="s">
        <v>25</v>
      </c>
      <c r="O31" s="3"/>
      <c r="P31" s="3" t="s">
        <v>14</v>
      </c>
    </row>
    <row r="32" spans="1:16" ht="120" x14ac:dyDescent="0.25">
      <c r="A32" s="2">
        <v>26</v>
      </c>
      <c r="B32" s="3" t="s">
        <v>152</v>
      </c>
      <c r="C32" s="3" t="s">
        <v>153</v>
      </c>
      <c r="D32" s="3" t="s">
        <v>154</v>
      </c>
      <c r="E32" s="3" t="s">
        <v>155</v>
      </c>
      <c r="F32" s="4" t="s">
        <v>156</v>
      </c>
      <c r="G32" s="5">
        <v>6171171</v>
      </c>
      <c r="H32" s="3" t="s">
        <v>136</v>
      </c>
      <c r="I32" s="6">
        <v>1</v>
      </c>
      <c r="J32" s="3" t="s">
        <v>24</v>
      </c>
      <c r="K32" s="7"/>
      <c r="L32" s="7"/>
      <c r="M32" s="7"/>
      <c r="N32" s="3" t="s">
        <v>25</v>
      </c>
      <c r="O32" s="3"/>
      <c r="P32" s="3" t="s">
        <v>14</v>
      </c>
    </row>
    <row r="33" spans="1:16" ht="135" x14ac:dyDescent="0.25">
      <c r="A33" s="2">
        <v>27</v>
      </c>
      <c r="B33" s="3" t="s">
        <v>157</v>
      </c>
      <c r="C33" s="3" t="s">
        <v>158</v>
      </c>
      <c r="D33" s="3" t="s">
        <v>159</v>
      </c>
      <c r="E33" s="3" t="s">
        <v>160</v>
      </c>
      <c r="F33" s="4" t="s">
        <v>161</v>
      </c>
      <c r="G33" s="5">
        <v>1450000</v>
      </c>
      <c r="H33" s="3" t="s">
        <v>136</v>
      </c>
      <c r="I33" s="6">
        <v>1</v>
      </c>
      <c r="J33" s="3" t="s">
        <v>24</v>
      </c>
      <c r="K33" s="7"/>
      <c r="L33" s="7"/>
      <c r="M33" s="7"/>
      <c r="N33" s="3" t="s">
        <v>25</v>
      </c>
      <c r="O33" s="3"/>
      <c r="P33" s="3" t="s">
        <v>14</v>
      </c>
    </row>
    <row r="34" spans="1:16" ht="105" x14ac:dyDescent="0.25">
      <c r="A34" s="2">
        <v>28</v>
      </c>
      <c r="B34" s="3" t="s">
        <v>162</v>
      </c>
      <c r="C34" s="3" t="s">
        <v>163</v>
      </c>
      <c r="D34" s="3" t="s">
        <v>164</v>
      </c>
      <c r="E34" s="3" t="s">
        <v>165</v>
      </c>
      <c r="F34" s="4" t="s">
        <v>166</v>
      </c>
      <c r="G34" s="5">
        <v>7844900</v>
      </c>
      <c r="H34" s="3" t="s">
        <v>136</v>
      </c>
      <c r="I34" s="6">
        <v>1</v>
      </c>
      <c r="J34" s="3" t="s">
        <v>24</v>
      </c>
      <c r="K34" s="7"/>
      <c r="L34" s="7"/>
      <c r="M34" s="7"/>
      <c r="N34" s="3" t="s">
        <v>25</v>
      </c>
      <c r="O34" s="3"/>
      <c r="P34" s="3" t="s">
        <v>14</v>
      </c>
    </row>
    <row r="35" spans="1:16" ht="180" x14ac:dyDescent="0.25">
      <c r="A35" s="2">
        <v>29</v>
      </c>
      <c r="B35" s="3" t="s">
        <v>167</v>
      </c>
      <c r="C35" s="3" t="s">
        <v>168</v>
      </c>
      <c r="D35" s="3" t="s">
        <v>169</v>
      </c>
      <c r="E35" s="3" t="s">
        <v>170</v>
      </c>
      <c r="F35" s="4" t="s">
        <v>166</v>
      </c>
      <c r="G35" s="5">
        <v>3977395450</v>
      </c>
      <c r="H35" s="3" t="s">
        <v>136</v>
      </c>
      <c r="I35" s="6">
        <v>1</v>
      </c>
      <c r="J35" s="3" t="s">
        <v>24</v>
      </c>
      <c r="K35" s="7"/>
      <c r="L35" s="7"/>
      <c r="M35" s="7"/>
      <c r="N35" s="3" t="s">
        <v>25</v>
      </c>
      <c r="O35" s="3"/>
      <c r="P35" s="3" t="s">
        <v>14</v>
      </c>
    </row>
    <row r="36" spans="1:16" ht="75" x14ac:dyDescent="0.25">
      <c r="A36" s="2">
        <v>30</v>
      </c>
      <c r="B36" s="3" t="s">
        <v>171</v>
      </c>
      <c r="C36" s="3" t="s">
        <v>172</v>
      </c>
      <c r="D36" s="3" t="s">
        <v>173</v>
      </c>
      <c r="E36" s="3" t="s">
        <v>174</v>
      </c>
      <c r="F36" s="4" t="s">
        <v>175</v>
      </c>
      <c r="G36" s="5">
        <v>3550000</v>
      </c>
      <c r="H36" s="3" t="s">
        <v>136</v>
      </c>
      <c r="I36" s="6">
        <v>1</v>
      </c>
      <c r="J36" s="3" t="s">
        <v>24</v>
      </c>
      <c r="K36" s="7"/>
      <c r="L36" s="7"/>
      <c r="M36" s="7"/>
      <c r="N36" s="3"/>
      <c r="O36" s="3" t="s">
        <v>176</v>
      </c>
      <c r="P36" s="3"/>
    </row>
    <row r="37" spans="1:16" ht="90" x14ac:dyDescent="0.25">
      <c r="A37" s="2">
        <v>31</v>
      </c>
      <c r="B37" s="3" t="s">
        <v>177</v>
      </c>
      <c r="C37" s="3" t="s">
        <v>178</v>
      </c>
      <c r="D37" s="3" t="s">
        <v>179</v>
      </c>
      <c r="E37" s="3" t="s">
        <v>180</v>
      </c>
      <c r="F37" s="4" t="s">
        <v>54</v>
      </c>
      <c r="G37" s="5">
        <v>4799931</v>
      </c>
      <c r="H37" s="3" t="s">
        <v>136</v>
      </c>
      <c r="I37" s="6">
        <v>1</v>
      </c>
      <c r="J37" s="3" t="s">
        <v>24</v>
      </c>
      <c r="K37" s="7"/>
      <c r="L37" s="7"/>
      <c r="M37" s="7"/>
      <c r="N37" s="3" t="s">
        <v>25</v>
      </c>
      <c r="O37" s="3"/>
      <c r="P37" s="3" t="s">
        <v>14</v>
      </c>
    </row>
    <row r="38" spans="1:16" ht="90" x14ac:dyDescent="0.25">
      <c r="A38" s="2">
        <v>32</v>
      </c>
      <c r="B38" s="3" t="s">
        <v>181</v>
      </c>
      <c r="C38" s="3" t="s">
        <v>182</v>
      </c>
      <c r="D38" s="3" t="s">
        <v>183</v>
      </c>
      <c r="E38" s="3" t="s">
        <v>184</v>
      </c>
      <c r="F38" s="4" t="s">
        <v>185</v>
      </c>
      <c r="G38" s="5">
        <v>33000000</v>
      </c>
      <c r="H38" s="3" t="s">
        <v>136</v>
      </c>
      <c r="I38" s="6">
        <v>1</v>
      </c>
      <c r="J38" s="3" t="s">
        <v>24</v>
      </c>
      <c r="K38" s="7"/>
      <c r="L38" s="7"/>
      <c r="M38" s="7"/>
      <c r="N38" s="3" t="s">
        <v>25</v>
      </c>
      <c r="O38" s="3"/>
      <c r="P38" s="3" t="s">
        <v>14</v>
      </c>
    </row>
    <row r="39" spans="1:16" ht="90" x14ac:dyDescent="0.25">
      <c r="A39" s="2">
        <v>33</v>
      </c>
      <c r="B39" s="3" t="s">
        <v>186</v>
      </c>
      <c r="C39" s="3" t="s">
        <v>187</v>
      </c>
      <c r="D39" s="3" t="s">
        <v>188</v>
      </c>
      <c r="E39" s="3" t="s">
        <v>189</v>
      </c>
      <c r="F39" s="4" t="s">
        <v>190</v>
      </c>
      <c r="G39" s="5">
        <v>7387388</v>
      </c>
      <c r="H39" s="3" t="s">
        <v>136</v>
      </c>
      <c r="I39" s="6">
        <v>1</v>
      </c>
      <c r="J39" s="3" t="s">
        <v>24</v>
      </c>
      <c r="K39" s="7"/>
      <c r="L39" s="7"/>
      <c r="M39" s="7"/>
      <c r="N39" s="3" t="s">
        <v>25</v>
      </c>
      <c r="O39" s="3"/>
      <c r="P39" s="3" t="s">
        <v>14</v>
      </c>
    </row>
    <row r="40" spans="1:16" ht="135" x14ac:dyDescent="0.25">
      <c r="A40" s="2">
        <v>34</v>
      </c>
      <c r="B40" s="3" t="s">
        <v>191</v>
      </c>
      <c r="C40" s="3" t="s">
        <v>192</v>
      </c>
      <c r="D40" s="3" t="s">
        <v>193</v>
      </c>
      <c r="E40" s="3" t="s">
        <v>194</v>
      </c>
      <c r="F40" s="4" t="s">
        <v>195</v>
      </c>
      <c r="G40" s="5">
        <v>4156344.15</v>
      </c>
      <c r="H40" s="3" t="s">
        <v>136</v>
      </c>
      <c r="I40" s="6">
        <v>1</v>
      </c>
      <c r="J40" s="3" t="s">
        <v>24</v>
      </c>
      <c r="K40" s="7"/>
      <c r="L40" s="7"/>
      <c r="M40" s="7"/>
      <c r="N40" s="3"/>
      <c r="O40" s="3" t="s">
        <v>196</v>
      </c>
      <c r="P40" s="3" t="s">
        <v>14</v>
      </c>
    </row>
    <row r="41" spans="1:16" ht="135" x14ac:dyDescent="0.25">
      <c r="A41" s="2">
        <v>35</v>
      </c>
      <c r="B41" s="3" t="s">
        <v>197</v>
      </c>
      <c r="C41" s="3" t="s">
        <v>198</v>
      </c>
      <c r="D41" s="3" t="s">
        <v>199</v>
      </c>
      <c r="E41" s="3" t="s">
        <v>200</v>
      </c>
      <c r="F41" s="4" t="s">
        <v>76</v>
      </c>
      <c r="G41" s="5">
        <v>9300000</v>
      </c>
      <c r="H41" s="3" t="s">
        <v>136</v>
      </c>
      <c r="I41" s="6">
        <v>1</v>
      </c>
      <c r="J41" s="3" t="s">
        <v>24</v>
      </c>
      <c r="K41" s="7"/>
      <c r="L41" s="7"/>
      <c r="M41" s="7"/>
      <c r="N41" s="3" t="s">
        <v>25</v>
      </c>
      <c r="O41" s="3" t="s">
        <v>201</v>
      </c>
      <c r="P41" s="3" t="s">
        <v>14</v>
      </c>
    </row>
    <row r="42" spans="1:16" ht="75" x14ac:dyDescent="0.25">
      <c r="A42" s="2">
        <v>36</v>
      </c>
      <c r="B42" s="3" t="s">
        <v>202</v>
      </c>
      <c r="C42" s="3" t="s">
        <v>203</v>
      </c>
      <c r="D42" s="3" t="s">
        <v>204</v>
      </c>
      <c r="E42" s="3" t="s">
        <v>205</v>
      </c>
      <c r="F42" s="4" t="s">
        <v>206</v>
      </c>
      <c r="G42" s="5">
        <v>8500000</v>
      </c>
      <c r="H42" s="3" t="s">
        <v>136</v>
      </c>
      <c r="I42" s="6">
        <v>1</v>
      </c>
      <c r="J42" s="3" t="s">
        <v>24</v>
      </c>
      <c r="K42" s="7"/>
      <c r="L42" s="7"/>
      <c r="M42" s="7"/>
      <c r="N42" s="3" t="s">
        <v>25</v>
      </c>
      <c r="O42" s="3"/>
      <c r="P42" s="3" t="s">
        <v>14</v>
      </c>
    </row>
    <row r="43" spans="1:16" ht="75" x14ac:dyDescent="0.25">
      <c r="A43" s="2">
        <v>37</v>
      </c>
      <c r="B43" s="3" t="s">
        <v>207</v>
      </c>
      <c r="C43" s="3" t="s">
        <v>208</v>
      </c>
      <c r="D43" s="3" t="s">
        <v>204</v>
      </c>
      <c r="E43" s="3" t="s">
        <v>205</v>
      </c>
      <c r="F43" s="4" t="s">
        <v>206</v>
      </c>
      <c r="G43" s="5">
        <v>8500000</v>
      </c>
      <c r="H43" s="3" t="s">
        <v>136</v>
      </c>
      <c r="I43" s="6">
        <v>1</v>
      </c>
      <c r="J43" s="3" t="s">
        <v>24</v>
      </c>
      <c r="K43" s="7"/>
      <c r="L43" s="7"/>
      <c r="M43" s="7"/>
      <c r="N43" s="3" t="s">
        <v>25</v>
      </c>
      <c r="O43" s="3"/>
      <c r="P43" s="3" t="s">
        <v>14</v>
      </c>
    </row>
    <row r="44" spans="1:16" ht="75" x14ac:dyDescent="0.25">
      <c r="A44" s="2">
        <v>38</v>
      </c>
      <c r="B44" s="3" t="s">
        <v>209</v>
      </c>
      <c r="C44" s="3" t="s">
        <v>210</v>
      </c>
      <c r="D44" s="3" t="s">
        <v>211</v>
      </c>
      <c r="E44" s="3" t="s">
        <v>212</v>
      </c>
      <c r="F44" s="4" t="s">
        <v>213</v>
      </c>
      <c r="G44" s="5">
        <v>4594595</v>
      </c>
      <c r="H44" s="3" t="s">
        <v>136</v>
      </c>
      <c r="I44" s="6">
        <v>1</v>
      </c>
      <c r="J44" s="3" t="s">
        <v>24</v>
      </c>
      <c r="K44" s="7"/>
      <c r="L44" s="7"/>
      <c r="M44" s="7"/>
      <c r="N44" s="3" t="s">
        <v>25</v>
      </c>
      <c r="O44" s="3"/>
      <c r="P44" s="3" t="s">
        <v>14</v>
      </c>
    </row>
    <row r="45" spans="1:16" ht="68.25" x14ac:dyDescent="0.25">
      <c r="A45" s="2">
        <v>39</v>
      </c>
      <c r="B45" s="8" t="s">
        <v>214</v>
      </c>
      <c r="C45" s="8" t="s">
        <v>215</v>
      </c>
      <c r="D45" s="3" t="s">
        <v>216</v>
      </c>
      <c r="E45" s="8" t="s">
        <v>217</v>
      </c>
      <c r="F45" s="8" t="s">
        <v>218</v>
      </c>
      <c r="G45" s="9">
        <v>5750000</v>
      </c>
      <c r="H45" s="8" t="s">
        <v>136</v>
      </c>
      <c r="I45" s="10">
        <v>1</v>
      </c>
      <c r="J45" s="3" t="s">
        <v>24</v>
      </c>
      <c r="K45" s="11"/>
      <c r="L45" s="11"/>
      <c r="M45" s="11"/>
      <c r="N45" s="3" t="s">
        <v>25</v>
      </c>
      <c r="O45" s="3"/>
      <c r="P45" s="3" t="s">
        <v>14</v>
      </c>
    </row>
    <row r="46" spans="1:16" ht="68.25" x14ac:dyDescent="0.25">
      <c r="A46" s="2">
        <v>40</v>
      </c>
      <c r="B46" s="8" t="s">
        <v>219</v>
      </c>
      <c r="C46" s="8" t="s">
        <v>220</v>
      </c>
      <c r="D46" s="3" t="s">
        <v>221</v>
      </c>
      <c r="E46" s="8" t="s">
        <v>222</v>
      </c>
      <c r="F46" s="8" t="s">
        <v>218</v>
      </c>
      <c r="G46" s="9">
        <v>16801802</v>
      </c>
      <c r="H46" s="8" t="s">
        <v>136</v>
      </c>
      <c r="I46" s="10">
        <v>1</v>
      </c>
      <c r="J46" s="3" t="s">
        <v>24</v>
      </c>
      <c r="K46" s="11"/>
      <c r="L46" s="11"/>
      <c r="M46" s="11"/>
      <c r="O46" s="3" t="s">
        <v>223</v>
      </c>
      <c r="P46" s="3"/>
    </row>
    <row r="47" spans="1:16" ht="79.5" x14ac:dyDescent="0.25">
      <c r="A47" s="2">
        <v>41</v>
      </c>
      <c r="B47" s="8" t="s">
        <v>224</v>
      </c>
      <c r="C47" s="8" t="s">
        <v>225</v>
      </c>
      <c r="D47" s="3" t="s">
        <v>226</v>
      </c>
      <c r="E47" s="8" t="s">
        <v>227</v>
      </c>
      <c r="F47" s="8" t="s">
        <v>228</v>
      </c>
      <c r="G47" s="9">
        <v>1730820</v>
      </c>
      <c r="H47" s="8" t="s">
        <v>136</v>
      </c>
      <c r="I47" s="10">
        <v>1</v>
      </c>
      <c r="J47" s="3" t="s">
        <v>24</v>
      </c>
      <c r="K47" s="11"/>
      <c r="L47" s="11"/>
      <c r="M47" s="11"/>
      <c r="N47" s="3" t="s">
        <v>25</v>
      </c>
      <c r="O47" s="3"/>
      <c r="P47" s="3" t="s">
        <v>14</v>
      </c>
    </row>
    <row r="48" spans="1:16" ht="79.5" x14ac:dyDescent="0.25">
      <c r="A48" s="2">
        <v>42</v>
      </c>
      <c r="B48" s="8" t="s">
        <v>229</v>
      </c>
      <c r="C48" s="8" t="s">
        <v>230</v>
      </c>
      <c r="D48" s="3" t="s">
        <v>231</v>
      </c>
      <c r="E48" s="8" t="s">
        <v>232</v>
      </c>
      <c r="F48" s="8" t="s">
        <v>233</v>
      </c>
      <c r="G48" s="9">
        <v>1730820</v>
      </c>
      <c r="H48" s="8" t="s">
        <v>136</v>
      </c>
      <c r="I48" s="10">
        <v>1</v>
      </c>
      <c r="J48" s="3" t="s">
        <v>24</v>
      </c>
      <c r="K48" s="11"/>
      <c r="L48" s="11"/>
      <c r="M48" s="11"/>
      <c r="N48" s="3"/>
      <c r="O48" s="3" t="s">
        <v>234</v>
      </c>
      <c r="P48" s="3"/>
    </row>
    <row r="49" spans="1:16" ht="120" x14ac:dyDescent="0.25">
      <c r="A49" s="2">
        <v>43</v>
      </c>
      <c r="B49" s="3" t="s">
        <v>235</v>
      </c>
      <c r="C49" s="3" t="s">
        <v>236</v>
      </c>
      <c r="D49" s="3" t="s">
        <v>237</v>
      </c>
      <c r="E49" s="3" t="s">
        <v>238</v>
      </c>
      <c r="F49" s="4" t="s">
        <v>122</v>
      </c>
      <c r="G49" s="5">
        <v>1667500</v>
      </c>
      <c r="H49" s="3" t="s">
        <v>136</v>
      </c>
      <c r="I49" s="6">
        <v>1</v>
      </c>
      <c r="J49" s="3" t="s">
        <v>36</v>
      </c>
      <c r="K49" s="7"/>
      <c r="L49" s="7"/>
      <c r="M49" s="7"/>
      <c r="N49" s="3" t="s">
        <v>124</v>
      </c>
      <c r="O49" s="3"/>
      <c r="P49" s="3" t="s">
        <v>14</v>
      </c>
    </row>
    <row r="50" spans="1:16" ht="105" x14ac:dyDescent="0.25">
      <c r="A50" s="2">
        <v>44</v>
      </c>
      <c r="B50" s="3" t="s">
        <v>239</v>
      </c>
      <c r="C50" s="3" t="s">
        <v>240</v>
      </c>
      <c r="D50" s="3" t="s">
        <v>241</v>
      </c>
      <c r="E50" s="3" t="s">
        <v>242</v>
      </c>
      <c r="F50" s="4" t="s">
        <v>243</v>
      </c>
      <c r="G50" s="5">
        <v>6550000</v>
      </c>
      <c r="H50" s="3" t="s">
        <v>136</v>
      </c>
      <c r="I50" s="6">
        <v>1</v>
      </c>
      <c r="J50" s="3" t="s">
        <v>36</v>
      </c>
      <c r="K50" s="7"/>
      <c r="L50" s="7"/>
      <c r="M50" s="7"/>
      <c r="N50" s="3" t="s">
        <v>124</v>
      </c>
      <c r="O50" s="3"/>
      <c r="P50" s="3" t="s">
        <v>14</v>
      </c>
    </row>
    <row r="51" spans="1:16" ht="45" x14ac:dyDescent="0.25">
      <c r="A51" s="2">
        <v>45</v>
      </c>
      <c r="B51" s="3" t="s">
        <v>244</v>
      </c>
      <c r="C51" s="3" t="s">
        <v>245</v>
      </c>
      <c r="D51" s="3" t="s">
        <v>246</v>
      </c>
      <c r="E51" s="3" t="s">
        <v>247</v>
      </c>
      <c r="F51" s="4" t="s">
        <v>248</v>
      </c>
      <c r="G51" s="5">
        <v>1850000</v>
      </c>
      <c r="H51" s="3" t="s">
        <v>136</v>
      </c>
      <c r="I51" s="6">
        <v>1</v>
      </c>
      <c r="J51" s="3" t="s">
        <v>36</v>
      </c>
      <c r="K51" s="7"/>
      <c r="L51" s="7"/>
      <c r="M51" s="7"/>
      <c r="N51" s="3" t="s">
        <v>124</v>
      </c>
      <c r="O51" s="3"/>
      <c r="P51" s="3" t="s">
        <v>14</v>
      </c>
    </row>
    <row r="52" spans="1:16" ht="120" x14ac:dyDescent="0.25">
      <c r="A52" s="2">
        <v>46</v>
      </c>
      <c r="B52" s="3" t="s">
        <v>249</v>
      </c>
      <c r="C52" s="3" t="s">
        <v>250</v>
      </c>
      <c r="D52" s="3" t="s">
        <v>251</v>
      </c>
      <c r="E52" s="3" t="s">
        <v>252</v>
      </c>
      <c r="F52" s="4" t="s">
        <v>253</v>
      </c>
      <c r="G52" s="5">
        <v>4357117.5</v>
      </c>
      <c r="H52" s="3" t="s">
        <v>136</v>
      </c>
      <c r="I52" s="6">
        <v>1</v>
      </c>
      <c r="J52" s="3" t="s">
        <v>36</v>
      </c>
      <c r="K52" s="7"/>
      <c r="L52" s="7"/>
      <c r="M52" s="7"/>
      <c r="N52" s="3" t="s">
        <v>124</v>
      </c>
      <c r="O52" s="3"/>
      <c r="P52" s="3" t="s">
        <v>14</v>
      </c>
    </row>
    <row r="53" spans="1:16" ht="345" x14ac:dyDescent="0.25">
      <c r="A53" s="2">
        <v>47</v>
      </c>
      <c r="B53" s="3" t="s">
        <v>254</v>
      </c>
      <c r="C53" s="3" t="s">
        <v>255</v>
      </c>
      <c r="D53" s="3" t="s">
        <v>256</v>
      </c>
      <c r="E53" s="3" t="s">
        <v>257</v>
      </c>
      <c r="F53" s="4" t="s">
        <v>258</v>
      </c>
      <c r="G53" s="5">
        <v>571947854</v>
      </c>
      <c r="H53" s="3" t="s">
        <v>136</v>
      </c>
      <c r="I53" s="6">
        <v>1</v>
      </c>
      <c r="J53" s="3" t="s">
        <v>36</v>
      </c>
      <c r="K53" s="7"/>
      <c r="L53" s="7"/>
      <c r="M53" s="7"/>
      <c r="O53" s="3" t="s">
        <v>259</v>
      </c>
      <c r="P53" s="3"/>
    </row>
    <row r="54" spans="1:16" ht="75" x14ac:dyDescent="0.25">
      <c r="A54" s="2">
        <v>48</v>
      </c>
      <c r="B54" s="3" t="s">
        <v>260</v>
      </c>
      <c r="C54" s="3" t="s">
        <v>261</v>
      </c>
      <c r="D54" s="3" t="s">
        <v>262</v>
      </c>
      <c r="E54" s="3" t="s">
        <v>263</v>
      </c>
      <c r="F54" s="4" t="s">
        <v>264</v>
      </c>
      <c r="G54" s="5">
        <v>4166667</v>
      </c>
      <c r="H54" s="3" t="s">
        <v>136</v>
      </c>
      <c r="I54" s="6">
        <v>1</v>
      </c>
      <c r="J54" s="3" t="s">
        <v>36</v>
      </c>
      <c r="K54" s="7"/>
      <c r="L54" s="7"/>
      <c r="M54" s="7"/>
      <c r="N54" s="3" t="s">
        <v>124</v>
      </c>
      <c r="O54" s="3"/>
      <c r="P54" s="3" t="s">
        <v>14</v>
      </c>
    </row>
    <row r="55" spans="1:16" ht="105" x14ac:dyDescent="0.25">
      <c r="A55" s="2">
        <v>49</v>
      </c>
      <c r="B55" s="3" t="s">
        <v>265</v>
      </c>
      <c r="C55" s="3" t="s">
        <v>266</v>
      </c>
      <c r="D55" s="3" t="s">
        <v>267</v>
      </c>
      <c r="E55" s="3" t="s">
        <v>268</v>
      </c>
      <c r="F55" s="4" t="s">
        <v>269</v>
      </c>
      <c r="G55" s="5">
        <v>9670000</v>
      </c>
      <c r="H55" s="3" t="s">
        <v>136</v>
      </c>
      <c r="I55" s="6">
        <v>1</v>
      </c>
      <c r="J55" s="3" t="s">
        <v>36</v>
      </c>
      <c r="K55" s="7"/>
      <c r="L55" s="7"/>
      <c r="M55" s="7"/>
      <c r="N55" s="3" t="s">
        <v>124</v>
      </c>
      <c r="O55" s="3"/>
      <c r="P55" s="3" t="s">
        <v>14</v>
      </c>
    </row>
    <row r="56" spans="1:16" ht="60" x14ac:dyDescent="0.25">
      <c r="A56" s="2">
        <v>50</v>
      </c>
      <c r="B56" s="3" t="s">
        <v>270</v>
      </c>
      <c r="C56" s="3" t="s">
        <v>271</v>
      </c>
      <c r="D56" s="3" t="s">
        <v>272</v>
      </c>
      <c r="E56" s="3" t="s">
        <v>273</v>
      </c>
      <c r="F56" s="4" t="s">
        <v>274</v>
      </c>
      <c r="G56" s="5">
        <v>2099300</v>
      </c>
      <c r="H56" s="3" t="s">
        <v>136</v>
      </c>
      <c r="I56" s="6">
        <v>1</v>
      </c>
      <c r="J56" s="3" t="s">
        <v>36</v>
      </c>
      <c r="K56" s="7"/>
      <c r="L56" s="7"/>
      <c r="M56" s="7"/>
      <c r="N56" s="3" t="s">
        <v>124</v>
      </c>
      <c r="O56" s="3"/>
      <c r="P56" s="3"/>
    </row>
    <row r="57" spans="1:16" ht="60" x14ac:dyDescent="0.25">
      <c r="A57" s="2">
        <v>51</v>
      </c>
      <c r="B57" s="3" t="s">
        <v>275</v>
      </c>
      <c r="C57" s="3" t="s">
        <v>276</v>
      </c>
      <c r="D57" s="3" t="s">
        <v>277</v>
      </c>
      <c r="E57" s="3" t="s">
        <v>278</v>
      </c>
      <c r="F57" s="4" t="s">
        <v>279</v>
      </c>
      <c r="G57" s="5">
        <v>3280460</v>
      </c>
      <c r="H57" s="3" t="s">
        <v>136</v>
      </c>
      <c r="I57" s="6">
        <v>1</v>
      </c>
      <c r="J57" s="3" t="s">
        <v>36</v>
      </c>
      <c r="K57" s="7"/>
      <c r="L57" s="7"/>
      <c r="M57" s="7"/>
      <c r="N57" s="3" t="s">
        <v>124</v>
      </c>
      <c r="O57" s="3"/>
      <c r="P57" s="3" t="s">
        <v>14</v>
      </c>
    </row>
    <row r="58" spans="1:16" ht="165" x14ac:dyDescent="0.25">
      <c r="A58" s="2">
        <v>52</v>
      </c>
      <c r="B58" s="3" t="s">
        <v>280</v>
      </c>
      <c r="C58" s="3" t="s">
        <v>281</v>
      </c>
      <c r="D58" s="3" t="s">
        <v>282</v>
      </c>
      <c r="E58" s="3" t="s">
        <v>283</v>
      </c>
      <c r="F58" s="4" t="s">
        <v>284</v>
      </c>
      <c r="G58" s="5">
        <v>56800000</v>
      </c>
      <c r="H58" s="3" t="s">
        <v>136</v>
      </c>
      <c r="I58" s="6">
        <v>1</v>
      </c>
      <c r="J58" s="3" t="s">
        <v>36</v>
      </c>
      <c r="K58" s="7"/>
      <c r="L58" s="7"/>
      <c r="M58" s="7"/>
      <c r="N58" s="3" t="s">
        <v>124</v>
      </c>
      <c r="O58" s="3"/>
      <c r="P58" s="3"/>
    </row>
    <row r="59" spans="1:16" ht="105" x14ac:dyDescent="0.25">
      <c r="A59" s="2">
        <v>53</v>
      </c>
      <c r="B59" s="3" t="s">
        <v>285</v>
      </c>
      <c r="C59" s="3" t="s">
        <v>286</v>
      </c>
      <c r="D59" s="3" t="s">
        <v>282</v>
      </c>
      <c r="E59" s="3" t="s">
        <v>287</v>
      </c>
      <c r="F59" s="4" t="s">
        <v>284</v>
      </c>
      <c r="G59" s="5">
        <v>1575000</v>
      </c>
      <c r="H59" s="3" t="s">
        <v>136</v>
      </c>
      <c r="I59" s="6">
        <v>1</v>
      </c>
      <c r="J59" s="3" t="s">
        <v>36</v>
      </c>
      <c r="K59" s="7"/>
      <c r="L59" s="7"/>
      <c r="M59" s="7"/>
      <c r="N59" s="3"/>
      <c r="O59" s="3"/>
      <c r="P59" s="3"/>
    </row>
    <row r="60" spans="1:16" ht="90" x14ac:dyDescent="0.25">
      <c r="A60" s="2">
        <v>54</v>
      </c>
      <c r="B60" s="3" t="s">
        <v>288</v>
      </c>
      <c r="C60" s="3" t="s">
        <v>289</v>
      </c>
      <c r="D60" s="3" t="s">
        <v>282</v>
      </c>
      <c r="E60" s="3" t="s">
        <v>290</v>
      </c>
      <c r="F60" s="4" t="s">
        <v>291</v>
      </c>
      <c r="G60" s="5">
        <v>10400000</v>
      </c>
      <c r="H60" s="3" t="s">
        <v>136</v>
      </c>
      <c r="I60" s="6">
        <v>1</v>
      </c>
      <c r="J60" s="3" t="s">
        <v>36</v>
      </c>
      <c r="K60" s="7"/>
      <c r="L60" s="7"/>
      <c r="M60" s="7"/>
      <c r="N60" s="3" t="s">
        <v>124</v>
      </c>
      <c r="O60" s="3"/>
      <c r="P60" s="3" t="s">
        <v>14</v>
      </c>
    </row>
    <row r="61" spans="1:16" ht="102" x14ac:dyDescent="0.25">
      <c r="A61" s="2">
        <v>55</v>
      </c>
      <c r="B61" s="8" t="s">
        <v>292</v>
      </c>
      <c r="C61" s="8" t="s">
        <v>293</v>
      </c>
      <c r="D61" s="3" t="s">
        <v>294</v>
      </c>
      <c r="E61" s="8" t="s">
        <v>295</v>
      </c>
      <c r="F61" s="8" t="s">
        <v>296</v>
      </c>
      <c r="G61" s="9">
        <v>17584000</v>
      </c>
      <c r="H61" s="8" t="s">
        <v>136</v>
      </c>
      <c r="I61" s="10">
        <v>1</v>
      </c>
      <c r="J61" s="3" t="s">
        <v>36</v>
      </c>
      <c r="K61" s="11"/>
      <c r="L61" s="11"/>
      <c r="M61" s="11"/>
      <c r="N61" s="3"/>
      <c r="O61" s="3" t="s">
        <v>297</v>
      </c>
      <c r="P61" s="3"/>
    </row>
    <row r="62" spans="1:16" ht="90.75" x14ac:dyDescent="0.25">
      <c r="A62" s="2">
        <v>56</v>
      </c>
      <c r="B62" s="8" t="s">
        <v>298</v>
      </c>
      <c r="C62" s="8" t="s">
        <v>299</v>
      </c>
      <c r="D62" s="3" t="s">
        <v>300</v>
      </c>
      <c r="E62" s="8" t="s">
        <v>301</v>
      </c>
      <c r="F62" s="8" t="s">
        <v>302</v>
      </c>
      <c r="G62" s="9">
        <v>4350000</v>
      </c>
      <c r="H62" s="8" t="s">
        <v>136</v>
      </c>
      <c r="I62" s="10">
        <v>1</v>
      </c>
      <c r="J62" s="3" t="s">
        <v>36</v>
      </c>
      <c r="K62" s="11"/>
      <c r="L62" s="11"/>
      <c r="M62" s="7"/>
      <c r="N62" s="3" t="s">
        <v>124</v>
      </c>
      <c r="O62" s="3"/>
      <c r="P62" s="3" t="s">
        <v>14</v>
      </c>
    </row>
    <row r="63" spans="1:16" ht="165" x14ac:dyDescent="0.25">
      <c r="A63" s="2">
        <v>57</v>
      </c>
      <c r="B63" s="3" t="s">
        <v>303</v>
      </c>
      <c r="C63" s="3" t="s">
        <v>304</v>
      </c>
      <c r="D63" s="3" t="s">
        <v>305</v>
      </c>
      <c r="E63" s="3" t="s">
        <v>306</v>
      </c>
      <c r="F63" s="4" t="s">
        <v>307</v>
      </c>
      <c r="G63" s="5">
        <v>33603604</v>
      </c>
      <c r="H63" s="3" t="s">
        <v>136</v>
      </c>
      <c r="I63" s="6">
        <v>2</v>
      </c>
      <c r="J63" s="3" t="s">
        <v>24</v>
      </c>
      <c r="K63" s="7"/>
      <c r="L63" s="7"/>
      <c r="M63" s="7"/>
      <c r="N63" s="3"/>
      <c r="O63" s="3" t="s">
        <v>308</v>
      </c>
      <c r="P63" s="3"/>
    </row>
    <row r="64" spans="1:16" ht="165" x14ac:dyDescent="0.25">
      <c r="A64" s="2">
        <v>58</v>
      </c>
      <c r="B64" s="3" t="s">
        <v>309</v>
      </c>
      <c r="C64" s="3" t="s">
        <v>310</v>
      </c>
      <c r="D64" s="3" t="s">
        <v>311</v>
      </c>
      <c r="E64" s="3" t="s">
        <v>312</v>
      </c>
      <c r="F64" s="4" t="s">
        <v>156</v>
      </c>
      <c r="G64" s="5">
        <v>48558559</v>
      </c>
      <c r="H64" s="3" t="s">
        <v>136</v>
      </c>
      <c r="I64" s="6">
        <v>2</v>
      </c>
      <c r="J64" s="3" t="s">
        <v>24</v>
      </c>
      <c r="K64" s="7"/>
      <c r="L64" s="7"/>
      <c r="M64" s="7"/>
      <c r="N64" s="3"/>
      <c r="O64" s="3" t="s">
        <v>308</v>
      </c>
      <c r="P64" s="3"/>
    </row>
    <row r="65" spans="1:16" ht="105" x14ac:dyDescent="0.25">
      <c r="A65" s="2">
        <v>59</v>
      </c>
      <c r="B65" s="3" t="s">
        <v>313</v>
      </c>
      <c r="C65" s="3" t="s">
        <v>208</v>
      </c>
      <c r="D65" s="3" t="s">
        <v>314</v>
      </c>
      <c r="E65" s="3" t="s">
        <v>205</v>
      </c>
      <c r="F65" s="4" t="s">
        <v>206</v>
      </c>
      <c r="G65" s="5">
        <v>17000000</v>
      </c>
      <c r="H65" s="3" t="s">
        <v>136</v>
      </c>
      <c r="I65" s="6">
        <v>2</v>
      </c>
      <c r="J65" s="3" t="s">
        <v>24</v>
      </c>
      <c r="K65" s="7"/>
      <c r="L65" s="7"/>
      <c r="M65" s="7"/>
      <c r="N65" s="3"/>
      <c r="O65" s="3" t="s">
        <v>55</v>
      </c>
      <c r="P65" s="3"/>
    </row>
    <row r="66" spans="1:16" ht="105" x14ac:dyDescent="0.25">
      <c r="A66" s="2">
        <v>60</v>
      </c>
      <c r="B66" s="3" t="s">
        <v>315</v>
      </c>
      <c r="C66" s="3" t="s">
        <v>316</v>
      </c>
      <c r="D66" s="3" t="s">
        <v>317</v>
      </c>
      <c r="E66" s="3" t="s">
        <v>318</v>
      </c>
      <c r="F66" s="4" t="s">
        <v>213</v>
      </c>
      <c r="G66" s="5">
        <v>3663450</v>
      </c>
      <c r="H66" s="3" t="s">
        <v>136</v>
      </c>
      <c r="I66" s="6">
        <v>2</v>
      </c>
      <c r="J66" s="3" t="s">
        <v>24</v>
      </c>
      <c r="K66" s="11"/>
      <c r="L66" s="11"/>
      <c r="M66" s="11"/>
      <c r="N66" s="3"/>
      <c r="O66" s="3" t="s">
        <v>55</v>
      </c>
      <c r="P66" s="3"/>
    </row>
    <row r="67" spans="1:16" ht="180" x14ac:dyDescent="0.25">
      <c r="A67" s="2">
        <v>61</v>
      </c>
      <c r="B67" s="3" t="s">
        <v>319</v>
      </c>
      <c r="C67" s="3" t="s">
        <v>320</v>
      </c>
      <c r="D67" s="3" t="s">
        <v>321</v>
      </c>
      <c r="E67" s="3" t="s">
        <v>322</v>
      </c>
      <c r="F67" s="4" t="s">
        <v>274</v>
      </c>
      <c r="G67" s="5">
        <v>8985000</v>
      </c>
      <c r="H67" s="3" t="s">
        <v>136</v>
      </c>
      <c r="I67" s="6">
        <v>2</v>
      </c>
      <c r="J67" s="3" t="s">
        <v>36</v>
      </c>
      <c r="K67" s="7"/>
      <c r="L67" s="7"/>
      <c r="M67" s="7"/>
      <c r="N67" s="3"/>
      <c r="O67" s="3" t="s">
        <v>323</v>
      </c>
      <c r="P67" s="3"/>
    </row>
    <row r="68" spans="1:16" ht="180" x14ac:dyDescent="0.25">
      <c r="A68" s="2">
        <v>62</v>
      </c>
      <c r="B68" s="3" t="s">
        <v>319</v>
      </c>
      <c r="C68" s="3" t="s">
        <v>324</v>
      </c>
      <c r="D68" s="3" t="s">
        <v>325</v>
      </c>
      <c r="E68" s="3" t="s">
        <v>322</v>
      </c>
      <c r="F68" s="4" t="s">
        <v>274</v>
      </c>
      <c r="G68" s="5">
        <v>8985000</v>
      </c>
      <c r="H68" s="3" t="s">
        <v>136</v>
      </c>
      <c r="I68" s="6">
        <v>2</v>
      </c>
      <c r="J68" s="3" t="s">
        <v>36</v>
      </c>
      <c r="K68" s="7"/>
      <c r="L68" s="7"/>
      <c r="M68" s="7"/>
      <c r="N68" s="3"/>
      <c r="O68" s="3" t="s">
        <v>55</v>
      </c>
      <c r="P68" s="3"/>
    </row>
    <row r="69" spans="1:16" ht="195" x14ac:dyDescent="0.25">
      <c r="A69" s="2">
        <v>63</v>
      </c>
      <c r="B69" s="3" t="s">
        <v>303</v>
      </c>
      <c r="C69" s="3" t="s">
        <v>326</v>
      </c>
      <c r="D69" s="3" t="s">
        <v>327</v>
      </c>
      <c r="E69" s="3" t="s">
        <v>328</v>
      </c>
      <c r="F69" s="4" t="s">
        <v>156</v>
      </c>
      <c r="G69" s="5">
        <v>50405406</v>
      </c>
      <c r="H69" s="3" t="s">
        <v>136</v>
      </c>
      <c r="I69" s="6">
        <v>3</v>
      </c>
      <c r="J69" s="3" t="s">
        <v>24</v>
      </c>
      <c r="K69" s="7"/>
      <c r="L69" s="7"/>
      <c r="M69" s="7"/>
      <c r="N69" s="3" t="s">
        <v>308</v>
      </c>
      <c r="O69" s="3"/>
      <c r="P69" s="3"/>
    </row>
    <row r="70" spans="1:16" ht="165" x14ac:dyDescent="0.25">
      <c r="A70" s="2">
        <v>64</v>
      </c>
      <c r="B70" s="3" t="s">
        <v>329</v>
      </c>
      <c r="C70" s="3" t="s">
        <v>330</v>
      </c>
      <c r="D70" s="3" t="s">
        <v>331</v>
      </c>
      <c r="E70" s="3" t="s">
        <v>332</v>
      </c>
      <c r="F70" s="4" t="s">
        <v>333</v>
      </c>
      <c r="G70" s="5">
        <v>87420000</v>
      </c>
      <c r="H70" s="3" t="s">
        <v>136</v>
      </c>
      <c r="I70" s="6">
        <v>4</v>
      </c>
      <c r="J70" s="3" t="s">
        <v>36</v>
      </c>
      <c r="K70" s="7"/>
      <c r="L70" s="7"/>
      <c r="M70" s="7"/>
      <c r="N70" s="3" t="s">
        <v>124</v>
      </c>
      <c r="O70" s="3" t="s">
        <v>334</v>
      </c>
      <c r="P70" s="3"/>
    </row>
    <row r="71" spans="1:16" ht="90" x14ac:dyDescent="0.25">
      <c r="A71" s="2">
        <v>65</v>
      </c>
      <c r="B71" s="3" t="s">
        <v>335</v>
      </c>
      <c r="C71" s="3" t="s">
        <v>336</v>
      </c>
      <c r="D71" s="3" t="s">
        <v>337</v>
      </c>
      <c r="E71" s="3" t="s">
        <v>338</v>
      </c>
      <c r="F71" s="4" t="s">
        <v>339</v>
      </c>
      <c r="G71" s="5">
        <v>18198198.219999999</v>
      </c>
      <c r="H71" s="3" t="s">
        <v>136</v>
      </c>
      <c r="I71" s="6">
        <v>4</v>
      </c>
      <c r="J71" s="3" t="s">
        <v>36</v>
      </c>
      <c r="K71" s="7"/>
      <c r="L71" s="7"/>
      <c r="M71" s="7"/>
      <c r="N71" s="3"/>
      <c r="O71" s="3" t="s">
        <v>340</v>
      </c>
      <c r="P71" s="3"/>
    </row>
    <row r="72" spans="1:16" ht="120" x14ac:dyDescent="0.25">
      <c r="A72" s="2">
        <v>66</v>
      </c>
      <c r="B72" s="3" t="s">
        <v>341</v>
      </c>
      <c r="C72" s="3" t="s">
        <v>342</v>
      </c>
      <c r="D72" s="3" t="s">
        <v>343</v>
      </c>
      <c r="E72" s="3" t="s">
        <v>344</v>
      </c>
      <c r="F72" s="4" t="s">
        <v>345</v>
      </c>
      <c r="G72" s="5">
        <v>339266400</v>
      </c>
      <c r="H72" s="3" t="s">
        <v>136</v>
      </c>
      <c r="I72" s="6">
        <v>10</v>
      </c>
      <c r="J72" s="3" t="s">
        <v>36</v>
      </c>
      <c r="K72" s="7"/>
      <c r="L72" s="7"/>
      <c r="M72" s="7" t="s">
        <v>124</v>
      </c>
      <c r="N72" s="3" t="s">
        <v>346</v>
      </c>
      <c r="O72" s="3"/>
      <c r="P72" s="3"/>
    </row>
    <row r="73" spans="1:16" ht="90" x14ac:dyDescent="0.25">
      <c r="A73" s="2">
        <v>67</v>
      </c>
      <c r="B73" s="3" t="s">
        <v>347</v>
      </c>
      <c r="C73" s="3" t="s">
        <v>348</v>
      </c>
      <c r="D73" s="3" t="s">
        <v>349</v>
      </c>
      <c r="E73" s="3" t="s">
        <v>350</v>
      </c>
      <c r="F73" s="4" t="s">
        <v>351</v>
      </c>
      <c r="G73" s="5">
        <v>427597000</v>
      </c>
      <c r="H73" s="3" t="s">
        <v>136</v>
      </c>
      <c r="I73" s="6">
        <v>11</v>
      </c>
      <c r="J73" s="3" t="s">
        <v>36</v>
      </c>
      <c r="K73" s="7"/>
      <c r="L73" s="7"/>
      <c r="M73" s="7"/>
      <c r="N73" s="3" t="s">
        <v>124</v>
      </c>
      <c r="O73" s="3" t="s">
        <v>346</v>
      </c>
      <c r="P73" s="3"/>
    </row>
    <row r="74" spans="1:16" ht="105" x14ac:dyDescent="0.25">
      <c r="A74" s="2">
        <v>68</v>
      </c>
      <c r="B74" s="3" t="s">
        <v>352</v>
      </c>
      <c r="C74" s="3" t="s">
        <v>353</v>
      </c>
      <c r="D74" s="3" t="s">
        <v>282</v>
      </c>
      <c r="E74" s="3" t="s">
        <v>354</v>
      </c>
      <c r="F74" s="4" t="s">
        <v>355</v>
      </c>
      <c r="G74" s="5">
        <v>158400000</v>
      </c>
      <c r="H74" s="3" t="s">
        <v>136</v>
      </c>
      <c r="I74" s="6"/>
      <c r="J74" s="3" t="s">
        <v>36</v>
      </c>
      <c r="K74" s="7"/>
      <c r="L74" s="7"/>
      <c r="M74" s="7"/>
      <c r="N74" s="3"/>
      <c r="O74" s="3" t="s">
        <v>356</v>
      </c>
      <c r="P74" s="3"/>
    </row>
    <row r="75" spans="1:16" ht="105" x14ac:dyDescent="0.25">
      <c r="A75" s="2">
        <v>69</v>
      </c>
      <c r="B75" s="3" t="s">
        <v>357</v>
      </c>
      <c r="C75" s="3" t="s">
        <v>358</v>
      </c>
      <c r="D75" s="3" t="s">
        <v>359</v>
      </c>
      <c r="E75" s="3" t="s">
        <v>360</v>
      </c>
      <c r="F75" s="4" t="s">
        <v>361</v>
      </c>
      <c r="G75" s="5">
        <v>18296000</v>
      </c>
      <c r="H75" s="3" t="s">
        <v>362</v>
      </c>
      <c r="I75" s="6">
        <v>1</v>
      </c>
      <c r="J75" s="3" t="s">
        <v>24</v>
      </c>
      <c r="K75" s="7"/>
      <c r="L75" s="7"/>
      <c r="M75" s="7"/>
      <c r="N75" s="3" t="s">
        <v>124</v>
      </c>
      <c r="O75" s="3"/>
      <c r="P75" s="3" t="s">
        <v>14</v>
      </c>
    </row>
    <row r="76" spans="1:16" ht="90" x14ac:dyDescent="0.25">
      <c r="A76" s="2">
        <v>70</v>
      </c>
      <c r="B76" s="3" t="s">
        <v>363</v>
      </c>
      <c r="C76" s="3" t="s">
        <v>364</v>
      </c>
      <c r="D76" s="3" t="s">
        <v>365</v>
      </c>
      <c r="E76" s="3" t="s">
        <v>366</v>
      </c>
      <c r="F76" s="4" t="s">
        <v>367</v>
      </c>
      <c r="G76" s="5">
        <v>1371791</v>
      </c>
      <c r="H76" s="3" t="s">
        <v>362</v>
      </c>
      <c r="I76" s="6">
        <v>1</v>
      </c>
      <c r="J76" s="3" t="s">
        <v>24</v>
      </c>
      <c r="K76" s="7"/>
      <c r="L76" s="7"/>
      <c r="M76" s="7"/>
      <c r="N76" s="3" t="s">
        <v>124</v>
      </c>
      <c r="O76" s="3"/>
      <c r="P76" s="3" t="s">
        <v>14</v>
      </c>
    </row>
    <row r="77" spans="1:16" ht="105" x14ac:dyDescent="0.25">
      <c r="A77" s="2">
        <v>71</v>
      </c>
      <c r="B77" s="3" t="s">
        <v>368</v>
      </c>
      <c r="C77" s="3" t="s">
        <v>369</v>
      </c>
      <c r="D77" s="3" t="s">
        <v>370</v>
      </c>
      <c r="E77" s="3" t="s">
        <v>371</v>
      </c>
      <c r="F77" s="4" t="s">
        <v>372</v>
      </c>
      <c r="G77" s="5">
        <v>19960000</v>
      </c>
      <c r="H77" s="3" t="s">
        <v>362</v>
      </c>
      <c r="I77" s="6">
        <v>1</v>
      </c>
      <c r="J77" s="3" t="s">
        <v>24</v>
      </c>
      <c r="K77" s="7"/>
      <c r="L77" s="7"/>
      <c r="M77" s="7"/>
      <c r="N77" s="3" t="s">
        <v>124</v>
      </c>
      <c r="O77" s="3"/>
      <c r="P77" s="3" t="s">
        <v>14</v>
      </c>
    </row>
    <row r="78" spans="1:16" ht="105" x14ac:dyDescent="0.25">
      <c r="A78" s="2">
        <v>72</v>
      </c>
      <c r="B78" s="3" t="s">
        <v>373</v>
      </c>
      <c r="C78" s="3" t="s">
        <v>374</v>
      </c>
      <c r="D78" s="3" t="s">
        <v>375</v>
      </c>
      <c r="E78" s="3" t="s">
        <v>376</v>
      </c>
      <c r="F78" s="4" t="s">
        <v>122</v>
      </c>
      <c r="G78" s="5">
        <v>1316162</v>
      </c>
      <c r="H78" s="3" t="s">
        <v>362</v>
      </c>
      <c r="I78" s="6">
        <v>1</v>
      </c>
      <c r="J78" s="3" t="s">
        <v>36</v>
      </c>
      <c r="K78" s="7"/>
      <c r="L78" s="7"/>
      <c r="M78" s="7"/>
      <c r="N78" s="3" t="s">
        <v>124</v>
      </c>
      <c r="O78" s="3"/>
      <c r="P78" s="3" t="s">
        <v>14</v>
      </c>
    </row>
    <row r="79" spans="1:16" ht="75" x14ac:dyDescent="0.25">
      <c r="A79" s="2">
        <v>73</v>
      </c>
      <c r="B79" s="3" t="s">
        <v>377</v>
      </c>
      <c r="C79" s="3" t="s">
        <v>378</v>
      </c>
      <c r="D79" s="3" t="s">
        <v>379</v>
      </c>
      <c r="E79" s="3" t="s">
        <v>380</v>
      </c>
      <c r="F79" s="4" t="s">
        <v>381</v>
      </c>
      <c r="G79" s="5">
        <v>2200000</v>
      </c>
      <c r="H79" s="3" t="s">
        <v>362</v>
      </c>
      <c r="I79" s="6">
        <v>1</v>
      </c>
      <c r="J79" s="3" t="s">
        <v>36</v>
      </c>
      <c r="K79" s="7"/>
      <c r="L79" s="7"/>
      <c r="M79" s="7"/>
      <c r="N79" s="3" t="s">
        <v>124</v>
      </c>
      <c r="O79" s="3"/>
      <c r="P79" s="3" t="s">
        <v>14</v>
      </c>
    </row>
    <row r="80" spans="1:16" ht="83.25" customHeight="1" x14ac:dyDescent="0.25">
      <c r="A80" s="2">
        <v>74</v>
      </c>
      <c r="B80" s="3" t="s">
        <v>382</v>
      </c>
      <c r="C80" s="3" t="s">
        <v>383</v>
      </c>
      <c r="D80" s="3" t="s">
        <v>384</v>
      </c>
      <c r="E80" s="3" t="s">
        <v>385</v>
      </c>
      <c r="F80" s="4" t="s">
        <v>339</v>
      </c>
      <c r="G80" s="5">
        <v>8213117.5</v>
      </c>
      <c r="H80" s="3" t="s">
        <v>362</v>
      </c>
      <c r="I80" s="6">
        <v>2</v>
      </c>
      <c r="J80" s="3" t="s">
        <v>36</v>
      </c>
      <c r="K80" s="7"/>
      <c r="L80" s="7"/>
      <c r="M80" s="7"/>
      <c r="N80" s="3"/>
      <c r="O80" s="3" t="s">
        <v>386</v>
      </c>
      <c r="P80" s="3" t="s">
        <v>14</v>
      </c>
    </row>
    <row r="81" spans="1:16" ht="150" x14ac:dyDescent="0.25">
      <c r="A81" s="2">
        <v>75</v>
      </c>
      <c r="B81" s="3" t="s">
        <v>387</v>
      </c>
      <c r="C81" s="3" t="s">
        <v>388</v>
      </c>
      <c r="D81" s="3" t="s">
        <v>389</v>
      </c>
      <c r="E81" s="3" t="s">
        <v>390</v>
      </c>
      <c r="F81" s="4" t="s">
        <v>391</v>
      </c>
      <c r="G81" s="5">
        <v>4980000</v>
      </c>
      <c r="H81" s="3" t="s">
        <v>392</v>
      </c>
      <c r="I81" s="6">
        <v>1</v>
      </c>
      <c r="J81" s="3" t="s">
        <v>24</v>
      </c>
      <c r="K81" s="7"/>
      <c r="L81" s="7"/>
      <c r="M81" s="7"/>
      <c r="N81" s="3" t="s">
        <v>124</v>
      </c>
      <c r="O81" s="3"/>
      <c r="P81" s="3" t="s">
        <v>14</v>
      </c>
    </row>
    <row r="82" spans="1:16" ht="90" x14ac:dyDescent="0.25">
      <c r="A82" s="2">
        <v>76</v>
      </c>
      <c r="B82" s="3" t="s">
        <v>387</v>
      </c>
      <c r="C82" s="3" t="s">
        <v>393</v>
      </c>
      <c r="D82" s="3" t="s">
        <v>394</v>
      </c>
      <c r="E82" s="3" t="s">
        <v>395</v>
      </c>
      <c r="F82" s="4" t="s">
        <v>396</v>
      </c>
      <c r="G82" s="5">
        <v>4980000</v>
      </c>
      <c r="H82" s="3" t="s">
        <v>392</v>
      </c>
      <c r="I82" s="6">
        <v>1</v>
      </c>
      <c r="J82" s="3" t="s">
        <v>24</v>
      </c>
      <c r="K82" s="7"/>
      <c r="L82" s="7"/>
      <c r="M82" s="7"/>
      <c r="N82" s="3" t="s">
        <v>124</v>
      </c>
      <c r="O82" s="3"/>
      <c r="P82" s="3" t="s">
        <v>14</v>
      </c>
    </row>
    <row r="83" spans="1:16" ht="60" x14ac:dyDescent="0.25">
      <c r="A83" s="2">
        <v>77</v>
      </c>
      <c r="B83" s="3" t="s">
        <v>397</v>
      </c>
      <c r="C83" s="3" t="s">
        <v>398</v>
      </c>
      <c r="D83" s="3" t="s">
        <v>399</v>
      </c>
      <c r="E83" s="3" t="s">
        <v>400</v>
      </c>
      <c r="F83" s="4" t="s">
        <v>401</v>
      </c>
      <c r="G83" s="5">
        <v>1599000</v>
      </c>
      <c r="H83" s="3" t="s">
        <v>392</v>
      </c>
      <c r="I83" s="6">
        <v>1</v>
      </c>
      <c r="J83" s="3" t="s">
        <v>24</v>
      </c>
      <c r="K83" s="7"/>
      <c r="L83" s="7"/>
      <c r="M83" s="7"/>
      <c r="N83" s="3" t="s">
        <v>124</v>
      </c>
      <c r="O83" s="3"/>
      <c r="P83" s="3" t="s">
        <v>14</v>
      </c>
    </row>
    <row r="84" spans="1:16" ht="90" x14ac:dyDescent="0.25">
      <c r="A84" s="2">
        <v>78</v>
      </c>
      <c r="B84" s="3" t="s">
        <v>387</v>
      </c>
      <c r="C84" s="3" t="s">
        <v>402</v>
      </c>
      <c r="D84" s="3" t="s">
        <v>403</v>
      </c>
      <c r="E84" s="3" t="s">
        <v>404</v>
      </c>
      <c r="F84" s="4" t="s">
        <v>405</v>
      </c>
      <c r="G84" s="5">
        <v>4980000</v>
      </c>
      <c r="H84" s="3" t="s">
        <v>392</v>
      </c>
      <c r="I84" s="6">
        <v>1</v>
      </c>
      <c r="J84" s="3" t="s">
        <v>24</v>
      </c>
      <c r="K84" s="7"/>
      <c r="L84" s="7"/>
      <c r="M84" s="7"/>
      <c r="N84" s="3" t="s">
        <v>124</v>
      </c>
      <c r="O84" s="3"/>
      <c r="P84" s="3" t="s">
        <v>14</v>
      </c>
    </row>
    <row r="85" spans="1:16" ht="165" x14ac:dyDescent="0.25">
      <c r="A85" s="2">
        <v>79</v>
      </c>
      <c r="B85" s="3" t="s">
        <v>387</v>
      </c>
      <c r="C85" s="3" t="s">
        <v>406</v>
      </c>
      <c r="D85" s="3" t="s">
        <v>407</v>
      </c>
      <c r="E85" s="3" t="s">
        <v>408</v>
      </c>
      <c r="F85" s="4" t="s">
        <v>405</v>
      </c>
      <c r="G85" s="5">
        <v>4980000</v>
      </c>
      <c r="H85" s="3" t="s">
        <v>392</v>
      </c>
      <c r="I85" s="6">
        <v>1</v>
      </c>
      <c r="J85" s="3" t="s">
        <v>24</v>
      </c>
      <c r="K85" s="7"/>
      <c r="L85" s="7"/>
      <c r="M85" s="7"/>
      <c r="N85" s="3" t="s">
        <v>124</v>
      </c>
      <c r="O85" s="3"/>
      <c r="P85" s="3" t="s">
        <v>14</v>
      </c>
    </row>
    <row r="86" spans="1:16" ht="270" x14ac:dyDescent="0.25">
      <c r="A86" s="2">
        <v>80</v>
      </c>
      <c r="B86" s="3" t="s">
        <v>387</v>
      </c>
      <c r="C86" s="3" t="s">
        <v>409</v>
      </c>
      <c r="D86" s="3" t="s">
        <v>410</v>
      </c>
      <c r="E86" s="3" t="s">
        <v>411</v>
      </c>
      <c r="F86" s="4" t="s">
        <v>405</v>
      </c>
      <c r="G86" s="5">
        <v>4980000</v>
      </c>
      <c r="H86" s="3" t="s">
        <v>392</v>
      </c>
      <c r="I86" s="6">
        <v>1</v>
      </c>
      <c r="J86" s="3" t="s">
        <v>24</v>
      </c>
      <c r="K86" s="7"/>
      <c r="L86" s="7"/>
      <c r="M86" s="7" t="s">
        <v>124</v>
      </c>
      <c r="N86" s="3"/>
      <c r="O86" s="3"/>
      <c r="P86" s="3" t="s">
        <v>14</v>
      </c>
    </row>
    <row r="87" spans="1:16" ht="90" x14ac:dyDescent="0.25">
      <c r="A87" s="2">
        <v>81</v>
      </c>
      <c r="B87" s="3" t="s">
        <v>412</v>
      </c>
      <c r="C87" s="3" t="s">
        <v>413</v>
      </c>
      <c r="D87" s="3" t="s">
        <v>414</v>
      </c>
      <c r="E87" s="3" t="s">
        <v>415</v>
      </c>
      <c r="F87" s="4" t="s">
        <v>416</v>
      </c>
      <c r="G87" s="5">
        <v>2431532</v>
      </c>
      <c r="H87" s="3" t="s">
        <v>392</v>
      </c>
      <c r="I87" s="6">
        <v>1</v>
      </c>
      <c r="J87" s="3" t="s">
        <v>24</v>
      </c>
      <c r="K87" s="7"/>
      <c r="L87" s="7"/>
      <c r="M87" s="7" t="s">
        <v>124</v>
      </c>
      <c r="N87" s="3"/>
      <c r="O87" s="3"/>
      <c r="P87" s="3" t="s">
        <v>14</v>
      </c>
    </row>
    <row r="88" spans="1:16" ht="79.5" x14ac:dyDescent="0.25">
      <c r="A88" s="2">
        <v>82</v>
      </c>
      <c r="B88" s="8" t="s">
        <v>417</v>
      </c>
      <c r="C88" s="8" t="s">
        <v>418</v>
      </c>
      <c r="D88" s="3" t="s">
        <v>419</v>
      </c>
      <c r="E88" s="8" t="s">
        <v>420</v>
      </c>
      <c r="F88" s="8" t="s">
        <v>421</v>
      </c>
      <c r="G88" s="9">
        <v>1675000</v>
      </c>
      <c r="H88" s="8" t="s">
        <v>392</v>
      </c>
      <c r="I88" s="10">
        <v>1</v>
      </c>
      <c r="J88" s="3" t="s">
        <v>422</v>
      </c>
      <c r="K88" s="7"/>
      <c r="L88" s="7"/>
      <c r="M88" s="7"/>
      <c r="N88" s="3" t="s">
        <v>124</v>
      </c>
      <c r="O88" s="3" t="s">
        <v>423</v>
      </c>
      <c r="P88" s="3" t="s">
        <v>14</v>
      </c>
    </row>
    <row r="89" spans="1:16" ht="203.25" x14ac:dyDescent="0.25">
      <c r="A89" s="2">
        <v>83</v>
      </c>
      <c r="B89" s="8" t="s">
        <v>387</v>
      </c>
      <c r="C89" s="8" t="s">
        <v>424</v>
      </c>
      <c r="D89" s="3" t="s">
        <v>425</v>
      </c>
      <c r="E89" s="8" t="s">
        <v>426</v>
      </c>
      <c r="F89" s="8" t="s">
        <v>421</v>
      </c>
      <c r="G89" s="9">
        <v>4980000</v>
      </c>
      <c r="H89" s="8" t="s">
        <v>392</v>
      </c>
      <c r="I89" s="10">
        <v>1</v>
      </c>
      <c r="J89" s="3" t="s">
        <v>24</v>
      </c>
      <c r="K89" s="7"/>
      <c r="L89" s="7"/>
      <c r="M89" s="7"/>
      <c r="N89" s="3" t="s">
        <v>124</v>
      </c>
      <c r="O89" s="3"/>
      <c r="P89" s="3"/>
    </row>
    <row r="90" spans="1:16" ht="180" x14ac:dyDescent="0.25">
      <c r="A90" s="2">
        <v>84</v>
      </c>
      <c r="B90" s="3" t="s">
        <v>387</v>
      </c>
      <c r="C90" s="3" t="s">
        <v>427</v>
      </c>
      <c r="D90" s="3" t="s">
        <v>428</v>
      </c>
      <c r="E90" s="3" t="s">
        <v>429</v>
      </c>
      <c r="F90" s="4" t="s">
        <v>430</v>
      </c>
      <c r="G90" s="5">
        <v>9960000</v>
      </c>
      <c r="H90" s="3" t="s">
        <v>392</v>
      </c>
      <c r="I90" s="6">
        <v>2</v>
      </c>
      <c r="J90" s="3" t="s">
        <v>24</v>
      </c>
      <c r="K90" s="7"/>
      <c r="L90" s="7"/>
      <c r="M90" s="7"/>
      <c r="N90" s="3" t="s">
        <v>55</v>
      </c>
      <c r="O90" s="3"/>
      <c r="P90" s="3" t="s">
        <v>14</v>
      </c>
    </row>
    <row r="91" spans="1:16" ht="105" x14ac:dyDescent="0.25">
      <c r="A91" s="2">
        <v>85</v>
      </c>
      <c r="B91" s="3" t="s">
        <v>431</v>
      </c>
      <c r="C91" s="3" t="s">
        <v>432</v>
      </c>
      <c r="D91" s="3" t="s">
        <v>433</v>
      </c>
      <c r="E91" s="3" t="s">
        <v>434</v>
      </c>
      <c r="F91" s="4" t="s">
        <v>206</v>
      </c>
      <c r="G91" s="5">
        <v>5718000</v>
      </c>
      <c r="H91" s="3" t="s">
        <v>392</v>
      </c>
      <c r="I91" s="6">
        <v>2</v>
      </c>
      <c r="J91" s="3" t="s">
        <v>24</v>
      </c>
      <c r="K91" s="7"/>
      <c r="L91" s="7"/>
      <c r="M91" s="7"/>
      <c r="N91" s="3" t="s">
        <v>124</v>
      </c>
      <c r="O91" s="3" t="s">
        <v>435</v>
      </c>
      <c r="P91" s="3" t="s">
        <v>14</v>
      </c>
    </row>
    <row r="92" spans="1:16" ht="135" x14ac:dyDescent="0.25">
      <c r="A92" s="2">
        <v>86</v>
      </c>
      <c r="B92" s="3" t="s">
        <v>436</v>
      </c>
      <c r="C92" s="3" t="s">
        <v>437</v>
      </c>
      <c r="D92" s="3" t="s">
        <v>438</v>
      </c>
      <c r="E92" s="3" t="s">
        <v>439</v>
      </c>
      <c r="F92" s="4" t="s">
        <v>396</v>
      </c>
      <c r="G92" s="5">
        <v>4980000</v>
      </c>
      <c r="H92" s="3" t="s">
        <v>392</v>
      </c>
      <c r="I92" s="6">
        <v>4</v>
      </c>
      <c r="J92" s="3" t="s">
        <v>24</v>
      </c>
      <c r="K92" s="7"/>
      <c r="L92" s="7"/>
      <c r="M92" s="7"/>
      <c r="N92" s="3" t="s">
        <v>124</v>
      </c>
      <c r="O92" s="3" t="s">
        <v>55</v>
      </c>
      <c r="P92" s="3" t="s">
        <v>14</v>
      </c>
    </row>
    <row r="93" spans="1:16" ht="300" x14ac:dyDescent="0.25">
      <c r="A93" s="2">
        <v>87</v>
      </c>
      <c r="B93" s="3" t="s">
        <v>440</v>
      </c>
      <c r="C93" s="3" t="s">
        <v>441</v>
      </c>
      <c r="D93" s="3" t="s">
        <v>442</v>
      </c>
      <c r="E93" s="3" t="s">
        <v>443</v>
      </c>
      <c r="F93" s="4" t="s">
        <v>274</v>
      </c>
      <c r="G93" s="5">
        <v>49500000</v>
      </c>
      <c r="H93" s="3" t="s">
        <v>392</v>
      </c>
      <c r="I93" s="6">
        <v>10</v>
      </c>
      <c r="J93" s="3" t="s">
        <v>24</v>
      </c>
      <c r="K93" s="7"/>
      <c r="L93" s="7"/>
      <c r="M93" s="7" t="s">
        <v>124</v>
      </c>
      <c r="N93" s="3" t="s">
        <v>55</v>
      </c>
      <c r="O93" s="3"/>
      <c r="P93" s="3" t="s">
        <v>14</v>
      </c>
    </row>
    <row r="94" spans="1:16" ht="45" x14ac:dyDescent="0.25">
      <c r="A94" s="2">
        <v>88</v>
      </c>
      <c r="B94" s="3" t="s">
        <v>444</v>
      </c>
      <c r="C94" s="3" t="s">
        <v>445</v>
      </c>
      <c r="D94" s="3" t="s">
        <v>446</v>
      </c>
      <c r="E94" s="3" t="s">
        <v>447</v>
      </c>
      <c r="F94" s="4" t="s">
        <v>213</v>
      </c>
      <c r="G94" s="5">
        <v>9100000</v>
      </c>
      <c r="H94" s="3" t="s">
        <v>448</v>
      </c>
      <c r="I94" s="6">
        <v>1</v>
      </c>
      <c r="J94" s="3" t="s">
        <v>24</v>
      </c>
      <c r="K94" s="7"/>
      <c r="L94" s="7"/>
      <c r="M94" s="7"/>
      <c r="N94" s="3" t="s">
        <v>124</v>
      </c>
      <c r="O94" s="3" t="s">
        <v>449</v>
      </c>
      <c r="P94" s="3"/>
    </row>
    <row r="95" spans="1:16" ht="60" x14ac:dyDescent="0.25">
      <c r="A95" s="2">
        <v>89</v>
      </c>
      <c r="B95" s="3" t="s">
        <v>450</v>
      </c>
      <c r="C95" s="3" t="s">
        <v>451</v>
      </c>
      <c r="D95" s="3" t="s">
        <v>452</v>
      </c>
      <c r="E95" s="13" t="s">
        <v>453</v>
      </c>
      <c r="F95" s="4" t="s">
        <v>454</v>
      </c>
      <c r="G95" s="5">
        <v>1630107</v>
      </c>
      <c r="H95" s="3" t="s">
        <v>455</v>
      </c>
      <c r="I95" s="6">
        <v>1</v>
      </c>
      <c r="J95" s="3" t="s">
        <v>24</v>
      </c>
      <c r="K95" s="7"/>
      <c r="L95" s="7"/>
      <c r="M95" s="7"/>
      <c r="N95" s="3" t="s">
        <v>25</v>
      </c>
      <c r="O95" s="3"/>
      <c r="P95" s="3" t="s">
        <v>14</v>
      </c>
    </row>
    <row r="96" spans="1:16" ht="45.75" x14ac:dyDescent="0.25">
      <c r="A96" s="2">
        <v>90</v>
      </c>
      <c r="B96" s="3" t="s">
        <v>456</v>
      </c>
      <c r="C96" s="3" t="s">
        <v>457</v>
      </c>
      <c r="D96" s="3" t="s">
        <v>458</v>
      </c>
      <c r="E96" s="13" t="s">
        <v>459</v>
      </c>
      <c r="F96" s="4" t="s">
        <v>460</v>
      </c>
      <c r="G96" s="5">
        <v>5945045.4900000002</v>
      </c>
      <c r="H96" s="3" t="s">
        <v>455</v>
      </c>
      <c r="I96" s="6">
        <v>1</v>
      </c>
      <c r="J96" s="3" t="s">
        <v>24</v>
      </c>
      <c r="K96" s="7"/>
      <c r="L96" s="7"/>
      <c r="M96" s="7"/>
      <c r="N96" s="3" t="s">
        <v>25</v>
      </c>
      <c r="O96" s="3"/>
      <c r="P96" s="3" t="s">
        <v>14</v>
      </c>
    </row>
    <row r="97" spans="1:16" ht="45.75" x14ac:dyDescent="0.25">
      <c r="A97" s="2">
        <v>91</v>
      </c>
      <c r="B97" s="3" t="s">
        <v>461</v>
      </c>
      <c r="C97" s="3" t="s">
        <v>462</v>
      </c>
      <c r="D97" s="3" t="s">
        <v>463</v>
      </c>
      <c r="E97" s="13" t="s">
        <v>464</v>
      </c>
      <c r="F97" s="4" t="s">
        <v>465</v>
      </c>
      <c r="G97" s="5">
        <v>19080000</v>
      </c>
      <c r="H97" s="3" t="s">
        <v>455</v>
      </c>
      <c r="I97" s="6">
        <v>1</v>
      </c>
      <c r="J97" s="3" t="s">
        <v>24</v>
      </c>
      <c r="K97" s="7"/>
      <c r="L97" s="7"/>
      <c r="M97" s="7"/>
      <c r="N97" s="3" t="s">
        <v>25</v>
      </c>
      <c r="O97" s="3"/>
      <c r="P97" s="3" t="s">
        <v>14</v>
      </c>
    </row>
    <row r="98" spans="1:16" ht="45" x14ac:dyDescent="0.25">
      <c r="A98" s="2">
        <v>92</v>
      </c>
      <c r="B98" s="3" t="s">
        <v>466</v>
      </c>
      <c r="C98" s="3" t="s">
        <v>467</v>
      </c>
      <c r="D98" s="3" t="s">
        <v>468</v>
      </c>
      <c r="E98" s="13" t="s">
        <v>469</v>
      </c>
      <c r="F98" s="4" t="s">
        <v>470</v>
      </c>
      <c r="G98" s="5">
        <v>1900000</v>
      </c>
      <c r="H98" s="3" t="s">
        <v>455</v>
      </c>
      <c r="I98" s="6">
        <v>1</v>
      </c>
      <c r="J98" s="3" t="s">
        <v>24</v>
      </c>
      <c r="K98" s="7"/>
      <c r="L98" s="7"/>
      <c r="M98" s="7"/>
      <c r="N98" s="3" t="s">
        <v>25</v>
      </c>
      <c r="O98" s="3"/>
      <c r="P98" s="3" t="s">
        <v>14</v>
      </c>
    </row>
    <row r="99" spans="1:16" ht="60" x14ac:dyDescent="0.25">
      <c r="A99" s="2">
        <v>93</v>
      </c>
      <c r="B99" s="3" t="s">
        <v>471</v>
      </c>
      <c r="C99" s="3" t="s">
        <v>472</v>
      </c>
      <c r="D99" s="3" t="s">
        <v>473</v>
      </c>
      <c r="E99" s="13" t="s">
        <v>474</v>
      </c>
      <c r="F99" s="4" t="s">
        <v>475</v>
      </c>
      <c r="G99" s="5">
        <v>13500000</v>
      </c>
      <c r="H99" s="3" t="s">
        <v>455</v>
      </c>
      <c r="I99" s="6">
        <v>1</v>
      </c>
      <c r="J99" s="3" t="s">
        <v>24</v>
      </c>
      <c r="K99" s="7"/>
      <c r="L99" s="7"/>
      <c r="M99" s="7"/>
      <c r="O99" s="3" t="s">
        <v>476</v>
      </c>
      <c r="P99" s="3"/>
    </row>
    <row r="100" spans="1:16" ht="45" x14ac:dyDescent="0.25">
      <c r="A100" s="2">
        <v>94</v>
      </c>
      <c r="B100" s="3" t="s">
        <v>477</v>
      </c>
      <c r="C100" s="3" t="s">
        <v>478</v>
      </c>
      <c r="D100" s="3" t="s">
        <v>479</v>
      </c>
      <c r="E100" s="13" t="s">
        <v>480</v>
      </c>
      <c r="F100" s="4" t="s">
        <v>54</v>
      </c>
      <c r="G100" s="5">
        <v>2850000</v>
      </c>
      <c r="H100" s="3" t="s">
        <v>455</v>
      </c>
      <c r="I100" s="6">
        <v>1</v>
      </c>
      <c r="J100" s="3" t="s">
        <v>24</v>
      </c>
      <c r="K100" s="7"/>
      <c r="L100" s="7"/>
      <c r="M100" s="7"/>
      <c r="N100" s="3" t="s">
        <v>25</v>
      </c>
      <c r="O100" s="3" t="s">
        <v>481</v>
      </c>
      <c r="P100" s="3" t="s">
        <v>14</v>
      </c>
    </row>
    <row r="101" spans="1:16" ht="161.25" customHeight="1" x14ac:dyDescent="0.25">
      <c r="A101" s="2">
        <v>95</v>
      </c>
      <c r="B101" s="3" t="s">
        <v>482</v>
      </c>
      <c r="C101" s="3" t="s">
        <v>483</v>
      </c>
      <c r="D101" s="3" t="s">
        <v>484</v>
      </c>
      <c r="E101" s="13" t="s">
        <v>485</v>
      </c>
      <c r="F101" s="4" t="s">
        <v>486</v>
      </c>
      <c r="G101" s="5">
        <v>1350000</v>
      </c>
      <c r="H101" s="3" t="s">
        <v>455</v>
      </c>
      <c r="I101" s="6">
        <v>1</v>
      </c>
      <c r="J101" s="3" t="s">
        <v>24</v>
      </c>
      <c r="K101" s="7"/>
      <c r="L101" s="7"/>
      <c r="M101" s="7"/>
      <c r="N101" s="3" t="s">
        <v>25</v>
      </c>
      <c r="O101" s="3"/>
      <c r="P101" s="3" t="s">
        <v>14</v>
      </c>
    </row>
    <row r="102" spans="1:16" ht="57" x14ac:dyDescent="0.25">
      <c r="A102" s="2">
        <v>96</v>
      </c>
      <c r="B102" s="3" t="s">
        <v>466</v>
      </c>
      <c r="C102" s="3" t="s">
        <v>487</v>
      </c>
      <c r="D102" s="3" t="s">
        <v>488</v>
      </c>
      <c r="E102" s="13" t="s">
        <v>489</v>
      </c>
      <c r="F102" s="4" t="s">
        <v>486</v>
      </c>
      <c r="G102" s="5">
        <v>2050000</v>
      </c>
      <c r="H102" s="3" t="s">
        <v>455</v>
      </c>
      <c r="I102" s="6">
        <v>1</v>
      </c>
      <c r="J102" s="3" t="s">
        <v>24</v>
      </c>
      <c r="K102" s="7"/>
      <c r="L102" s="7"/>
      <c r="M102" s="7"/>
      <c r="N102" s="3" t="s">
        <v>25</v>
      </c>
      <c r="O102" s="3"/>
      <c r="P102" s="3" t="s">
        <v>14</v>
      </c>
    </row>
    <row r="103" spans="1:16" ht="45" x14ac:dyDescent="0.25">
      <c r="A103" s="2">
        <v>97</v>
      </c>
      <c r="B103" s="3" t="s">
        <v>466</v>
      </c>
      <c r="C103" s="3" t="s">
        <v>490</v>
      </c>
      <c r="D103" s="3" t="s">
        <v>491</v>
      </c>
      <c r="E103" s="13" t="s">
        <v>492</v>
      </c>
      <c r="F103" s="4" t="s">
        <v>493</v>
      </c>
      <c r="G103" s="5">
        <v>1925000</v>
      </c>
      <c r="H103" s="3" t="s">
        <v>455</v>
      </c>
      <c r="I103" s="6">
        <v>1</v>
      </c>
      <c r="J103" s="3" t="s">
        <v>24</v>
      </c>
      <c r="K103" s="7"/>
      <c r="L103" s="7"/>
      <c r="M103" s="7"/>
      <c r="N103" s="3" t="s">
        <v>25</v>
      </c>
      <c r="O103" s="3"/>
      <c r="P103" s="3" t="s">
        <v>14</v>
      </c>
    </row>
    <row r="104" spans="1:16" ht="45" x14ac:dyDescent="0.25">
      <c r="A104" s="2">
        <v>98</v>
      </c>
      <c r="B104" s="3" t="s">
        <v>494</v>
      </c>
      <c r="C104" s="3" t="s">
        <v>495</v>
      </c>
      <c r="D104" s="3" t="s">
        <v>496</v>
      </c>
      <c r="E104" s="13" t="s">
        <v>497</v>
      </c>
      <c r="F104" s="4" t="s">
        <v>498</v>
      </c>
      <c r="G104" s="5">
        <v>2342343</v>
      </c>
      <c r="H104" s="3" t="s">
        <v>455</v>
      </c>
      <c r="I104" s="6">
        <v>1</v>
      </c>
      <c r="J104" s="3" t="s">
        <v>24</v>
      </c>
      <c r="K104" s="7"/>
      <c r="L104" s="7"/>
      <c r="M104" s="7"/>
      <c r="N104" s="3" t="s">
        <v>25</v>
      </c>
      <c r="O104" s="3"/>
      <c r="P104" s="3" t="s">
        <v>14</v>
      </c>
    </row>
    <row r="105" spans="1:16" ht="68.25" x14ac:dyDescent="0.25">
      <c r="A105" s="2">
        <v>99</v>
      </c>
      <c r="B105" s="3" t="s">
        <v>499</v>
      </c>
      <c r="C105" s="3" t="s">
        <v>500</v>
      </c>
      <c r="D105" s="3" t="s">
        <v>501</v>
      </c>
      <c r="E105" s="13" t="s">
        <v>502</v>
      </c>
      <c r="F105" s="4" t="s">
        <v>503</v>
      </c>
      <c r="G105" s="5">
        <v>2000000</v>
      </c>
      <c r="H105" s="3" t="s">
        <v>455</v>
      </c>
      <c r="I105" s="6">
        <v>1</v>
      </c>
      <c r="J105" s="3" t="s">
        <v>24</v>
      </c>
      <c r="K105" s="7"/>
      <c r="L105" s="7"/>
      <c r="M105" s="7"/>
      <c r="N105" s="3"/>
      <c r="O105" s="3" t="s">
        <v>504</v>
      </c>
      <c r="P105" s="3"/>
    </row>
    <row r="106" spans="1:16" ht="135.75" x14ac:dyDescent="0.25">
      <c r="A106" s="2">
        <v>100</v>
      </c>
      <c r="B106" s="3" t="s">
        <v>505</v>
      </c>
      <c r="C106" s="3" t="s">
        <v>506</v>
      </c>
      <c r="D106" s="3" t="s">
        <v>507</v>
      </c>
      <c r="E106" s="13" t="s">
        <v>508</v>
      </c>
      <c r="F106" s="4" t="s">
        <v>503</v>
      </c>
      <c r="G106" s="5">
        <v>3700000</v>
      </c>
      <c r="H106" s="3" t="s">
        <v>455</v>
      </c>
      <c r="I106" s="6">
        <v>1</v>
      </c>
      <c r="J106" s="3" t="s">
        <v>24</v>
      </c>
      <c r="K106" s="7"/>
      <c r="L106" s="7"/>
      <c r="M106" s="7"/>
      <c r="N106" s="3" t="s">
        <v>25</v>
      </c>
      <c r="O106" s="3"/>
      <c r="P106" s="3" t="s">
        <v>14</v>
      </c>
    </row>
    <row r="107" spans="1:16" ht="79.5" x14ac:dyDescent="0.25">
      <c r="A107" s="2">
        <v>101</v>
      </c>
      <c r="B107" s="3" t="s">
        <v>509</v>
      </c>
      <c r="C107" s="3" t="s">
        <v>510</v>
      </c>
      <c r="D107" s="3" t="s">
        <v>511</v>
      </c>
      <c r="E107" s="13" t="s">
        <v>512</v>
      </c>
      <c r="F107" s="4" t="s">
        <v>76</v>
      </c>
      <c r="G107" s="5">
        <v>2000000</v>
      </c>
      <c r="H107" s="3" t="s">
        <v>455</v>
      </c>
      <c r="I107" s="6">
        <v>1</v>
      </c>
      <c r="J107" s="3" t="s">
        <v>24</v>
      </c>
      <c r="K107" s="7"/>
      <c r="L107" s="7"/>
      <c r="M107" s="7"/>
      <c r="N107" s="3" t="s">
        <v>25</v>
      </c>
      <c r="O107" s="3"/>
      <c r="P107" s="3" t="s">
        <v>14</v>
      </c>
    </row>
    <row r="108" spans="1:16" ht="90" x14ac:dyDescent="0.25">
      <c r="A108" s="2">
        <v>102</v>
      </c>
      <c r="B108" s="3" t="s">
        <v>513</v>
      </c>
      <c r="C108" s="3" t="s">
        <v>514</v>
      </c>
      <c r="D108" s="3" t="s">
        <v>515</v>
      </c>
      <c r="E108" s="13" t="s">
        <v>516</v>
      </c>
      <c r="F108" s="4" t="s">
        <v>76</v>
      </c>
      <c r="G108" s="5">
        <v>12500000</v>
      </c>
      <c r="H108" s="3" t="s">
        <v>455</v>
      </c>
      <c r="I108" s="6">
        <v>1</v>
      </c>
      <c r="J108" s="3" t="s">
        <v>24</v>
      </c>
      <c r="K108" s="7"/>
      <c r="L108" s="7"/>
      <c r="M108" s="7"/>
      <c r="N108" s="3" t="s">
        <v>25</v>
      </c>
      <c r="O108" s="3"/>
      <c r="P108" s="3" t="s">
        <v>14</v>
      </c>
    </row>
    <row r="109" spans="1:16" ht="75" x14ac:dyDescent="0.25">
      <c r="A109" s="2">
        <v>103</v>
      </c>
      <c r="B109" s="3" t="s">
        <v>517</v>
      </c>
      <c r="C109" s="3" t="s">
        <v>518</v>
      </c>
      <c r="D109" s="3" t="s">
        <v>519</v>
      </c>
      <c r="E109" s="13" t="s">
        <v>520</v>
      </c>
      <c r="F109" s="4" t="s">
        <v>521</v>
      </c>
      <c r="G109" s="5">
        <v>3360000</v>
      </c>
      <c r="H109" s="3" t="s">
        <v>455</v>
      </c>
      <c r="I109" s="6">
        <v>1</v>
      </c>
      <c r="J109" s="3" t="s">
        <v>24</v>
      </c>
      <c r="K109" s="7"/>
      <c r="L109" s="7"/>
      <c r="M109" s="7"/>
      <c r="N109" s="3"/>
      <c r="O109" s="3" t="s">
        <v>522</v>
      </c>
      <c r="P109" s="3"/>
    </row>
    <row r="110" spans="1:16" ht="90" x14ac:dyDescent="0.25">
      <c r="A110" s="2">
        <v>104</v>
      </c>
      <c r="B110" s="3" t="s">
        <v>523</v>
      </c>
      <c r="C110" s="3" t="s">
        <v>524</v>
      </c>
      <c r="D110" s="3" t="s">
        <v>525</v>
      </c>
      <c r="E110" s="13" t="s">
        <v>526</v>
      </c>
      <c r="F110" s="4" t="s">
        <v>527</v>
      </c>
      <c r="G110" s="5">
        <v>1600000</v>
      </c>
      <c r="H110" s="3" t="s">
        <v>455</v>
      </c>
      <c r="I110" s="6">
        <v>1</v>
      </c>
      <c r="J110" s="3" t="s">
        <v>24</v>
      </c>
      <c r="K110" s="7"/>
      <c r="L110" s="7"/>
      <c r="M110" s="7"/>
      <c r="N110" s="3" t="s">
        <v>528</v>
      </c>
      <c r="O110" s="3"/>
      <c r="P110" s="3"/>
    </row>
    <row r="111" spans="1:16" ht="68.25" x14ac:dyDescent="0.25">
      <c r="A111" s="2">
        <v>105</v>
      </c>
      <c r="B111" s="3" t="s">
        <v>529</v>
      </c>
      <c r="C111" s="3" t="s">
        <v>530</v>
      </c>
      <c r="D111" s="3" t="s">
        <v>531</v>
      </c>
      <c r="E111" s="13" t="s">
        <v>532</v>
      </c>
      <c r="F111" s="4" t="s">
        <v>122</v>
      </c>
      <c r="G111" s="5">
        <v>4485000</v>
      </c>
      <c r="H111" s="3" t="s">
        <v>455</v>
      </c>
      <c r="I111" s="6">
        <v>1</v>
      </c>
      <c r="J111" s="3" t="s">
        <v>36</v>
      </c>
      <c r="K111" s="7"/>
      <c r="L111" s="7"/>
      <c r="M111" s="7"/>
      <c r="N111" s="3" t="s">
        <v>25</v>
      </c>
      <c r="O111" s="3"/>
      <c r="P111" s="3" t="s">
        <v>14</v>
      </c>
    </row>
    <row r="112" spans="1:16" ht="60" x14ac:dyDescent="0.25">
      <c r="A112" s="2">
        <v>106</v>
      </c>
      <c r="B112" s="3" t="s">
        <v>533</v>
      </c>
      <c r="C112" s="3" t="s">
        <v>534</v>
      </c>
      <c r="D112" s="3" t="s">
        <v>535</v>
      </c>
      <c r="E112" s="13" t="s">
        <v>536</v>
      </c>
      <c r="F112" s="4" t="s">
        <v>258</v>
      </c>
      <c r="G112" s="5">
        <v>128739077.23</v>
      </c>
      <c r="H112" s="3" t="s">
        <v>455</v>
      </c>
      <c r="I112" s="6">
        <v>1</v>
      </c>
      <c r="J112" s="3" t="s">
        <v>36</v>
      </c>
      <c r="K112" s="7"/>
      <c r="L112" s="7"/>
      <c r="M112" s="7"/>
      <c r="N112" s="3" t="s">
        <v>537</v>
      </c>
      <c r="O112" s="3"/>
      <c r="P112" s="3" t="s">
        <v>14</v>
      </c>
    </row>
    <row r="113" spans="1:16" ht="45" x14ac:dyDescent="0.25">
      <c r="A113" s="2">
        <v>107</v>
      </c>
      <c r="B113" s="3" t="s">
        <v>538</v>
      </c>
      <c r="C113" s="3" t="s">
        <v>539</v>
      </c>
      <c r="D113" s="3" t="s">
        <v>540</v>
      </c>
      <c r="E113" s="13" t="s">
        <v>541</v>
      </c>
      <c r="F113" s="4" t="s">
        <v>542</v>
      </c>
      <c r="G113" s="5">
        <v>5945946</v>
      </c>
      <c r="H113" s="3" t="s">
        <v>455</v>
      </c>
      <c r="I113" s="6">
        <v>1</v>
      </c>
      <c r="J113" s="3" t="s">
        <v>36</v>
      </c>
      <c r="K113" s="7"/>
      <c r="L113" s="7"/>
      <c r="M113" s="7"/>
      <c r="N113" s="3" t="s">
        <v>25</v>
      </c>
      <c r="O113" s="3"/>
      <c r="P113" s="3" t="s">
        <v>14</v>
      </c>
    </row>
    <row r="114" spans="1:16" ht="68.25" x14ac:dyDescent="0.25">
      <c r="A114" s="2">
        <v>108</v>
      </c>
      <c r="B114" s="3" t="s">
        <v>543</v>
      </c>
      <c r="C114" s="3" t="s">
        <v>544</v>
      </c>
      <c r="D114" s="3" t="s">
        <v>545</v>
      </c>
      <c r="E114" s="13" t="s">
        <v>546</v>
      </c>
      <c r="F114" s="4" t="s">
        <v>547</v>
      </c>
      <c r="G114" s="5">
        <v>4485000</v>
      </c>
      <c r="H114" s="3" t="s">
        <v>455</v>
      </c>
      <c r="I114" s="6">
        <v>1</v>
      </c>
      <c r="J114" s="3" t="s">
        <v>36</v>
      </c>
      <c r="K114" s="7"/>
      <c r="L114" s="7"/>
      <c r="M114" s="7"/>
      <c r="N114" s="3" t="s">
        <v>25</v>
      </c>
      <c r="O114" s="3"/>
      <c r="P114" s="3" t="s">
        <v>14</v>
      </c>
    </row>
    <row r="115" spans="1:16" ht="45" x14ac:dyDescent="0.25">
      <c r="A115" s="2">
        <v>109</v>
      </c>
      <c r="B115" s="14" t="s">
        <v>548</v>
      </c>
      <c r="C115" s="14" t="s">
        <v>549</v>
      </c>
      <c r="D115" s="3" t="s">
        <v>550</v>
      </c>
      <c r="E115" s="14" t="s">
        <v>551</v>
      </c>
      <c r="F115" s="14" t="s">
        <v>552</v>
      </c>
      <c r="G115" s="15">
        <v>1420000</v>
      </c>
      <c r="H115" s="14" t="s">
        <v>455</v>
      </c>
      <c r="I115" s="16">
        <v>1</v>
      </c>
      <c r="J115" s="3" t="s">
        <v>24</v>
      </c>
      <c r="K115" s="7"/>
      <c r="L115" s="7"/>
      <c r="M115" s="7"/>
      <c r="N115" s="3" t="s">
        <v>25</v>
      </c>
      <c r="O115" s="3"/>
      <c r="P115" s="3" t="s">
        <v>14</v>
      </c>
    </row>
    <row r="116" spans="1:16" ht="90" x14ac:dyDescent="0.25">
      <c r="A116" s="2">
        <v>110</v>
      </c>
      <c r="B116" s="3" t="s">
        <v>553</v>
      </c>
      <c r="C116" s="3" t="s">
        <v>554</v>
      </c>
      <c r="D116" s="3" t="s">
        <v>555</v>
      </c>
      <c r="E116" s="13" t="s">
        <v>556</v>
      </c>
      <c r="F116" s="4" t="s">
        <v>557</v>
      </c>
      <c r="G116" s="5">
        <v>2100000</v>
      </c>
      <c r="H116" s="3" t="s">
        <v>455</v>
      </c>
      <c r="I116" s="6">
        <v>2</v>
      </c>
      <c r="J116" s="3" t="s">
        <v>24</v>
      </c>
      <c r="K116" s="7"/>
      <c r="L116" s="7"/>
      <c r="M116" s="7"/>
      <c r="N116" s="3" t="s">
        <v>25</v>
      </c>
      <c r="O116" s="3" t="s">
        <v>346</v>
      </c>
      <c r="P116" s="3" t="s">
        <v>14</v>
      </c>
    </row>
    <row r="117" spans="1:16" ht="90" x14ac:dyDescent="0.25">
      <c r="A117" s="2">
        <v>111</v>
      </c>
      <c r="B117" s="3" t="s">
        <v>558</v>
      </c>
      <c r="C117" s="3" t="s">
        <v>559</v>
      </c>
      <c r="D117" s="3" t="s">
        <v>560</v>
      </c>
      <c r="E117" s="13" t="s">
        <v>561</v>
      </c>
      <c r="F117" s="4" t="s">
        <v>367</v>
      </c>
      <c r="G117" s="5">
        <v>12700000</v>
      </c>
      <c r="H117" s="3" t="s">
        <v>455</v>
      </c>
      <c r="I117" s="6">
        <v>2</v>
      </c>
      <c r="J117" s="3" t="s">
        <v>24</v>
      </c>
      <c r="K117" s="7"/>
      <c r="L117" s="7"/>
      <c r="M117" s="7"/>
      <c r="N117" s="3" t="s">
        <v>25</v>
      </c>
      <c r="O117" s="3" t="s">
        <v>346</v>
      </c>
      <c r="P117" s="3" t="s">
        <v>14</v>
      </c>
    </row>
    <row r="118" spans="1:16" ht="105" x14ac:dyDescent="0.25">
      <c r="A118" s="2">
        <v>112</v>
      </c>
      <c r="B118" s="3" t="s">
        <v>562</v>
      </c>
      <c r="C118" s="3" t="s">
        <v>563</v>
      </c>
      <c r="D118" s="3" t="s">
        <v>564</v>
      </c>
      <c r="E118" s="13" t="s">
        <v>565</v>
      </c>
      <c r="F118" s="4" t="s">
        <v>465</v>
      </c>
      <c r="G118" s="5">
        <v>3450000</v>
      </c>
      <c r="H118" s="3" t="s">
        <v>455</v>
      </c>
      <c r="I118" s="6">
        <v>2</v>
      </c>
      <c r="J118" s="3" t="s">
        <v>24</v>
      </c>
      <c r="K118" s="7"/>
      <c r="L118" s="7"/>
      <c r="M118" s="7"/>
      <c r="N118" s="3"/>
      <c r="O118" s="3" t="s">
        <v>55</v>
      </c>
      <c r="P118" s="3" t="s">
        <v>14</v>
      </c>
    </row>
    <row r="119" spans="1:16" ht="105" x14ac:dyDescent="0.25">
      <c r="A119" s="2">
        <v>113</v>
      </c>
      <c r="B119" s="3" t="s">
        <v>566</v>
      </c>
      <c r="C119" s="3" t="s">
        <v>567</v>
      </c>
      <c r="D119" s="3" t="s">
        <v>568</v>
      </c>
      <c r="E119" s="13" t="s">
        <v>569</v>
      </c>
      <c r="F119" s="4" t="s">
        <v>253</v>
      </c>
      <c r="G119" s="5">
        <v>195840000</v>
      </c>
      <c r="H119" s="3" t="s">
        <v>455</v>
      </c>
      <c r="I119" s="6">
        <v>2</v>
      </c>
      <c r="J119" s="3" t="s">
        <v>24</v>
      </c>
      <c r="K119" s="7"/>
      <c r="L119" s="7"/>
      <c r="M119" s="7"/>
      <c r="N119" s="3" t="s">
        <v>25</v>
      </c>
      <c r="O119" s="3" t="s">
        <v>55</v>
      </c>
      <c r="P119" s="3" t="s">
        <v>14</v>
      </c>
    </row>
    <row r="120" spans="1:16" ht="105" x14ac:dyDescent="0.25">
      <c r="A120" s="2">
        <v>114</v>
      </c>
      <c r="B120" s="3" t="s">
        <v>570</v>
      </c>
      <c r="C120" s="3" t="s">
        <v>571</v>
      </c>
      <c r="D120" s="3" t="s">
        <v>572</v>
      </c>
      <c r="E120" s="13" t="s">
        <v>573</v>
      </c>
      <c r="F120" s="4" t="s">
        <v>574</v>
      </c>
      <c r="G120" s="5">
        <v>2497298</v>
      </c>
      <c r="H120" s="3" t="s">
        <v>455</v>
      </c>
      <c r="I120" s="6">
        <v>2</v>
      </c>
      <c r="J120" s="3" t="s">
        <v>24</v>
      </c>
      <c r="K120" s="7"/>
      <c r="L120" s="7"/>
      <c r="M120" s="7"/>
      <c r="N120" s="3"/>
      <c r="O120" s="3" t="s">
        <v>55</v>
      </c>
      <c r="P120" s="3" t="s">
        <v>14</v>
      </c>
    </row>
    <row r="121" spans="1:16" ht="150" x14ac:dyDescent="0.25">
      <c r="A121" s="2">
        <v>115</v>
      </c>
      <c r="B121" s="3" t="s">
        <v>575</v>
      </c>
      <c r="C121" s="3" t="s">
        <v>576</v>
      </c>
      <c r="D121" s="3" t="s">
        <v>577</v>
      </c>
      <c r="E121" s="13" t="s">
        <v>578</v>
      </c>
      <c r="F121" s="4" t="s">
        <v>579</v>
      </c>
      <c r="G121" s="5">
        <v>2227483.9300000002</v>
      </c>
      <c r="H121" s="3" t="s">
        <v>455</v>
      </c>
      <c r="I121" s="6">
        <v>2</v>
      </c>
      <c r="J121" s="3" t="s">
        <v>24</v>
      </c>
      <c r="K121" s="7"/>
      <c r="L121" s="7"/>
      <c r="M121" s="7"/>
      <c r="N121" s="3"/>
      <c r="O121" s="3" t="s">
        <v>580</v>
      </c>
      <c r="P121" s="3"/>
    </row>
    <row r="122" spans="1:16" ht="105" x14ac:dyDescent="0.25">
      <c r="A122" s="2">
        <v>116</v>
      </c>
      <c r="B122" s="3" t="s">
        <v>581</v>
      </c>
      <c r="C122" s="3" t="s">
        <v>582</v>
      </c>
      <c r="D122" s="3" t="s">
        <v>583</v>
      </c>
      <c r="E122" s="13" t="s">
        <v>584</v>
      </c>
      <c r="F122" s="4" t="s">
        <v>585</v>
      </c>
      <c r="G122" s="5">
        <v>10050000</v>
      </c>
      <c r="H122" s="3" t="s">
        <v>455</v>
      </c>
      <c r="I122" s="6">
        <v>2</v>
      </c>
      <c r="J122" s="3" t="s">
        <v>24</v>
      </c>
      <c r="K122" s="7"/>
      <c r="L122" s="7"/>
      <c r="M122" s="7"/>
      <c r="N122" s="3"/>
      <c r="O122" s="3" t="s">
        <v>55</v>
      </c>
      <c r="P122" s="3" t="s">
        <v>14</v>
      </c>
    </row>
    <row r="123" spans="1:16" ht="105" x14ac:dyDescent="0.25">
      <c r="A123" s="2">
        <v>117</v>
      </c>
      <c r="B123" s="3" t="s">
        <v>570</v>
      </c>
      <c r="C123" s="3" t="s">
        <v>586</v>
      </c>
      <c r="D123" s="3" t="s">
        <v>587</v>
      </c>
      <c r="E123" s="13" t="s">
        <v>588</v>
      </c>
      <c r="F123" s="4" t="s">
        <v>589</v>
      </c>
      <c r="G123" s="5">
        <v>2497298</v>
      </c>
      <c r="H123" s="3" t="s">
        <v>455</v>
      </c>
      <c r="I123" s="6">
        <v>2</v>
      </c>
      <c r="J123" s="3" t="s">
        <v>24</v>
      </c>
      <c r="K123" s="7"/>
      <c r="L123" s="7"/>
      <c r="M123" s="7"/>
      <c r="N123" s="3"/>
      <c r="O123" s="3" t="s">
        <v>55</v>
      </c>
      <c r="P123" s="3" t="s">
        <v>14</v>
      </c>
    </row>
    <row r="124" spans="1:16" ht="105" x14ac:dyDescent="0.25">
      <c r="A124" s="2">
        <v>118</v>
      </c>
      <c r="B124" s="3" t="s">
        <v>570</v>
      </c>
      <c r="C124" s="3" t="s">
        <v>590</v>
      </c>
      <c r="D124" s="3" t="s">
        <v>591</v>
      </c>
      <c r="E124" s="13" t="s">
        <v>588</v>
      </c>
      <c r="F124" s="4" t="s">
        <v>589</v>
      </c>
      <c r="G124" s="5">
        <v>2497298</v>
      </c>
      <c r="H124" s="3" t="s">
        <v>455</v>
      </c>
      <c r="I124" s="6">
        <v>2</v>
      </c>
      <c r="J124" s="3" t="s">
        <v>24</v>
      </c>
      <c r="K124" s="7"/>
      <c r="L124" s="7"/>
      <c r="M124" s="7"/>
      <c r="N124" s="3"/>
      <c r="O124" s="3" t="s">
        <v>55</v>
      </c>
      <c r="P124" s="3" t="s">
        <v>14</v>
      </c>
    </row>
    <row r="125" spans="1:16" ht="165" x14ac:dyDescent="0.25">
      <c r="A125" s="2">
        <v>119</v>
      </c>
      <c r="B125" s="3" t="s">
        <v>592</v>
      </c>
      <c r="C125" s="3" t="s">
        <v>593</v>
      </c>
      <c r="D125" s="3" t="s">
        <v>594</v>
      </c>
      <c r="E125" s="13" t="s">
        <v>595</v>
      </c>
      <c r="F125" s="4" t="s">
        <v>589</v>
      </c>
      <c r="G125" s="5">
        <v>2497298</v>
      </c>
      <c r="H125" s="3" t="s">
        <v>455</v>
      </c>
      <c r="I125" s="6">
        <v>2</v>
      </c>
      <c r="J125" s="3" t="s">
        <v>24</v>
      </c>
      <c r="K125" s="7"/>
      <c r="L125" s="7"/>
      <c r="M125" s="7"/>
      <c r="N125" s="3"/>
      <c r="O125" s="3" t="s">
        <v>596</v>
      </c>
      <c r="P125" s="3"/>
    </row>
    <row r="126" spans="1:16" ht="150" x14ac:dyDescent="0.25">
      <c r="A126" s="2">
        <v>120</v>
      </c>
      <c r="B126" s="3" t="s">
        <v>597</v>
      </c>
      <c r="C126" s="3" t="s">
        <v>598</v>
      </c>
      <c r="D126" s="3" t="s">
        <v>599</v>
      </c>
      <c r="E126" s="13" t="s">
        <v>600</v>
      </c>
      <c r="F126" s="4" t="s">
        <v>493</v>
      </c>
      <c r="G126" s="5">
        <v>1925000</v>
      </c>
      <c r="H126" s="3" t="s">
        <v>455</v>
      </c>
      <c r="I126" s="6">
        <v>2</v>
      </c>
      <c r="J126" s="3" t="s">
        <v>24</v>
      </c>
      <c r="K126" s="7"/>
      <c r="L126" s="7"/>
      <c r="M126" s="7"/>
      <c r="N126" s="3"/>
      <c r="O126" s="3" t="s">
        <v>601</v>
      </c>
      <c r="P126" s="3"/>
    </row>
    <row r="127" spans="1:16" ht="105" x14ac:dyDescent="0.25">
      <c r="A127" s="2">
        <v>121</v>
      </c>
      <c r="B127" s="3" t="s">
        <v>575</v>
      </c>
      <c r="C127" s="3" t="s">
        <v>602</v>
      </c>
      <c r="D127" s="3" t="s">
        <v>603</v>
      </c>
      <c r="E127" s="13" t="s">
        <v>604</v>
      </c>
      <c r="F127" s="4" t="s">
        <v>605</v>
      </c>
      <c r="G127" s="5">
        <v>2227491.96</v>
      </c>
      <c r="H127" s="3" t="s">
        <v>455</v>
      </c>
      <c r="I127" s="6">
        <v>2</v>
      </c>
      <c r="J127" s="3" t="s">
        <v>24</v>
      </c>
      <c r="K127" s="7"/>
      <c r="L127" s="7"/>
      <c r="M127" s="7"/>
      <c r="N127" s="3"/>
      <c r="O127" s="3" t="s">
        <v>55</v>
      </c>
      <c r="P127" s="3" t="s">
        <v>14</v>
      </c>
    </row>
    <row r="128" spans="1:16" ht="135" x14ac:dyDescent="0.25">
      <c r="A128" s="2">
        <v>122</v>
      </c>
      <c r="B128" s="3" t="s">
        <v>606</v>
      </c>
      <c r="C128" s="3" t="s">
        <v>607</v>
      </c>
      <c r="D128" s="3" t="s">
        <v>608</v>
      </c>
      <c r="E128" s="13" t="s">
        <v>609</v>
      </c>
      <c r="F128" s="4" t="s">
        <v>76</v>
      </c>
      <c r="G128" s="5">
        <v>2200000</v>
      </c>
      <c r="H128" s="3" t="s">
        <v>455</v>
      </c>
      <c r="I128" s="6">
        <v>2</v>
      </c>
      <c r="J128" s="3" t="s">
        <v>24</v>
      </c>
      <c r="K128" s="7"/>
      <c r="L128" s="7"/>
      <c r="M128" s="7"/>
      <c r="N128" s="3"/>
      <c r="O128" s="3" t="s">
        <v>610</v>
      </c>
      <c r="P128" s="3" t="s">
        <v>14</v>
      </c>
    </row>
    <row r="129" spans="1:16" ht="105" x14ac:dyDescent="0.25">
      <c r="A129" s="2">
        <v>123</v>
      </c>
      <c r="B129" s="3" t="s">
        <v>611</v>
      </c>
      <c r="C129" s="3" t="s">
        <v>612</v>
      </c>
      <c r="D129" s="3" t="s">
        <v>613</v>
      </c>
      <c r="E129" s="13" t="s">
        <v>516</v>
      </c>
      <c r="F129" s="4" t="s">
        <v>76</v>
      </c>
      <c r="G129" s="5">
        <v>17000000</v>
      </c>
      <c r="H129" s="3" t="s">
        <v>455</v>
      </c>
      <c r="I129" s="6">
        <v>2</v>
      </c>
      <c r="J129" s="3" t="s">
        <v>24</v>
      </c>
      <c r="K129" s="7"/>
      <c r="L129" s="7"/>
      <c r="M129" s="7"/>
      <c r="N129" s="3"/>
      <c r="O129" s="3" t="s">
        <v>55</v>
      </c>
      <c r="P129" s="3" t="s">
        <v>14</v>
      </c>
    </row>
    <row r="130" spans="1:16" ht="105" x14ac:dyDescent="0.25">
      <c r="A130" s="2">
        <v>124</v>
      </c>
      <c r="B130" s="3" t="s">
        <v>570</v>
      </c>
      <c r="C130" s="3" t="s">
        <v>614</v>
      </c>
      <c r="D130" s="3" t="s">
        <v>615</v>
      </c>
      <c r="E130" s="13" t="s">
        <v>616</v>
      </c>
      <c r="F130" s="4" t="s">
        <v>617</v>
      </c>
      <c r="G130" s="5">
        <v>2479298</v>
      </c>
      <c r="H130" s="3" t="s">
        <v>455</v>
      </c>
      <c r="I130" s="6">
        <v>2</v>
      </c>
      <c r="J130" s="3" t="s">
        <v>24</v>
      </c>
      <c r="K130" s="7"/>
      <c r="L130" s="7"/>
      <c r="M130" s="7"/>
      <c r="N130" s="3"/>
      <c r="O130" s="3" t="s">
        <v>55</v>
      </c>
      <c r="P130" s="3" t="s">
        <v>14</v>
      </c>
    </row>
    <row r="131" spans="1:16" ht="105" x14ac:dyDescent="0.25">
      <c r="A131" s="2">
        <v>125</v>
      </c>
      <c r="B131" s="14" t="s">
        <v>618</v>
      </c>
      <c r="C131" s="14" t="s">
        <v>619</v>
      </c>
      <c r="D131" s="3" t="s">
        <v>620</v>
      </c>
      <c r="E131" s="14" t="s">
        <v>621</v>
      </c>
      <c r="F131" s="14" t="s">
        <v>42</v>
      </c>
      <c r="G131" s="15">
        <v>11891892</v>
      </c>
      <c r="H131" s="14" t="s">
        <v>455</v>
      </c>
      <c r="I131" s="16">
        <v>2</v>
      </c>
      <c r="J131" s="3" t="s">
        <v>24</v>
      </c>
      <c r="K131" s="7"/>
      <c r="L131" s="7"/>
      <c r="M131" s="7"/>
      <c r="N131" s="3"/>
      <c r="O131" s="3" t="s">
        <v>55</v>
      </c>
      <c r="P131" s="3" t="s">
        <v>14</v>
      </c>
    </row>
    <row r="132" spans="1:16" ht="75" x14ac:dyDescent="0.25">
      <c r="A132" s="2">
        <v>126</v>
      </c>
      <c r="B132" s="14" t="s">
        <v>622</v>
      </c>
      <c r="C132" s="14" t="s">
        <v>623</v>
      </c>
      <c r="D132" s="3" t="s">
        <v>624</v>
      </c>
      <c r="E132" s="14" t="s">
        <v>621</v>
      </c>
      <c r="F132" s="14" t="s">
        <v>552</v>
      </c>
      <c r="G132" s="15">
        <v>2800000</v>
      </c>
      <c r="H132" s="14" t="s">
        <v>455</v>
      </c>
      <c r="I132" s="16">
        <v>2</v>
      </c>
      <c r="J132" s="3" t="s">
        <v>24</v>
      </c>
      <c r="K132" s="7"/>
      <c r="L132" s="7"/>
      <c r="M132" s="7"/>
      <c r="N132" s="3" t="s">
        <v>25</v>
      </c>
      <c r="O132" s="3" t="s">
        <v>435</v>
      </c>
      <c r="P132" s="3" t="s">
        <v>14</v>
      </c>
    </row>
    <row r="133" spans="1:16" ht="105" x14ac:dyDescent="0.25">
      <c r="A133" s="2">
        <v>127</v>
      </c>
      <c r="B133" s="3" t="s">
        <v>575</v>
      </c>
      <c r="C133" s="3" t="s">
        <v>625</v>
      </c>
      <c r="D133" s="3" t="s">
        <v>626</v>
      </c>
      <c r="E133" s="13" t="s">
        <v>627</v>
      </c>
      <c r="F133" s="4" t="s">
        <v>628</v>
      </c>
      <c r="G133" s="5">
        <v>3341081.25</v>
      </c>
      <c r="H133" s="3" t="s">
        <v>455</v>
      </c>
      <c r="I133" s="6">
        <v>3</v>
      </c>
      <c r="J133" s="3" t="s">
        <v>24</v>
      </c>
      <c r="K133" s="7"/>
      <c r="L133" s="7"/>
      <c r="M133" s="7"/>
      <c r="N133" s="3"/>
      <c r="O133" s="3" t="s">
        <v>55</v>
      </c>
      <c r="P133" s="3"/>
    </row>
    <row r="134" spans="1:16" ht="105" x14ac:dyDescent="0.25">
      <c r="A134" s="2">
        <v>128</v>
      </c>
      <c r="B134" s="3" t="s">
        <v>629</v>
      </c>
      <c r="C134" s="3" t="s">
        <v>630</v>
      </c>
      <c r="D134" s="3" t="s">
        <v>631</v>
      </c>
      <c r="E134" s="13" t="s">
        <v>632</v>
      </c>
      <c r="F134" s="4" t="s">
        <v>633</v>
      </c>
      <c r="G134" s="5">
        <v>4900000</v>
      </c>
      <c r="H134" s="3" t="s">
        <v>455</v>
      </c>
      <c r="I134" s="6">
        <v>4</v>
      </c>
      <c r="J134" s="3" t="s">
        <v>24</v>
      </c>
      <c r="K134" s="7"/>
      <c r="L134" s="7"/>
      <c r="M134" s="7"/>
      <c r="N134" s="3"/>
      <c r="O134" s="3" t="s">
        <v>55</v>
      </c>
      <c r="P134" s="3" t="s">
        <v>14</v>
      </c>
    </row>
    <row r="135" spans="1:16" ht="60" x14ac:dyDescent="0.25">
      <c r="A135" s="2">
        <v>129</v>
      </c>
      <c r="B135" s="3" t="s">
        <v>634</v>
      </c>
      <c r="C135" s="3" t="s">
        <v>635</v>
      </c>
      <c r="D135" s="3" t="s">
        <v>636</v>
      </c>
      <c r="E135" s="13" t="s">
        <v>637</v>
      </c>
      <c r="F135" s="4" t="s">
        <v>493</v>
      </c>
      <c r="G135" s="5">
        <v>1925000</v>
      </c>
      <c r="H135" s="3" t="s">
        <v>455</v>
      </c>
      <c r="I135" s="6">
        <v>5</v>
      </c>
      <c r="J135" s="3" t="s">
        <v>24</v>
      </c>
      <c r="K135" s="7"/>
      <c r="L135" s="7"/>
      <c r="M135" s="7"/>
      <c r="N135" s="3" t="s">
        <v>25</v>
      </c>
      <c r="O135" s="3"/>
      <c r="P135" s="3" t="s">
        <v>14</v>
      </c>
    </row>
    <row r="136" spans="1:16" ht="105" x14ac:dyDescent="0.25">
      <c r="A136" s="2">
        <v>130</v>
      </c>
      <c r="B136" s="3" t="s">
        <v>638</v>
      </c>
      <c r="C136" s="3" t="s">
        <v>639</v>
      </c>
      <c r="D136" s="3" t="s">
        <v>640</v>
      </c>
      <c r="E136" s="13" t="s">
        <v>641</v>
      </c>
      <c r="F136" s="4" t="s">
        <v>642</v>
      </c>
      <c r="G136" s="5">
        <v>6243244</v>
      </c>
      <c r="H136" s="3" t="s">
        <v>455</v>
      </c>
      <c r="I136" s="6">
        <v>5</v>
      </c>
      <c r="J136" s="3" t="s">
        <v>36</v>
      </c>
      <c r="K136" s="7"/>
      <c r="L136" s="7"/>
      <c r="M136" s="7"/>
      <c r="N136" s="3"/>
      <c r="O136" s="3" t="s">
        <v>55</v>
      </c>
      <c r="P136" s="3" t="s">
        <v>14</v>
      </c>
    </row>
    <row r="137" spans="1:16" ht="105" x14ac:dyDescent="0.25">
      <c r="A137" s="2">
        <v>131</v>
      </c>
      <c r="B137" s="8" t="s">
        <v>643</v>
      </c>
      <c r="C137" s="8" t="s">
        <v>644</v>
      </c>
      <c r="D137" s="3" t="s">
        <v>645</v>
      </c>
      <c r="E137" s="14" t="s">
        <v>646</v>
      </c>
      <c r="F137" s="8" t="s">
        <v>218</v>
      </c>
      <c r="G137" s="9">
        <v>9250000</v>
      </c>
      <c r="H137" s="8" t="s">
        <v>455</v>
      </c>
      <c r="I137" s="10">
        <v>5</v>
      </c>
      <c r="J137" s="3" t="s">
        <v>36</v>
      </c>
      <c r="K137" s="7"/>
      <c r="L137" s="7"/>
      <c r="M137" s="7"/>
      <c r="N137" s="3"/>
      <c r="O137" s="3" t="s">
        <v>55</v>
      </c>
      <c r="P137" s="3" t="s">
        <v>14</v>
      </c>
    </row>
    <row r="138" spans="1:16" ht="150" x14ac:dyDescent="0.25">
      <c r="A138" s="2">
        <v>132</v>
      </c>
      <c r="B138" s="3" t="s">
        <v>647</v>
      </c>
      <c r="C138" s="3" t="s">
        <v>648</v>
      </c>
      <c r="D138" s="3" t="s">
        <v>649</v>
      </c>
      <c r="E138" s="13" t="s">
        <v>650</v>
      </c>
      <c r="F138" s="4" t="s">
        <v>651</v>
      </c>
      <c r="G138" s="5">
        <v>7018669.6399999997</v>
      </c>
      <c r="H138" s="3" t="s">
        <v>455</v>
      </c>
      <c r="I138" s="6">
        <v>6</v>
      </c>
      <c r="J138" s="3" t="s">
        <v>24</v>
      </c>
      <c r="K138" s="7"/>
      <c r="L138" s="7"/>
      <c r="M138" s="7"/>
      <c r="N138" s="3"/>
      <c r="O138" s="3" t="s">
        <v>652</v>
      </c>
      <c r="P138" s="3"/>
    </row>
    <row r="139" spans="1:16" ht="150" x14ac:dyDescent="0.25">
      <c r="A139" s="2">
        <v>133</v>
      </c>
      <c r="B139" s="3" t="s">
        <v>653</v>
      </c>
      <c r="C139" s="3" t="s">
        <v>654</v>
      </c>
      <c r="D139" s="3" t="s">
        <v>655</v>
      </c>
      <c r="E139" s="13" t="s">
        <v>656</v>
      </c>
      <c r="F139" s="4" t="s">
        <v>651</v>
      </c>
      <c r="G139" s="5">
        <v>8132500</v>
      </c>
      <c r="H139" s="3" t="s">
        <v>455</v>
      </c>
      <c r="I139" s="6">
        <v>7</v>
      </c>
      <c r="J139" s="3" t="s">
        <v>24</v>
      </c>
      <c r="K139" s="7"/>
      <c r="L139" s="7"/>
      <c r="M139" s="7"/>
      <c r="N139" s="3"/>
      <c r="O139" s="3" t="s">
        <v>652</v>
      </c>
      <c r="P139" s="3"/>
    </row>
    <row r="140" spans="1:16" ht="105" x14ac:dyDescent="0.25">
      <c r="A140" s="2">
        <v>134</v>
      </c>
      <c r="B140" s="3" t="s">
        <v>657</v>
      </c>
      <c r="C140" s="3" t="s">
        <v>658</v>
      </c>
      <c r="D140" s="3" t="s">
        <v>659</v>
      </c>
      <c r="E140" s="13" t="s">
        <v>660</v>
      </c>
      <c r="F140" s="4" t="s">
        <v>628</v>
      </c>
      <c r="G140" s="5">
        <v>8134523</v>
      </c>
      <c r="H140" s="3" t="s">
        <v>455</v>
      </c>
      <c r="I140" s="6">
        <v>8</v>
      </c>
      <c r="J140" s="3" t="s">
        <v>24</v>
      </c>
      <c r="K140" s="7"/>
      <c r="L140" s="7"/>
      <c r="M140" s="7"/>
      <c r="N140" s="3"/>
      <c r="O140" s="3" t="s">
        <v>55</v>
      </c>
      <c r="P140" s="3" t="s">
        <v>14</v>
      </c>
    </row>
    <row r="141" spans="1:16" ht="192" x14ac:dyDescent="0.25">
      <c r="A141" s="2">
        <v>135</v>
      </c>
      <c r="B141" s="3" t="s">
        <v>661</v>
      </c>
      <c r="C141" s="3" t="s">
        <v>662</v>
      </c>
      <c r="D141" s="3" t="s">
        <v>663</v>
      </c>
      <c r="E141" s="13" t="s">
        <v>664</v>
      </c>
      <c r="F141" s="4" t="s">
        <v>460</v>
      </c>
      <c r="G141" s="5">
        <v>13363200</v>
      </c>
      <c r="H141" s="3" t="s">
        <v>455</v>
      </c>
      <c r="I141" s="6">
        <v>12</v>
      </c>
      <c r="J141" s="17" t="s">
        <v>24</v>
      </c>
      <c r="K141" s="7"/>
      <c r="L141" s="7"/>
      <c r="M141" s="7"/>
      <c r="N141" s="3"/>
      <c r="O141" s="3" t="s">
        <v>665</v>
      </c>
      <c r="P141" s="3"/>
    </row>
    <row r="142" spans="1:16" ht="105" x14ac:dyDescent="0.25">
      <c r="A142" s="2">
        <v>136</v>
      </c>
      <c r="B142" s="3" t="s">
        <v>570</v>
      </c>
      <c r="C142" s="3" t="s">
        <v>666</v>
      </c>
      <c r="D142" s="3" t="s">
        <v>667</v>
      </c>
      <c r="E142" s="13" t="s">
        <v>668</v>
      </c>
      <c r="F142" s="4" t="s">
        <v>401</v>
      </c>
      <c r="G142" s="5">
        <v>19978379</v>
      </c>
      <c r="H142" s="3" t="s">
        <v>455</v>
      </c>
      <c r="I142" s="6">
        <v>16</v>
      </c>
      <c r="J142" s="17" t="s">
        <v>24</v>
      </c>
      <c r="K142" s="7"/>
      <c r="L142" s="7"/>
      <c r="M142" s="7"/>
      <c r="N142" s="3"/>
      <c r="O142" s="3" t="s">
        <v>55</v>
      </c>
      <c r="P142" s="3" t="s">
        <v>14</v>
      </c>
    </row>
    <row r="143" spans="1:16" ht="105" x14ac:dyDescent="0.25">
      <c r="A143" s="2">
        <v>137</v>
      </c>
      <c r="B143" s="3" t="s">
        <v>570</v>
      </c>
      <c r="C143" s="3" t="s">
        <v>669</v>
      </c>
      <c r="D143" s="3" t="s">
        <v>670</v>
      </c>
      <c r="E143" s="13" t="s">
        <v>671</v>
      </c>
      <c r="F143" s="4" t="s">
        <v>672</v>
      </c>
      <c r="G143" s="5">
        <v>21227028</v>
      </c>
      <c r="H143" s="3" t="s">
        <v>455</v>
      </c>
      <c r="I143" s="6">
        <v>17</v>
      </c>
      <c r="J143" s="17" t="s">
        <v>24</v>
      </c>
      <c r="K143" s="7"/>
      <c r="L143" s="7"/>
      <c r="M143" s="7"/>
      <c r="N143" s="3"/>
      <c r="O143" s="3" t="s">
        <v>55</v>
      </c>
      <c r="P143" s="3" t="s">
        <v>14</v>
      </c>
    </row>
    <row r="144" spans="1:16" ht="60" x14ac:dyDescent="0.25">
      <c r="A144" s="2">
        <v>138</v>
      </c>
      <c r="B144" s="3" t="s">
        <v>673</v>
      </c>
      <c r="C144" s="3" t="s">
        <v>674</v>
      </c>
      <c r="D144" s="3" t="s">
        <v>675</v>
      </c>
      <c r="E144" s="3" t="s">
        <v>676</v>
      </c>
      <c r="F144" s="4" t="s">
        <v>677</v>
      </c>
      <c r="G144" s="5">
        <v>2890991</v>
      </c>
      <c r="H144" s="3" t="s">
        <v>678</v>
      </c>
      <c r="I144" s="6">
        <v>1</v>
      </c>
      <c r="J144" s="3" t="s">
        <v>24</v>
      </c>
      <c r="K144" s="7"/>
      <c r="L144" s="7"/>
      <c r="M144" s="7"/>
      <c r="N144" s="3" t="s">
        <v>25</v>
      </c>
      <c r="O144" s="3" t="s">
        <v>13</v>
      </c>
      <c r="P144" s="3" t="s">
        <v>14</v>
      </c>
    </row>
    <row r="145" spans="1:16" ht="90" x14ac:dyDescent="0.25">
      <c r="A145" s="2">
        <v>139</v>
      </c>
      <c r="B145" s="3" t="s">
        <v>679</v>
      </c>
      <c r="C145" s="3" t="s">
        <v>680</v>
      </c>
      <c r="D145" s="3" t="s">
        <v>681</v>
      </c>
      <c r="E145" s="3" t="s">
        <v>682</v>
      </c>
      <c r="F145" s="4" t="s">
        <v>66</v>
      </c>
      <c r="G145" s="5">
        <v>5948500</v>
      </c>
      <c r="H145" s="3" t="s">
        <v>678</v>
      </c>
      <c r="I145" s="6">
        <v>2</v>
      </c>
      <c r="J145" s="3" t="s">
        <v>24</v>
      </c>
      <c r="K145" s="7"/>
      <c r="L145" s="7"/>
      <c r="M145" s="7"/>
      <c r="N145" s="3" t="s">
        <v>25</v>
      </c>
      <c r="O145" s="3" t="s">
        <v>683</v>
      </c>
      <c r="P145" s="3" t="s">
        <v>14</v>
      </c>
    </row>
    <row r="146" spans="1:16" ht="45" x14ac:dyDescent="0.25">
      <c r="A146" s="2">
        <v>140</v>
      </c>
      <c r="B146" s="3" t="s">
        <v>684</v>
      </c>
      <c r="C146" s="3" t="s">
        <v>685</v>
      </c>
      <c r="D146" s="3" t="s">
        <v>686</v>
      </c>
      <c r="E146" s="13" t="s">
        <v>687</v>
      </c>
      <c r="F146" s="4" t="s">
        <v>688</v>
      </c>
      <c r="G146" s="5">
        <v>7665766</v>
      </c>
      <c r="H146" s="3" t="s">
        <v>689</v>
      </c>
      <c r="I146" s="6">
        <v>1</v>
      </c>
      <c r="J146" s="3" t="s">
        <v>36</v>
      </c>
      <c r="K146" s="7"/>
      <c r="L146" s="7"/>
      <c r="M146" s="7"/>
      <c r="N146" s="3" t="s">
        <v>124</v>
      </c>
      <c r="O146" s="3"/>
      <c r="P146" s="3" t="s">
        <v>14</v>
      </c>
    </row>
    <row r="147" spans="1:16" ht="45.75" x14ac:dyDescent="0.25">
      <c r="A147" s="2">
        <v>141</v>
      </c>
      <c r="B147" s="3" t="s">
        <v>690</v>
      </c>
      <c r="C147" s="3" t="s">
        <v>691</v>
      </c>
      <c r="D147" s="3" t="s">
        <v>692</v>
      </c>
      <c r="E147" s="13" t="s">
        <v>693</v>
      </c>
      <c r="F147" s="4" t="s">
        <v>694</v>
      </c>
      <c r="G147" s="5">
        <v>1250000</v>
      </c>
      <c r="H147" s="3" t="s">
        <v>689</v>
      </c>
      <c r="I147" s="6">
        <v>1</v>
      </c>
      <c r="J147" s="3" t="s">
        <v>36</v>
      </c>
      <c r="K147" s="7"/>
      <c r="L147" s="7"/>
      <c r="M147" s="7"/>
      <c r="N147" s="3" t="s">
        <v>124</v>
      </c>
      <c r="O147" s="3"/>
      <c r="P147" s="3" t="s">
        <v>14</v>
      </c>
    </row>
    <row r="148" spans="1:16" ht="75" x14ac:dyDescent="0.25">
      <c r="A148" s="2">
        <v>142</v>
      </c>
      <c r="B148" s="3" t="s">
        <v>695</v>
      </c>
      <c r="C148" s="3" t="s">
        <v>696</v>
      </c>
      <c r="D148" s="3" t="s">
        <v>697</v>
      </c>
      <c r="E148" s="13" t="s">
        <v>698</v>
      </c>
      <c r="F148" s="4" t="s">
        <v>699</v>
      </c>
      <c r="G148" s="5">
        <v>2700000</v>
      </c>
      <c r="H148" s="3" t="s">
        <v>689</v>
      </c>
      <c r="I148" s="6">
        <v>3</v>
      </c>
      <c r="J148" s="3" t="s">
        <v>24</v>
      </c>
      <c r="K148" s="7"/>
      <c r="L148" s="7"/>
      <c r="M148" s="7"/>
      <c r="N148" s="3" t="s">
        <v>124</v>
      </c>
      <c r="O148" s="3" t="s">
        <v>435</v>
      </c>
      <c r="P148" s="3" t="s">
        <v>14</v>
      </c>
    </row>
    <row r="149" spans="1:16" ht="75" x14ac:dyDescent="0.25">
      <c r="A149" s="2">
        <v>143</v>
      </c>
      <c r="B149" s="3" t="s">
        <v>700</v>
      </c>
      <c r="C149" s="3" t="s">
        <v>701</v>
      </c>
      <c r="D149" s="3" t="s">
        <v>702</v>
      </c>
      <c r="E149" s="13" t="s">
        <v>703</v>
      </c>
      <c r="F149" s="4" t="s">
        <v>574</v>
      </c>
      <c r="G149" s="5">
        <v>5804505</v>
      </c>
      <c r="H149" s="3" t="s">
        <v>689</v>
      </c>
      <c r="I149" s="6">
        <v>17</v>
      </c>
      <c r="J149" s="3" t="s">
        <v>24</v>
      </c>
      <c r="K149" s="7"/>
      <c r="L149" s="7"/>
      <c r="M149" s="7"/>
      <c r="N149" s="3" t="s">
        <v>124</v>
      </c>
      <c r="O149" s="3" t="s">
        <v>435</v>
      </c>
      <c r="P149" s="3" t="s">
        <v>14</v>
      </c>
    </row>
    <row r="150" spans="1:16" ht="45" x14ac:dyDescent="0.25">
      <c r="A150" s="2">
        <v>144</v>
      </c>
      <c r="B150" s="3" t="s">
        <v>704</v>
      </c>
      <c r="C150" s="3" t="s">
        <v>705</v>
      </c>
      <c r="D150" s="3"/>
      <c r="E150" s="3" t="s">
        <v>706</v>
      </c>
      <c r="F150" s="4"/>
      <c r="G150" s="5"/>
      <c r="H150" s="3" t="s">
        <v>707</v>
      </c>
      <c r="I150" s="6">
        <v>1</v>
      </c>
      <c r="J150" s="3" t="s">
        <v>24</v>
      </c>
      <c r="K150" s="7"/>
      <c r="L150" s="7"/>
      <c r="M150" s="7"/>
      <c r="N150" s="3" t="s">
        <v>124</v>
      </c>
      <c r="O150" s="3" t="s">
        <v>708</v>
      </c>
      <c r="P150" s="3" t="s">
        <v>14</v>
      </c>
    </row>
    <row r="151" spans="1:16" ht="60" x14ac:dyDescent="0.25">
      <c r="A151" s="2">
        <v>145</v>
      </c>
      <c r="B151" s="3" t="s">
        <v>709</v>
      </c>
      <c r="C151" s="3" t="s">
        <v>710</v>
      </c>
      <c r="D151" s="3" t="s">
        <v>711</v>
      </c>
      <c r="E151" s="13" t="s">
        <v>712</v>
      </c>
      <c r="F151" s="4" t="s">
        <v>713</v>
      </c>
      <c r="G151" s="5">
        <v>10000000</v>
      </c>
      <c r="H151" s="3" t="s">
        <v>707</v>
      </c>
      <c r="I151" s="6">
        <v>1</v>
      </c>
      <c r="J151" s="3" t="s">
        <v>24</v>
      </c>
      <c r="K151" s="7"/>
      <c r="L151" s="7"/>
      <c r="M151" s="7"/>
      <c r="N151" s="3" t="s">
        <v>124</v>
      </c>
      <c r="O151" s="3"/>
      <c r="P151" s="3" t="s">
        <v>14</v>
      </c>
    </row>
    <row r="152" spans="1:16" ht="60" x14ac:dyDescent="0.25">
      <c r="A152" s="2">
        <v>146</v>
      </c>
      <c r="B152" s="3" t="s">
        <v>714</v>
      </c>
      <c r="C152" s="3" t="s">
        <v>715</v>
      </c>
      <c r="D152" s="3" t="s">
        <v>716</v>
      </c>
      <c r="E152" s="13" t="s">
        <v>717</v>
      </c>
      <c r="F152" s="4" t="s">
        <v>475</v>
      </c>
      <c r="G152" s="5">
        <v>1001500</v>
      </c>
      <c r="H152" s="3" t="s">
        <v>707</v>
      </c>
      <c r="I152" s="6">
        <v>1</v>
      </c>
      <c r="J152" s="3" t="s">
        <v>24</v>
      </c>
      <c r="K152" s="7"/>
      <c r="L152" s="7"/>
      <c r="M152" s="7"/>
      <c r="N152" s="3" t="s">
        <v>124</v>
      </c>
      <c r="O152" s="3"/>
      <c r="P152" s="3" t="s">
        <v>14</v>
      </c>
    </row>
    <row r="153" spans="1:16" ht="30" x14ac:dyDescent="0.25">
      <c r="A153" s="2">
        <v>147</v>
      </c>
      <c r="B153" s="3" t="s">
        <v>718</v>
      </c>
      <c r="C153" s="3" t="s">
        <v>719</v>
      </c>
      <c r="D153" s="3" t="s">
        <v>720</v>
      </c>
      <c r="E153" s="13" t="s">
        <v>721</v>
      </c>
      <c r="F153" s="4" t="s">
        <v>722</v>
      </c>
      <c r="G153" s="5">
        <v>142387388</v>
      </c>
      <c r="H153" s="3" t="s">
        <v>707</v>
      </c>
      <c r="I153" s="6">
        <v>1</v>
      </c>
      <c r="J153" s="3" t="s">
        <v>24</v>
      </c>
      <c r="K153" s="7"/>
      <c r="L153" s="7"/>
      <c r="M153" s="7"/>
      <c r="N153" s="3"/>
      <c r="O153" s="3"/>
      <c r="P153" s="3" t="s">
        <v>14</v>
      </c>
    </row>
    <row r="154" spans="1:16" ht="57" x14ac:dyDescent="0.25">
      <c r="A154" s="2">
        <v>148</v>
      </c>
      <c r="B154" s="3" t="s">
        <v>723</v>
      </c>
      <c r="C154" s="3" t="s">
        <v>724</v>
      </c>
      <c r="D154" s="3" t="s">
        <v>725</v>
      </c>
      <c r="E154" s="13" t="s">
        <v>726</v>
      </c>
      <c r="F154" s="4" t="s">
        <v>213</v>
      </c>
      <c r="G154" s="5">
        <v>10888889</v>
      </c>
      <c r="H154" s="3" t="s">
        <v>707</v>
      </c>
      <c r="I154" s="6">
        <v>1</v>
      </c>
      <c r="J154" s="3" t="s">
        <v>36</v>
      </c>
      <c r="K154" s="7"/>
      <c r="L154" s="7"/>
      <c r="M154" s="7"/>
      <c r="N154" s="3" t="s">
        <v>124</v>
      </c>
      <c r="O154" s="3"/>
      <c r="P154" s="3" t="s">
        <v>14</v>
      </c>
    </row>
    <row r="155" spans="1:16" ht="45" x14ac:dyDescent="0.25">
      <c r="A155" s="2">
        <v>149</v>
      </c>
      <c r="B155" s="3" t="s">
        <v>727</v>
      </c>
      <c r="C155" s="3" t="s">
        <v>728</v>
      </c>
      <c r="D155" s="3" t="s">
        <v>729</v>
      </c>
      <c r="E155" s="13" t="s">
        <v>730</v>
      </c>
      <c r="F155" s="4" t="s">
        <v>731</v>
      </c>
      <c r="G155" s="5">
        <v>2513514</v>
      </c>
      <c r="H155" s="3" t="s">
        <v>707</v>
      </c>
      <c r="I155" s="6">
        <v>1</v>
      </c>
      <c r="J155" s="3" t="s">
        <v>36</v>
      </c>
      <c r="K155" s="7"/>
      <c r="L155" s="7"/>
      <c r="M155" s="7"/>
      <c r="N155" s="3" t="s">
        <v>124</v>
      </c>
      <c r="O155" s="3"/>
      <c r="P155" s="3" t="s">
        <v>14</v>
      </c>
    </row>
    <row r="156" spans="1:16" ht="105" x14ac:dyDescent="0.25">
      <c r="A156" s="2">
        <v>150</v>
      </c>
      <c r="B156" s="3" t="s">
        <v>732</v>
      </c>
      <c r="C156" s="3" t="s">
        <v>733</v>
      </c>
      <c r="D156" s="3" t="s">
        <v>734</v>
      </c>
      <c r="E156" s="13" t="s">
        <v>735</v>
      </c>
      <c r="F156" s="4" t="s">
        <v>736</v>
      </c>
      <c r="G156" s="5">
        <v>1950000</v>
      </c>
      <c r="H156" s="3" t="s">
        <v>707</v>
      </c>
      <c r="I156" s="6">
        <v>2</v>
      </c>
      <c r="J156" s="3" t="s">
        <v>36</v>
      </c>
      <c r="K156" s="7"/>
      <c r="L156" s="7"/>
      <c r="M156" s="7"/>
      <c r="N156" s="3"/>
      <c r="O156" s="3" t="s">
        <v>55</v>
      </c>
      <c r="P156" s="3" t="s">
        <v>14</v>
      </c>
    </row>
    <row r="157" spans="1:16" ht="105" x14ac:dyDescent="0.25">
      <c r="A157" s="2">
        <v>151</v>
      </c>
      <c r="B157" s="3" t="s">
        <v>737</v>
      </c>
      <c r="C157" s="3" t="s">
        <v>738</v>
      </c>
      <c r="D157" s="3" t="s">
        <v>739</v>
      </c>
      <c r="E157" s="13" t="s">
        <v>740</v>
      </c>
      <c r="F157" s="4" t="s">
        <v>736</v>
      </c>
      <c r="G157" s="5">
        <v>1906307</v>
      </c>
      <c r="H157" s="3" t="s">
        <v>707</v>
      </c>
      <c r="I157" s="6">
        <v>4</v>
      </c>
      <c r="J157" s="3" t="s">
        <v>36</v>
      </c>
      <c r="K157" s="7"/>
      <c r="L157" s="7"/>
      <c r="M157" s="7"/>
      <c r="N157" s="3"/>
      <c r="O157" s="3" t="s">
        <v>55</v>
      </c>
      <c r="P157" s="3" t="s">
        <v>14</v>
      </c>
    </row>
    <row r="158" spans="1:16" ht="105" x14ac:dyDescent="0.25">
      <c r="A158" s="2">
        <v>152</v>
      </c>
      <c r="B158" s="3" t="s">
        <v>741</v>
      </c>
      <c r="C158" s="3" t="s">
        <v>742</v>
      </c>
      <c r="D158" s="3" t="s">
        <v>743</v>
      </c>
      <c r="E158" s="13" t="s">
        <v>741</v>
      </c>
      <c r="F158" s="4" t="s">
        <v>744</v>
      </c>
      <c r="G158" s="5">
        <v>5679200</v>
      </c>
      <c r="H158" s="3" t="s">
        <v>707</v>
      </c>
      <c r="I158" s="6">
        <v>10</v>
      </c>
      <c r="J158" s="3" t="s">
        <v>24</v>
      </c>
      <c r="K158" s="7"/>
      <c r="L158" s="7"/>
      <c r="M158" s="7"/>
      <c r="N158" s="3"/>
      <c r="O158" s="3" t="s">
        <v>55</v>
      </c>
      <c r="P158" s="3" t="s">
        <v>14</v>
      </c>
    </row>
    <row r="159" spans="1:16" ht="75" x14ac:dyDescent="0.25">
      <c r="A159" s="2">
        <v>153</v>
      </c>
      <c r="B159" s="3" t="s">
        <v>723</v>
      </c>
      <c r="C159" s="3" t="s">
        <v>745</v>
      </c>
      <c r="D159" s="3" t="s">
        <v>746</v>
      </c>
      <c r="E159" s="13" t="s">
        <v>726</v>
      </c>
      <c r="F159" s="4" t="s">
        <v>213</v>
      </c>
      <c r="G159" s="5">
        <v>185111111</v>
      </c>
      <c r="H159" s="3" t="s">
        <v>707</v>
      </c>
      <c r="I159" s="6">
        <v>17</v>
      </c>
      <c r="J159" s="3" t="s">
        <v>36</v>
      </c>
      <c r="K159" s="7"/>
      <c r="L159" s="7"/>
      <c r="M159" s="7"/>
      <c r="N159" s="3" t="s">
        <v>25</v>
      </c>
      <c r="O159" s="3" t="s">
        <v>435</v>
      </c>
      <c r="P159" s="3" t="s">
        <v>14</v>
      </c>
    </row>
    <row r="160" spans="1:16" ht="60" x14ac:dyDescent="0.25">
      <c r="A160" s="2">
        <v>154</v>
      </c>
      <c r="B160" s="3" t="s">
        <v>747</v>
      </c>
      <c r="C160" s="3" t="s">
        <v>748</v>
      </c>
      <c r="D160" s="3" t="s">
        <v>749</v>
      </c>
      <c r="E160" s="13" t="s">
        <v>750</v>
      </c>
      <c r="F160" s="4" t="s">
        <v>206</v>
      </c>
      <c r="G160" s="5">
        <v>363000000</v>
      </c>
      <c r="H160" s="3" t="s">
        <v>707</v>
      </c>
      <c r="I160" s="6"/>
      <c r="J160" s="3" t="s">
        <v>36</v>
      </c>
      <c r="K160" s="7"/>
      <c r="L160" s="7"/>
      <c r="M160" s="7"/>
      <c r="N160" s="3"/>
      <c r="O160" s="3" t="s">
        <v>751</v>
      </c>
      <c r="P160" s="3" t="s">
        <v>14</v>
      </c>
    </row>
    <row r="161" spans="1:16" ht="105.75" customHeight="1" x14ac:dyDescent="0.25">
      <c r="A161" s="2">
        <v>155</v>
      </c>
      <c r="B161" s="3" t="s">
        <v>752</v>
      </c>
      <c r="C161" s="3" t="s">
        <v>753</v>
      </c>
      <c r="D161" s="3" t="s">
        <v>754</v>
      </c>
      <c r="E161" s="13" t="s">
        <v>755</v>
      </c>
      <c r="F161" s="4" t="s">
        <v>355</v>
      </c>
      <c r="G161" s="5">
        <v>150000000</v>
      </c>
      <c r="H161" s="3" t="s">
        <v>707</v>
      </c>
      <c r="I161" s="6"/>
      <c r="J161" s="3" t="s">
        <v>36</v>
      </c>
      <c r="K161" s="7"/>
      <c r="L161" s="7"/>
      <c r="M161" s="7"/>
      <c r="N161" s="3" t="s">
        <v>25</v>
      </c>
      <c r="O161" s="3" t="s">
        <v>751</v>
      </c>
      <c r="P161" s="3" t="s">
        <v>14</v>
      </c>
    </row>
    <row r="162" spans="1:16" ht="102" customHeight="1" x14ac:dyDescent="0.25">
      <c r="A162" s="2">
        <v>156</v>
      </c>
      <c r="B162" s="3" t="s">
        <v>756</v>
      </c>
      <c r="C162" s="3" t="s">
        <v>757</v>
      </c>
      <c r="D162" s="3" t="s">
        <v>758</v>
      </c>
      <c r="E162" s="13" t="s">
        <v>755</v>
      </c>
      <c r="F162" s="4" t="s">
        <v>355</v>
      </c>
      <c r="G162" s="5">
        <v>24418610</v>
      </c>
      <c r="H162" s="3" t="s">
        <v>707</v>
      </c>
      <c r="I162" s="6"/>
      <c r="J162" s="3" t="s">
        <v>36</v>
      </c>
      <c r="K162" s="7"/>
      <c r="L162" s="7"/>
      <c r="M162" s="7"/>
      <c r="N162" s="3" t="s">
        <v>25</v>
      </c>
      <c r="O162" s="3" t="s">
        <v>751</v>
      </c>
      <c r="P162" s="3" t="s">
        <v>14</v>
      </c>
    </row>
    <row r="163" spans="1:16" ht="60" x14ac:dyDescent="0.25">
      <c r="A163" s="2">
        <v>157</v>
      </c>
      <c r="B163" s="3" t="s">
        <v>759</v>
      </c>
      <c r="C163" s="3" t="s">
        <v>760</v>
      </c>
      <c r="D163" s="3" t="s">
        <v>761</v>
      </c>
      <c r="E163" s="13" t="s">
        <v>755</v>
      </c>
      <c r="F163" s="4" t="s">
        <v>355</v>
      </c>
      <c r="G163" s="5">
        <v>15581390</v>
      </c>
      <c r="H163" s="3" t="s">
        <v>707</v>
      </c>
      <c r="I163" s="6"/>
      <c r="J163" s="3" t="s">
        <v>36</v>
      </c>
      <c r="K163" s="7"/>
      <c r="L163" s="7"/>
      <c r="M163" s="7"/>
      <c r="N163" s="3" t="s">
        <v>25</v>
      </c>
      <c r="O163" s="3" t="s">
        <v>751</v>
      </c>
      <c r="P163" s="3" t="s">
        <v>14</v>
      </c>
    </row>
    <row r="164" spans="1:16" ht="105" x14ac:dyDescent="0.25">
      <c r="A164" s="2">
        <v>158</v>
      </c>
      <c r="B164" s="3" t="s">
        <v>377</v>
      </c>
      <c r="C164" s="3" t="s">
        <v>762</v>
      </c>
      <c r="D164" s="3" t="s">
        <v>763</v>
      </c>
      <c r="E164" s="3" t="s">
        <v>764</v>
      </c>
      <c r="F164" s="4" t="s">
        <v>765</v>
      </c>
      <c r="G164" s="5">
        <v>2200000</v>
      </c>
      <c r="H164" s="3" t="s">
        <v>766</v>
      </c>
      <c r="I164" s="6">
        <v>1</v>
      </c>
      <c r="J164" s="3" t="s">
        <v>36</v>
      </c>
      <c r="K164" s="7"/>
      <c r="L164" s="7"/>
      <c r="M164" s="7"/>
      <c r="N164" s="3" t="s">
        <v>25</v>
      </c>
      <c r="O164" s="3"/>
      <c r="P164" s="3" t="s">
        <v>14</v>
      </c>
    </row>
    <row r="165" spans="1:16" ht="45.75" x14ac:dyDescent="0.25">
      <c r="A165" s="2">
        <v>159</v>
      </c>
      <c r="B165" s="8" t="s">
        <v>767</v>
      </c>
      <c r="C165" s="8" t="s">
        <v>768</v>
      </c>
      <c r="D165" s="3" t="s">
        <v>769</v>
      </c>
      <c r="E165" s="8" t="s">
        <v>770</v>
      </c>
      <c r="F165" s="8" t="s">
        <v>771</v>
      </c>
      <c r="G165" s="9">
        <v>1625000</v>
      </c>
      <c r="H165" s="8" t="s">
        <v>766</v>
      </c>
      <c r="I165" s="10">
        <v>1</v>
      </c>
      <c r="J165" s="3" t="s">
        <v>36</v>
      </c>
      <c r="K165" s="11"/>
      <c r="L165" s="11"/>
      <c r="M165" s="7"/>
      <c r="N165" s="3" t="s">
        <v>25</v>
      </c>
      <c r="O165" s="3"/>
      <c r="P165" s="3" t="s">
        <v>14</v>
      </c>
    </row>
    <row r="166" spans="1:16" ht="75" x14ac:dyDescent="0.25">
      <c r="A166" s="2">
        <v>160</v>
      </c>
      <c r="B166" s="3" t="s">
        <v>397</v>
      </c>
      <c r="C166" s="3" t="s">
        <v>772</v>
      </c>
      <c r="D166" s="3" t="s">
        <v>773</v>
      </c>
      <c r="E166" s="3" t="s">
        <v>774</v>
      </c>
      <c r="F166" s="4" t="s">
        <v>258</v>
      </c>
      <c r="G166" s="5">
        <v>1411710</v>
      </c>
      <c r="H166" s="3" t="s">
        <v>775</v>
      </c>
      <c r="I166" s="6">
        <v>1</v>
      </c>
      <c r="J166" s="3" t="s">
        <v>24</v>
      </c>
      <c r="K166" s="7"/>
      <c r="L166" s="7"/>
      <c r="M166" s="7"/>
      <c r="N166" s="3" t="s">
        <v>124</v>
      </c>
      <c r="O166" s="3"/>
      <c r="P166" s="3" t="s">
        <v>14</v>
      </c>
    </row>
    <row r="167" spans="1:16" ht="75" x14ac:dyDescent="0.25">
      <c r="A167" s="2">
        <v>161</v>
      </c>
      <c r="B167" s="3" t="s">
        <v>397</v>
      </c>
      <c r="C167" s="3" t="s">
        <v>776</v>
      </c>
      <c r="D167" s="3" t="s">
        <v>777</v>
      </c>
      <c r="E167" s="3" t="s">
        <v>778</v>
      </c>
      <c r="F167" s="4" t="s">
        <v>779</v>
      </c>
      <c r="G167" s="5">
        <v>1440541</v>
      </c>
      <c r="H167" s="3" t="s">
        <v>775</v>
      </c>
      <c r="I167" s="6">
        <v>1</v>
      </c>
      <c r="J167" s="3" t="s">
        <v>24</v>
      </c>
      <c r="K167" s="7"/>
      <c r="L167" s="7"/>
      <c r="M167" s="7"/>
      <c r="N167" s="3" t="s">
        <v>124</v>
      </c>
      <c r="O167" s="3"/>
      <c r="P167" s="3" t="s">
        <v>14</v>
      </c>
    </row>
    <row r="168" spans="1:16" ht="90" x14ac:dyDescent="0.25">
      <c r="A168" s="2">
        <v>162</v>
      </c>
      <c r="B168" s="3" t="s">
        <v>780</v>
      </c>
      <c r="C168" s="3" t="s">
        <v>781</v>
      </c>
      <c r="D168" s="3" t="s">
        <v>782</v>
      </c>
      <c r="E168" s="3" t="s">
        <v>783</v>
      </c>
      <c r="F168" s="4" t="s">
        <v>35</v>
      </c>
      <c r="G168" s="5">
        <v>2250000</v>
      </c>
      <c r="H168" s="3" t="s">
        <v>784</v>
      </c>
      <c r="I168" s="6">
        <v>1</v>
      </c>
      <c r="J168" s="18" t="s">
        <v>24</v>
      </c>
      <c r="K168" s="7"/>
      <c r="L168" s="7"/>
      <c r="M168" s="7"/>
      <c r="N168" s="3" t="s">
        <v>124</v>
      </c>
      <c r="O168" s="3"/>
      <c r="P168" s="3"/>
    </row>
    <row r="169" spans="1:16" ht="75" x14ac:dyDescent="0.25">
      <c r="A169" s="2">
        <v>163</v>
      </c>
      <c r="B169" s="3" t="s">
        <v>785</v>
      </c>
      <c r="C169" s="3" t="s">
        <v>786</v>
      </c>
      <c r="D169" s="3" t="s">
        <v>787</v>
      </c>
      <c r="E169" s="3" t="s">
        <v>788</v>
      </c>
      <c r="F169" s="4" t="s">
        <v>694</v>
      </c>
      <c r="G169" s="5">
        <v>1646000</v>
      </c>
      <c r="H169" s="3" t="s">
        <v>784</v>
      </c>
      <c r="I169" s="6">
        <v>1</v>
      </c>
      <c r="J169" s="3" t="s">
        <v>36</v>
      </c>
      <c r="K169" s="7"/>
      <c r="L169" s="7"/>
      <c r="M169" s="7"/>
      <c r="N169" s="3" t="s">
        <v>124</v>
      </c>
      <c r="O169" s="3"/>
      <c r="P169" s="3" t="s">
        <v>14</v>
      </c>
    </row>
    <row r="170" spans="1:16" ht="150" x14ac:dyDescent="0.25">
      <c r="A170" s="2">
        <v>164</v>
      </c>
      <c r="B170" s="3" t="s">
        <v>789</v>
      </c>
      <c r="C170" s="3" t="s">
        <v>790</v>
      </c>
      <c r="D170" s="3" t="s">
        <v>791</v>
      </c>
      <c r="E170" s="3" t="s">
        <v>792</v>
      </c>
      <c r="F170" s="4" t="s">
        <v>793</v>
      </c>
      <c r="G170" s="5">
        <v>5598600</v>
      </c>
      <c r="H170" s="3" t="s">
        <v>784</v>
      </c>
      <c r="I170" s="6">
        <v>2</v>
      </c>
      <c r="J170" s="3" t="s">
        <v>24</v>
      </c>
      <c r="K170" s="7"/>
      <c r="L170" s="7"/>
      <c r="M170" s="7"/>
      <c r="N170" s="3" t="s">
        <v>124</v>
      </c>
      <c r="O170" s="3" t="s">
        <v>794</v>
      </c>
      <c r="P170" s="3" t="s">
        <v>14</v>
      </c>
    </row>
    <row r="171" spans="1:16" x14ac:dyDescent="0.25">
      <c r="A171" s="19"/>
      <c r="B171" s="20"/>
      <c r="C171" s="20"/>
      <c r="D171" s="20"/>
      <c r="E171" s="20"/>
      <c r="F171" s="21"/>
      <c r="G171" s="22"/>
      <c r="H171" s="20"/>
      <c r="I171" s="23"/>
      <c r="J171" s="20"/>
      <c r="K171" s="24"/>
      <c r="L171" s="24"/>
      <c r="M171" s="24"/>
      <c r="N171" s="20"/>
      <c r="O171" s="20"/>
      <c r="P171" s="20"/>
    </row>
    <row r="172" spans="1:16" ht="15.75" thickBot="1" x14ac:dyDescent="0.3">
      <c r="A172" s="25"/>
      <c r="B172" s="26"/>
      <c r="C172" s="26"/>
      <c r="D172" s="26"/>
      <c r="E172" s="26"/>
      <c r="F172" s="27"/>
      <c r="G172" s="28"/>
      <c r="H172" s="26"/>
      <c r="I172" s="29"/>
      <c r="J172" s="26"/>
      <c r="K172" s="30"/>
      <c r="L172" s="30"/>
      <c r="M172" s="30"/>
      <c r="N172" s="26"/>
      <c r="O172" s="26"/>
      <c r="P172" s="26"/>
    </row>
    <row r="173" spans="1:16" ht="30.75" thickTop="1" x14ac:dyDescent="0.25">
      <c r="A173" s="31"/>
      <c r="B173" s="32" t="s">
        <v>795</v>
      </c>
      <c r="C173" s="33">
        <v>164</v>
      </c>
      <c r="D173" s="34"/>
      <c r="E173" s="34"/>
      <c r="F173" s="35"/>
      <c r="G173" s="36"/>
      <c r="H173" s="32" t="s">
        <v>796</v>
      </c>
      <c r="I173" s="37">
        <f>SUM(I7:I170)</f>
        <v>356</v>
      </c>
      <c r="J173" s="38"/>
      <c r="K173" s="34"/>
      <c r="L173" s="34"/>
      <c r="M173" s="239" t="s">
        <v>797</v>
      </c>
      <c r="N173" s="39" t="s">
        <v>13</v>
      </c>
      <c r="O173" s="39">
        <f>COUNTA(N7:N170)</f>
        <v>111</v>
      </c>
      <c r="P173" s="40"/>
    </row>
    <row r="174" spans="1:16" x14ac:dyDescent="0.25">
      <c r="A174" s="41" t="s">
        <v>798</v>
      </c>
      <c r="B174" s="24"/>
      <c r="C174" s="24"/>
      <c r="D174" s="24"/>
      <c r="E174" s="24"/>
      <c r="F174" s="42"/>
      <c r="G174" s="43"/>
      <c r="H174" s="24"/>
      <c r="I174" s="23"/>
      <c r="J174" s="20"/>
      <c r="K174" s="24"/>
      <c r="L174" s="24"/>
      <c r="M174" s="240"/>
      <c r="N174" s="44" t="s">
        <v>6</v>
      </c>
      <c r="O174" s="44">
        <f>COUNTA(O7:O170)</f>
        <v>74</v>
      </c>
      <c r="P174" s="45"/>
    </row>
    <row r="175" spans="1:16" ht="30.75" thickBot="1" x14ac:dyDescent="0.3">
      <c r="A175" s="46"/>
      <c r="B175" s="47"/>
      <c r="C175" s="47"/>
      <c r="D175" s="47"/>
      <c r="E175" s="47"/>
      <c r="F175" s="48"/>
      <c r="G175" s="49"/>
      <c r="H175" s="47"/>
      <c r="I175" s="50"/>
      <c r="J175" s="51"/>
      <c r="K175" s="47"/>
      <c r="L175" s="47"/>
      <c r="M175" s="241"/>
      <c r="N175" s="52" t="s">
        <v>14</v>
      </c>
      <c r="O175" s="52">
        <f>COUNTA(P7:P170)</f>
        <v>126</v>
      </c>
      <c r="P175" s="53"/>
    </row>
    <row r="176" spans="1:16" ht="15.75" thickTop="1" x14ac:dyDescent="0.25"/>
  </sheetData>
  <mergeCells count="17">
    <mergeCell ref="M173:M175"/>
    <mergeCell ref="I5:I6"/>
    <mergeCell ref="J5:J6"/>
    <mergeCell ref="K5:M5"/>
    <mergeCell ref="N5:N6"/>
    <mergeCell ref="O5:O6"/>
    <mergeCell ref="P5:P6"/>
    <mergeCell ref="A2:P2"/>
    <mergeCell ref="A3:P3"/>
    <mergeCell ref="A5:A6"/>
    <mergeCell ref="B5:B6"/>
    <mergeCell ref="C5:C6"/>
    <mergeCell ref="D5:D6"/>
    <mergeCell ref="E5:E6"/>
    <mergeCell ref="F5:F6"/>
    <mergeCell ref="G5:G6"/>
    <mergeCell ref="H5:H6"/>
  </mergeCells>
  <printOptions horizontalCentered="1"/>
  <pageMargins left="0" right="0" top="0.5" bottom="0" header="0.3" footer="0.3"/>
  <pageSetup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Q178"/>
  <sheetViews>
    <sheetView topLeftCell="A6" zoomScale="85" zoomScaleNormal="85" workbookViewId="0">
      <selection activeCell="F59" sqref="F59"/>
    </sheetView>
  </sheetViews>
  <sheetFormatPr defaultRowHeight="15" x14ac:dyDescent="0.25"/>
  <cols>
    <col min="1" max="1" width="4.28515625" style="54" customWidth="1"/>
    <col min="2" max="2" width="24.28515625" customWidth="1"/>
    <col min="3" max="3" width="13.5703125" customWidth="1"/>
    <col min="4" max="4" width="8" customWidth="1"/>
    <col min="5" max="5" width="30.5703125" customWidth="1"/>
    <col min="6" max="6" width="16.140625" style="55" customWidth="1"/>
    <col min="7" max="7" width="15.28515625" style="56" customWidth="1"/>
    <col min="8" max="8" width="14.28515625" customWidth="1"/>
    <col min="9" max="9" width="5.42578125" style="57" customWidth="1"/>
    <col min="10" max="10" width="6" style="12" customWidth="1"/>
    <col min="11" max="11" width="6.140625" customWidth="1"/>
    <col min="12" max="12" width="6.7109375" customWidth="1"/>
    <col min="13" max="13" width="6.140625" customWidth="1"/>
    <col min="14" max="14" width="10.28515625" style="12" customWidth="1"/>
    <col min="15" max="16" width="9.140625" style="12"/>
  </cols>
  <sheetData>
    <row r="1" spans="1:16" x14ac:dyDescent="0.25">
      <c r="A1" s="238" t="s">
        <v>0</v>
      </c>
      <c r="B1" s="238"/>
      <c r="C1" s="238"/>
      <c r="D1" s="238"/>
      <c r="E1" s="238"/>
      <c r="F1" s="238"/>
      <c r="G1" s="238"/>
      <c r="H1" s="238"/>
      <c r="I1" s="238"/>
      <c r="J1" s="238"/>
      <c r="K1" s="238"/>
      <c r="L1" s="238"/>
      <c r="M1" s="238"/>
      <c r="N1" s="238"/>
      <c r="O1" s="238"/>
      <c r="P1" s="238"/>
    </row>
    <row r="2" spans="1:16" x14ac:dyDescent="0.25">
      <c r="A2" s="238" t="s">
        <v>2659</v>
      </c>
      <c r="B2" s="238"/>
      <c r="C2" s="238"/>
      <c r="D2" s="238"/>
      <c r="E2" s="238"/>
      <c r="F2" s="238"/>
      <c r="G2" s="238"/>
      <c r="H2" s="238"/>
      <c r="I2" s="238"/>
      <c r="J2" s="238"/>
      <c r="K2" s="238"/>
      <c r="L2" s="238"/>
      <c r="M2" s="238"/>
      <c r="N2" s="238"/>
      <c r="O2" s="238"/>
      <c r="P2" s="238"/>
    </row>
    <row r="4" spans="1:16" ht="21.75" customHeight="1" x14ac:dyDescent="0.25">
      <c r="A4" s="236" t="s">
        <v>2</v>
      </c>
      <c r="B4" s="236" t="s">
        <v>3</v>
      </c>
      <c r="C4" s="236" t="s">
        <v>4</v>
      </c>
      <c r="D4" s="236" t="s">
        <v>5</v>
      </c>
      <c r="E4" s="236" t="s">
        <v>6</v>
      </c>
      <c r="F4" s="236" t="s">
        <v>7</v>
      </c>
      <c r="G4" s="236" t="s">
        <v>8</v>
      </c>
      <c r="H4" s="236" t="s">
        <v>9</v>
      </c>
      <c r="I4" s="236" t="s">
        <v>10</v>
      </c>
      <c r="J4" s="236" t="s">
        <v>11</v>
      </c>
      <c r="K4" s="242" t="s">
        <v>12</v>
      </c>
      <c r="L4" s="242"/>
      <c r="M4" s="242"/>
      <c r="N4" s="236" t="s">
        <v>13</v>
      </c>
      <c r="O4" s="236" t="s">
        <v>6</v>
      </c>
      <c r="P4" s="236" t="s">
        <v>14</v>
      </c>
    </row>
    <row r="5" spans="1:16" ht="21.75" customHeight="1" x14ac:dyDescent="0.25">
      <c r="A5" s="237"/>
      <c r="B5" s="237"/>
      <c r="C5" s="237"/>
      <c r="D5" s="237"/>
      <c r="E5" s="237"/>
      <c r="F5" s="237"/>
      <c r="G5" s="237"/>
      <c r="H5" s="237"/>
      <c r="I5" s="237"/>
      <c r="J5" s="237"/>
      <c r="K5" s="153" t="s">
        <v>15</v>
      </c>
      <c r="L5" s="153" t="s">
        <v>16</v>
      </c>
      <c r="M5" s="153" t="s">
        <v>17</v>
      </c>
      <c r="N5" s="237"/>
      <c r="O5" s="237"/>
      <c r="P5" s="237"/>
    </row>
    <row r="6" spans="1:16" ht="39.75" customHeight="1" x14ac:dyDescent="0.25">
      <c r="A6" s="155">
        <v>1</v>
      </c>
      <c r="B6" s="155" t="s">
        <v>2581</v>
      </c>
      <c r="C6" s="155" t="s">
        <v>2631</v>
      </c>
      <c r="D6" s="156"/>
      <c r="E6" s="158" t="s">
        <v>2650</v>
      </c>
      <c r="F6" s="155" t="s">
        <v>2583</v>
      </c>
      <c r="G6" s="155">
        <v>2881082</v>
      </c>
      <c r="H6" s="157" t="s">
        <v>23</v>
      </c>
      <c r="I6" s="155">
        <v>2</v>
      </c>
      <c r="J6" s="155" t="s">
        <v>2658</v>
      </c>
      <c r="K6" s="155"/>
      <c r="L6" s="155"/>
      <c r="M6" s="155"/>
      <c r="N6" s="154"/>
      <c r="O6" s="154"/>
      <c r="P6" s="154"/>
    </row>
    <row r="7" spans="1:16" ht="39.75" customHeight="1" x14ac:dyDescent="0.25">
      <c r="A7" s="155">
        <v>2</v>
      </c>
      <c r="B7" s="155" t="s">
        <v>2642</v>
      </c>
      <c r="C7" s="155" t="s">
        <v>2643</v>
      </c>
      <c r="D7" s="156"/>
      <c r="E7" s="158" t="s">
        <v>2655</v>
      </c>
      <c r="F7" s="155" t="s">
        <v>2641</v>
      </c>
      <c r="G7" s="155">
        <v>7432000</v>
      </c>
      <c r="H7" s="157" t="s">
        <v>23</v>
      </c>
      <c r="I7" s="155">
        <v>1</v>
      </c>
      <c r="J7" s="155" t="s">
        <v>2658</v>
      </c>
      <c r="K7" s="155"/>
      <c r="L7" s="155"/>
      <c r="M7" s="155"/>
      <c r="N7" s="154"/>
      <c r="O7" s="154"/>
      <c r="P7" s="154"/>
    </row>
    <row r="8" spans="1:16" ht="39.75" customHeight="1" x14ac:dyDescent="0.25">
      <c r="A8" s="155">
        <v>3</v>
      </c>
      <c r="B8" s="155" t="s">
        <v>38</v>
      </c>
      <c r="C8" s="155" t="s">
        <v>2554</v>
      </c>
      <c r="D8" s="156"/>
      <c r="E8" s="158" t="s">
        <v>2575</v>
      </c>
      <c r="F8" s="155" t="s">
        <v>2555</v>
      </c>
      <c r="G8" s="155">
        <v>1650000</v>
      </c>
      <c r="H8" s="157" t="s">
        <v>23</v>
      </c>
      <c r="I8" s="155">
        <v>1</v>
      </c>
      <c r="J8" s="155" t="s">
        <v>2550</v>
      </c>
      <c r="K8" s="155"/>
      <c r="L8" s="155"/>
      <c r="M8" s="155"/>
      <c r="N8" s="154"/>
      <c r="O8" s="154"/>
      <c r="P8" s="154"/>
    </row>
    <row r="9" spans="1:16" ht="39.75" customHeight="1" x14ac:dyDescent="0.25">
      <c r="A9" s="155">
        <v>4</v>
      </c>
      <c r="B9" s="155" t="s">
        <v>2563</v>
      </c>
      <c r="C9" s="155" t="s">
        <v>2564</v>
      </c>
      <c r="D9" s="156"/>
      <c r="E9" s="158" t="s">
        <v>29</v>
      </c>
      <c r="F9" s="155" t="s">
        <v>2560</v>
      </c>
      <c r="G9" s="155">
        <v>7260600</v>
      </c>
      <c r="H9" s="157" t="s">
        <v>23</v>
      </c>
      <c r="I9" s="155">
        <v>1</v>
      </c>
      <c r="J9" s="155" t="s">
        <v>2550</v>
      </c>
      <c r="K9" s="155"/>
      <c r="L9" s="155"/>
      <c r="M9" s="155"/>
      <c r="N9" s="154"/>
      <c r="O9" s="154"/>
      <c r="P9" s="154"/>
    </row>
    <row r="10" spans="1:16" ht="39.75" customHeight="1" x14ac:dyDescent="0.25">
      <c r="A10" s="155">
        <v>5</v>
      </c>
      <c r="B10" s="159" t="s">
        <v>2581</v>
      </c>
      <c r="C10" s="159" t="s">
        <v>2582</v>
      </c>
      <c r="D10" s="160"/>
      <c r="E10" s="161" t="s">
        <v>2601</v>
      </c>
      <c r="F10" s="159" t="s">
        <v>2583</v>
      </c>
      <c r="G10" s="159">
        <v>2881082</v>
      </c>
      <c r="H10" s="162" t="s">
        <v>23</v>
      </c>
      <c r="I10" s="159">
        <v>2</v>
      </c>
      <c r="J10" s="159" t="s">
        <v>2550</v>
      </c>
      <c r="K10" s="159"/>
      <c r="L10" s="159"/>
      <c r="M10" s="159"/>
      <c r="N10" s="163"/>
      <c r="O10" s="163"/>
      <c r="P10" s="163"/>
    </row>
    <row r="11" spans="1:16" ht="39.75" customHeight="1" x14ac:dyDescent="0.25">
      <c r="A11" s="155">
        <v>6</v>
      </c>
      <c r="B11" s="164" t="s">
        <v>2619</v>
      </c>
      <c r="C11" s="164" t="s">
        <v>2620</v>
      </c>
      <c r="D11" s="165"/>
      <c r="E11" s="166" t="s">
        <v>2626</v>
      </c>
      <c r="F11" s="164" t="s">
        <v>2621</v>
      </c>
      <c r="G11" s="164">
        <v>4500000</v>
      </c>
      <c r="H11" s="167" t="s">
        <v>61</v>
      </c>
      <c r="I11" s="164">
        <v>1</v>
      </c>
      <c r="J11" s="164" t="s">
        <v>2658</v>
      </c>
      <c r="K11" s="164"/>
      <c r="L11" s="164"/>
      <c r="M11" s="164"/>
      <c r="N11" s="168"/>
      <c r="O11" s="168"/>
      <c r="P11" s="168"/>
    </row>
    <row r="12" spans="1:16" ht="57" customHeight="1" x14ac:dyDescent="0.25">
      <c r="A12" s="155">
        <v>7</v>
      </c>
      <c r="B12" s="155" t="s">
        <v>2611</v>
      </c>
      <c r="C12" s="155" t="s">
        <v>2612</v>
      </c>
      <c r="D12" s="156"/>
      <c r="E12" s="158" t="s">
        <v>2613</v>
      </c>
      <c r="F12" s="155" t="s">
        <v>2614</v>
      </c>
      <c r="G12" s="155">
        <v>7500000</v>
      </c>
      <c r="H12" s="157" t="s">
        <v>136</v>
      </c>
      <c r="I12" s="155">
        <v>1</v>
      </c>
      <c r="J12" s="155" t="s">
        <v>2658</v>
      </c>
      <c r="K12" s="155"/>
      <c r="L12" s="155"/>
      <c r="M12" s="155"/>
      <c r="N12" s="154"/>
      <c r="O12" s="154"/>
      <c r="P12" s="154"/>
    </row>
    <row r="13" spans="1:16" ht="39.75" customHeight="1" x14ac:dyDescent="0.25">
      <c r="A13" s="155">
        <v>8</v>
      </c>
      <c r="B13" s="155" t="s">
        <v>2628</v>
      </c>
      <c r="C13" s="155" t="s">
        <v>2629</v>
      </c>
      <c r="D13" s="156"/>
      <c r="E13" s="158" t="s">
        <v>2649</v>
      </c>
      <c r="F13" s="155" t="s">
        <v>2630</v>
      </c>
      <c r="G13" s="155">
        <v>5116216</v>
      </c>
      <c r="H13" s="157" t="s">
        <v>136</v>
      </c>
      <c r="I13" s="155">
        <v>1</v>
      </c>
      <c r="J13" s="155" t="s">
        <v>2658</v>
      </c>
      <c r="K13" s="155"/>
      <c r="L13" s="155"/>
      <c r="M13" s="155"/>
      <c r="N13" s="154"/>
      <c r="O13" s="154"/>
      <c r="P13" s="154"/>
    </row>
    <row r="14" spans="1:16" ht="39.75" customHeight="1" x14ac:dyDescent="0.25">
      <c r="A14" s="155">
        <v>9</v>
      </c>
      <c r="B14" s="155" t="s">
        <v>2636</v>
      </c>
      <c r="C14" s="155" t="s">
        <v>2637</v>
      </c>
      <c r="D14" s="156"/>
      <c r="E14" s="158" t="s">
        <v>2653</v>
      </c>
      <c r="F14" s="155" t="s">
        <v>2638</v>
      </c>
      <c r="G14" s="155">
        <v>24054054.050000001</v>
      </c>
      <c r="H14" s="157" t="s">
        <v>136</v>
      </c>
      <c r="I14" s="155">
        <v>1</v>
      </c>
      <c r="J14" s="155" t="s">
        <v>2658</v>
      </c>
      <c r="K14" s="155"/>
      <c r="L14" s="155"/>
      <c r="M14" s="155"/>
      <c r="N14" s="154"/>
      <c r="O14" s="154"/>
      <c r="P14" s="154"/>
    </row>
    <row r="15" spans="1:16" ht="39.75" customHeight="1" x14ac:dyDescent="0.25">
      <c r="A15" s="155">
        <v>10</v>
      </c>
      <c r="B15" s="155" t="s">
        <v>2639</v>
      </c>
      <c r="C15" s="155" t="s">
        <v>2640</v>
      </c>
      <c r="D15" s="156"/>
      <c r="E15" s="158" t="s">
        <v>2654</v>
      </c>
      <c r="F15" s="155" t="s">
        <v>2641</v>
      </c>
      <c r="G15" s="155">
        <v>4117118</v>
      </c>
      <c r="H15" s="157" t="s">
        <v>136</v>
      </c>
      <c r="I15" s="155">
        <v>1</v>
      </c>
      <c r="J15" s="155" t="s">
        <v>2658</v>
      </c>
      <c r="K15" s="155"/>
      <c r="L15" s="155"/>
      <c r="M15" s="155"/>
      <c r="N15" s="154"/>
      <c r="O15" s="154"/>
      <c r="P15" s="154"/>
    </row>
    <row r="16" spans="1:16" ht="64.5" customHeight="1" x14ac:dyDescent="0.25">
      <c r="A16" s="155">
        <v>11</v>
      </c>
      <c r="B16" s="155" t="s">
        <v>2644</v>
      </c>
      <c r="C16" s="155" t="s">
        <v>2645</v>
      </c>
      <c r="D16" s="156"/>
      <c r="E16" s="158" t="s">
        <v>2656</v>
      </c>
      <c r="F16" s="155" t="s">
        <v>2641</v>
      </c>
      <c r="G16" s="155">
        <v>7400000</v>
      </c>
      <c r="H16" s="157" t="s">
        <v>136</v>
      </c>
      <c r="I16" s="155">
        <v>2</v>
      </c>
      <c r="J16" s="155" t="s">
        <v>2658</v>
      </c>
      <c r="K16" s="155"/>
      <c r="L16" s="155"/>
      <c r="M16" s="155"/>
      <c r="N16" s="154"/>
      <c r="O16" s="154"/>
      <c r="P16" s="154"/>
    </row>
    <row r="17" spans="1:16" ht="39.75" customHeight="1" x14ac:dyDescent="0.25">
      <c r="A17" s="155">
        <v>12</v>
      </c>
      <c r="B17" s="155" t="s">
        <v>219</v>
      </c>
      <c r="C17" s="155" t="s">
        <v>2523</v>
      </c>
      <c r="D17" s="155"/>
      <c r="E17" s="158" t="s">
        <v>2544</v>
      </c>
      <c r="F17" s="155" t="s">
        <v>2524</v>
      </c>
      <c r="G17" s="155">
        <v>50000000</v>
      </c>
      <c r="H17" s="157" t="s">
        <v>136</v>
      </c>
      <c r="I17" s="155">
        <v>3</v>
      </c>
      <c r="J17" s="155" t="s">
        <v>2550</v>
      </c>
      <c r="K17" s="155"/>
      <c r="L17" s="155"/>
      <c r="M17" s="155"/>
      <c r="N17" s="154" t="s">
        <v>13</v>
      </c>
      <c r="O17" s="154"/>
      <c r="P17" s="154" t="s">
        <v>2663</v>
      </c>
    </row>
    <row r="18" spans="1:16" ht="39.75" customHeight="1" x14ac:dyDescent="0.25">
      <c r="A18" s="155">
        <v>13</v>
      </c>
      <c r="B18" s="155" t="s">
        <v>2568</v>
      </c>
      <c r="C18" s="155" t="s">
        <v>2569</v>
      </c>
      <c r="D18" s="156"/>
      <c r="E18" s="158" t="s">
        <v>2579</v>
      </c>
      <c r="F18" s="155" t="s">
        <v>2570</v>
      </c>
      <c r="G18" s="155">
        <v>3835000</v>
      </c>
      <c r="H18" s="157" t="s">
        <v>136</v>
      </c>
      <c r="I18" s="155">
        <v>1</v>
      </c>
      <c r="J18" s="155" t="s">
        <v>2550</v>
      </c>
      <c r="K18" s="155"/>
      <c r="L18" s="155"/>
      <c r="M18" s="155"/>
      <c r="N18" s="154" t="s">
        <v>13</v>
      </c>
      <c r="O18" s="154"/>
      <c r="P18" s="154" t="s">
        <v>2663</v>
      </c>
    </row>
    <row r="19" spans="1:16" ht="66" customHeight="1" x14ac:dyDescent="0.25">
      <c r="A19" s="155">
        <v>14</v>
      </c>
      <c r="B19" s="155" t="s">
        <v>937</v>
      </c>
      <c r="C19" s="155" t="s">
        <v>2595</v>
      </c>
      <c r="D19" s="174"/>
      <c r="E19" s="158" t="s">
        <v>2605</v>
      </c>
      <c r="F19" s="155" t="s">
        <v>2594</v>
      </c>
      <c r="G19" s="155">
        <v>6319900</v>
      </c>
      <c r="H19" s="157" t="s">
        <v>136</v>
      </c>
      <c r="I19" s="155">
        <v>1</v>
      </c>
      <c r="J19" s="155" t="s">
        <v>2550</v>
      </c>
      <c r="K19" s="155"/>
      <c r="L19" s="155"/>
      <c r="M19" s="155"/>
      <c r="N19" s="154" t="s">
        <v>13</v>
      </c>
      <c r="O19" s="154"/>
      <c r="P19" s="154" t="s">
        <v>2663</v>
      </c>
    </row>
    <row r="20" spans="1:16" ht="54" customHeight="1" x14ac:dyDescent="0.25">
      <c r="A20" s="155">
        <v>15</v>
      </c>
      <c r="B20" s="155" t="s">
        <v>1136</v>
      </c>
      <c r="C20" s="155" t="s">
        <v>2670</v>
      </c>
      <c r="D20" s="176"/>
      <c r="E20" s="155" t="s">
        <v>2678</v>
      </c>
      <c r="F20" s="181">
        <v>46135</v>
      </c>
      <c r="G20" s="180">
        <v>24054055</v>
      </c>
      <c r="H20" s="155" t="s">
        <v>136</v>
      </c>
      <c r="I20" s="155">
        <v>1</v>
      </c>
      <c r="J20" s="155" t="s">
        <v>2550</v>
      </c>
      <c r="K20" s="155"/>
      <c r="L20" s="155"/>
      <c r="M20" s="155"/>
      <c r="N20" s="154"/>
      <c r="O20" s="154"/>
      <c r="P20" s="154"/>
    </row>
    <row r="21" spans="1:16" ht="72" customHeight="1" x14ac:dyDescent="0.25">
      <c r="A21" s="155">
        <v>16</v>
      </c>
      <c r="B21" s="155" t="s">
        <v>2671</v>
      </c>
      <c r="C21" s="155" t="s">
        <v>2672</v>
      </c>
      <c r="D21" s="176"/>
      <c r="E21" s="155" t="s">
        <v>2679</v>
      </c>
      <c r="F21" s="181">
        <v>46135</v>
      </c>
      <c r="G21" s="180">
        <v>26435520</v>
      </c>
      <c r="H21" s="155" t="s">
        <v>136</v>
      </c>
      <c r="I21" s="155">
        <v>1</v>
      </c>
      <c r="J21" s="155" t="s">
        <v>2550</v>
      </c>
      <c r="K21" s="155"/>
      <c r="L21" s="155"/>
      <c r="M21" s="155"/>
      <c r="N21" s="154"/>
      <c r="O21" s="154"/>
      <c r="P21" s="154"/>
    </row>
    <row r="22" spans="1:16" ht="39.75" customHeight="1" x14ac:dyDescent="0.25">
      <c r="A22" s="155">
        <v>17</v>
      </c>
      <c r="B22" s="179" t="s">
        <v>2533</v>
      </c>
      <c r="C22" s="179" t="s">
        <v>2534</v>
      </c>
      <c r="D22" s="175"/>
      <c r="E22" s="184" t="s">
        <v>2548</v>
      </c>
      <c r="F22" s="179" t="s">
        <v>2535</v>
      </c>
      <c r="G22" s="179">
        <v>4955000</v>
      </c>
      <c r="H22" s="182" t="s">
        <v>362</v>
      </c>
      <c r="I22" s="179">
        <v>1</v>
      </c>
      <c r="J22" s="179" t="s">
        <v>2550</v>
      </c>
      <c r="K22" s="179"/>
      <c r="L22" s="179"/>
      <c r="M22" s="179"/>
      <c r="N22" s="177" t="s">
        <v>13</v>
      </c>
      <c r="O22" s="177"/>
      <c r="P22" s="177" t="s">
        <v>2663</v>
      </c>
    </row>
    <row r="23" spans="1:16" ht="58.5" customHeight="1" x14ac:dyDescent="0.25">
      <c r="A23" s="155">
        <v>18</v>
      </c>
      <c r="B23" s="155" t="s">
        <v>2536</v>
      </c>
      <c r="C23" s="155" t="s">
        <v>2537</v>
      </c>
      <c r="D23" s="156"/>
      <c r="E23" s="158" t="s">
        <v>2548</v>
      </c>
      <c r="F23" s="155" t="s">
        <v>2538</v>
      </c>
      <c r="G23" s="155">
        <v>3500000</v>
      </c>
      <c r="H23" s="157" t="s">
        <v>362</v>
      </c>
      <c r="I23" s="155">
        <v>1</v>
      </c>
      <c r="J23" s="155" t="s">
        <v>2550</v>
      </c>
      <c r="K23" s="155"/>
      <c r="L23" s="155"/>
      <c r="M23" s="155"/>
      <c r="N23" s="154" t="s">
        <v>13</v>
      </c>
      <c r="O23" s="154"/>
      <c r="P23" s="154" t="s">
        <v>2663</v>
      </c>
    </row>
    <row r="24" spans="1:16" ht="39.75" customHeight="1" x14ac:dyDescent="0.25">
      <c r="A24" s="155">
        <v>19</v>
      </c>
      <c r="B24" s="155" t="s">
        <v>2539</v>
      </c>
      <c r="C24" s="155" t="s">
        <v>2540</v>
      </c>
      <c r="D24" s="156"/>
      <c r="E24" s="158" t="s">
        <v>2548</v>
      </c>
      <c r="F24" s="155" t="s">
        <v>2535</v>
      </c>
      <c r="G24" s="155">
        <v>6178000</v>
      </c>
      <c r="H24" s="157" t="s">
        <v>362</v>
      </c>
      <c r="I24" s="155">
        <v>1</v>
      </c>
      <c r="J24" s="155" t="s">
        <v>2550</v>
      </c>
      <c r="K24" s="155"/>
      <c r="L24" s="155"/>
      <c r="M24" s="155"/>
      <c r="N24" s="154" t="s">
        <v>13</v>
      </c>
      <c r="O24" s="154"/>
      <c r="P24" s="154" t="s">
        <v>2663</v>
      </c>
    </row>
    <row r="25" spans="1:16" ht="60.75" customHeight="1" x14ac:dyDescent="0.25">
      <c r="A25" s="155">
        <v>20</v>
      </c>
      <c r="B25" s="159" t="s">
        <v>2541</v>
      </c>
      <c r="C25" s="159" t="s">
        <v>2542</v>
      </c>
      <c r="D25" s="160"/>
      <c r="E25" s="161" t="s">
        <v>2549</v>
      </c>
      <c r="F25" s="159" t="s">
        <v>2524</v>
      </c>
      <c r="G25" s="159">
        <v>22500000</v>
      </c>
      <c r="H25" s="162" t="s">
        <v>2543</v>
      </c>
      <c r="I25" s="159">
        <v>1</v>
      </c>
      <c r="J25" s="159" t="s">
        <v>2550</v>
      </c>
      <c r="K25" s="159"/>
      <c r="L25" s="159"/>
      <c r="M25" s="159"/>
      <c r="N25" s="154" t="s">
        <v>13</v>
      </c>
      <c r="O25" s="154"/>
      <c r="P25" s="154" t="s">
        <v>2663</v>
      </c>
    </row>
    <row r="26" spans="1:16" ht="60.75" customHeight="1" x14ac:dyDescent="0.25">
      <c r="A26" s="155">
        <v>21</v>
      </c>
      <c r="B26" s="155" t="s">
        <v>2646</v>
      </c>
      <c r="C26" s="155" t="s">
        <v>2647</v>
      </c>
      <c r="D26" s="156"/>
      <c r="E26" s="158" t="s">
        <v>2657</v>
      </c>
      <c r="F26" s="155" t="s">
        <v>2641</v>
      </c>
      <c r="G26" s="155">
        <v>1593694</v>
      </c>
      <c r="H26" s="157" t="s">
        <v>2562</v>
      </c>
      <c r="I26" s="155">
        <v>1</v>
      </c>
      <c r="J26" s="155" t="s">
        <v>2658</v>
      </c>
      <c r="K26" s="155"/>
      <c r="L26" s="155"/>
      <c r="M26" s="155"/>
      <c r="N26" s="154"/>
      <c r="O26" s="154"/>
      <c r="P26" s="154"/>
    </row>
    <row r="27" spans="1:16" ht="66" customHeight="1" x14ac:dyDescent="0.25">
      <c r="A27" s="155">
        <v>22</v>
      </c>
      <c r="B27" s="155" t="s">
        <v>38</v>
      </c>
      <c r="C27" s="155" t="s">
        <v>2648</v>
      </c>
      <c r="D27" s="156"/>
      <c r="E27" s="158" t="s">
        <v>2577</v>
      </c>
      <c r="F27" s="155" t="s">
        <v>2641</v>
      </c>
      <c r="G27" s="155">
        <v>1450000</v>
      </c>
      <c r="H27" s="157" t="s">
        <v>2562</v>
      </c>
      <c r="I27" s="155">
        <v>1</v>
      </c>
      <c r="J27" s="155" t="s">
        <v>2658</v>
      </c>
      <c r="K27" s="155"/>
      <c r="L27" s="155"/>
      <c r="M27" s="155"/>
      <c r="N27" s="154"/>
      <c r="O27" s="154"/>
      <c r="P27" s="154"/>
    </row>
    <row r="28" spans="1:16" ht="39.75" customHeight="1" x14ac:dyDescent="0.25">
      <c r="A28" s="155">
        <v>23</v>
      </c>
      <c r="B28" s="159" t="s">
        <v>38</v>
      </c>
      <c r="C28" s="159" t="s">
        <v>2561</v>
      </c>
      <c r="D28" s="160"/>
      <c r="E28" s="161" t="s">
        <v>2577</v>
      </c>
      <c r="F28" s="159" t="s">
        <v>2560</v>
      </c>
      <c r="G28" s="159">
        <v>1450000</v>
      </c>
      <c r="H28" s="162" t="s">
        <v>2562</v>
      </c>
      <c r="I28" s="159">
        <v>1</v>
      </c>
      <c r="J28" s="159" t="s">
        <v>2550</v>
      </c>
      <c r="K28" s="159"/>
      <c r="L28" s="159"/>
      <c r="M28" s="159"/>
      <c r="N28" s="163"/>
      <c r="O28" s="163"/>
      <c r="P28" s="163"/>
    </row>
    <row r="29" spans="1:16" ht="57.75" customHeight="1" x14ac:dyDescent="0.25">
      <c r="A29" s="155">
        <v>24</v>
      </c>
      <c r="B29" s="155" t="s">
        <v>2584</v>
      </c>
      <c r="C29" s="155" t="s">
        <v>2585</v>
      </c>
      <c r="D29" s="156"/>
      <c r="E29" s="158" t="s">
        <v>2602</v>
      </c>
      <c r="F29" s="155" t="s">
        <v>2586</v>
      </c>
      <c r="G29" s="155">
        <v>1981082</v>
      </c>
      <c r="H29" s="157" t="s">
        <v>689</v>
      </c>
      <c r="I29" s="155">
        <v>1</v>
      </c>
      <c r="J29" s="155" t="s">
        <v>2550</v>
      </c>
      <c r="K29" s="155"/>
      <c r="L29" s="155"/>
      <c r="M29" s="155"/>
      <c r="N29" s="154"/>
      <c r="O29" s="154"/>
      <c r="P29" s="154"/>
    </row>
    <row r="30" spans="1:16" ht="63.75" customHeight="1" x14ac:dyDescent="0.25">
      <c r="A30" s="155">
        <v>25</v>
      </c>
      <c r="B30" s="155" t="s">
        <v>2622</v>
      </c>
      <c r="C30" s="155" t="s">
        <v>2623</v>
      </c>
      <c r="D30" s="156"/>
      <c r="E30" s="158" t="s">
        <v>2627</v>
      </c>
      <c r="F30" s="155" t="s">
        <v>2624</v>
      </c>
      <c r="G30" s="155">
        <v>18593400</v>
      </c>
      <c r="H30" s="157" t="s">
        <v>707</v>
      </c>
      <c r="I30" s="155">
        <v>1</v>
      </c>
      <c r="J30" s="155" t="s">
        <v>2658</v>
      </c>
      <c r="K30" s="155"/>
      <c r="L30" s="155"/>
      <c r="M30" s="155"/>
      <c r="N30" s="154"/>
      <c r="O30" s="154"/>
      <c r="P30" s="154" t="s">
        <v>2663</v>
      </c>
    </row>
    <row r="31" spans="1:16" ht="69" customHeight="1" x14ac:dyDescent="0.25">
      <c r="A31" s="155">
        <v>26</v>
      </c>
      <c r="B31" s="155" t="s">
        <v>2556</v>
      </c>
      <c r="C31" s="155" t="s">
        <v>2557</v>
      </c>
      <c r="D31" s="156"/>
      <c r="E31" s="158" t="s">
        <v>2576</v>
      </c>
      <c r="F31" s="155" t="s">
        <v>2558</v>
      </c>
      <c r="G31" s="155">
        <v>26250000</v>
      </c>
      <c r="H31" s="157" t="s">
        <v>707</v>
      </c>
      <c r="I31" s="155">
        <v>150</v>
      </c>
      <c r="J31" s="155" t="s">
        <v>2550</v>
      </c>
      <c r="K31" s="155"/>
      <c r="L31" s="155"/>
      <c r="M31" s="155"/>
      <c r="N31" s="154"/>
      <c r="O31" s="154"/>
      <c r="P31" s="154"/>
    </row>
    <row r="32" spans="1:16" ht="60" customHeight="1" x14ac:dyDescent="0.25">
      <c r="A32" s="155">
        <v>27</v>
      </c>
      <c r="B32" s="155" t="s">
        <v>2661</v>
      </c>
      <c r="C32" s="155" t="s">
        <v>2559</v>
      </c>
      <c r="D32" s="156"/>
      <c r="E32" s="158" t="s">
        <v>2576</v>
      </c>
      <c r="F32" s="155" t="s">
        <v>2560</v>
      </c>
      <c r="G32" s="155">
        <v>7500000</v>
      </c>
      <c r="H32" s="157" t="s">
        <v>707</v>
      </c>
      <c r="I32" s="155">
        <v>10</v>
      </c>
      <c r="J32" s="155" t="s">
        <v>2550</v>
      </c>
      <c r="K32" s="155"/>
      <c r="L32" s="155"/>
      <c r="N32" s="154"/>
      <c r="O32" s="155" t="s">
        <v>2662</v>
      </c>
      <c r="P32" s="154"/>
    </row>
    <row r="33" spans="1:16" ht="59.25" customHeight="1" x14ac:dyDescent="0.25">
      <c r="A33" s="155">
        <v>28</v>
      </c>
      <c r="B33" s="155" t="s">
        <v>2565</v>
      </c>
      <c r="C33" s="155" t="s">
        <v>2566</v>
      </c>
      <c r="D33" s="156"/>
      <c r="E33" s="158" t="s">
        <v>2578</v>
      </c>
      <c r="F33" s="155" t="s">
        <v>2567</v>
      </c>
      <c r="G33" s="155">
        <v>11020000</v>
      </c>
      <c r="H33" s="157" t="s">
        <v>707</v>
      </c>
      <c r="I33" s="155">
        <v>1</v>
      </c>
      <c r="J33" s="155" t="s">
        <v>2550</v>
      </c>
      <c r="K33" s="155"/>
      <c r="L33" s="155"/>
      <c r="M33" s="155"/>
      <c r="N33" s="154"/>
      <c r="O33" s="154"/>
      <c r="P33" s="154"/>
    </row>
    <row r="34" spans="1:16" ht="49.5" customHeight="1" x14ac:dyDescent="0.25">
      <c r="A34" s="155">
        <v>29</v>
      </c>
      <c r="B34" s="155" t="s">
        <v>2571</v>
      </c>
      <c r="C34" s="155" t="s">
        <v>2572</v>
      </c>
      <c r="D34" s="156"/>
      <c r="E34" s="158" t="s">
        <v>2580</v>
      </c>
      <c r="F34" s="155" t="s">
        <v>2573</v>
      </c>
      <c r="G34" s="155">
        <v>7027027.2999999998</v>
      </c>
      <c r="H34" s="157" t="s">
        <v>707</v>
      </c>
      <c r="I34" s="155">
        <v>1</v>
      </c>
      <c r="J34" s="155" t="s">
        <v>2550</v>
      </c>
      <c r="K34" s="155"/>
      <c r="L34" s="155"/>
      <c r="M34" s="155"/>
      <c r="N34" s="154"/>
      <c r="O34" s="154"/>
      <c r="P34" s="154"/>
    </row>
    <row r="35" spans="1:16" ht="63.75" customHeight="1" x14ac:dyDescent="0.25">
      <c r="A35" s="155">
        <v>30</v>
      </c>
      <c r="B35" s="155" t="s">
        <v>2596</v>
      </c>
      <c r="C35" s="155" t="s">
        <v>2597</v>
      </c>
      <c r="D35" s="156"/>
      <c r="E35" s="158" t="s">
        <v>2606</v>
      </c>
      <c r="F35" s="155" t="s">
        <v>2598</v>
      </c>
      <c r="G35" s="155">
        <v>1981081</v>
      </c>
      <c r="H35" s="157" t="s">
        <v>707</v>
      </c>
      <c r="I35" s="155">
        <v>1</v>
      </c>
      <c r="J35" s="155" t="s">
        <v>2550</v>
      </c>
      <c r="K35" s="155"/>
      <c r="L35" s="155"/>
      <c r="M35" s="155"/>
      <c r="N35" s="154"/>
      <c r="O35" s="154"/>
      <c r="P35" s="154"/>
    </row>
    <row r="36" spans="1:16" ht="59.25" customHeight="1" x14ac:dyDescent="0.25">
      <c r="A36" s="155">
        <v>31</v>
      </c>
      <c r="B36" s="155" t="s">
        <v>2599</v>
      </c>
      <c r="C36" s="155" t="s">
        <v>2600</v>
      </c>
      <c r="D36" s="174"/>
      <c r="E36" s="158" t="s">
        <v>2607</v>
      </c>
      <c r="F36" s="155" t="s">
        <v>2598</v>
      </c>
      <c r="G36" s="155">
        <v>4988289</v>
      </c>
      <c r="H36" s="157" t="s">
        <v>707</v>
      </c>
      <c r="I36" s="155">
        <v>3</v>
      </c>
      <c r="J36" s="155" t="s">
        <v>2550</v>
      </c>
      <c r="K36" s="155"/>
      <c r="L36" s="155"/>
      <c r="M36" s="155"/>
      <c r="N36" s="154"/>
      <c r="O36" s="154"/>
      <c r="P36" s="154"/>
    </row>
    <row r="37" spans="1:16" ht="56.25" customHeight="1" x14ac:dyDescent="0.25">
      <c r="A37" s="155">
        <v>32</v>
      </c>
      <c r="B37" s="155" t="s">
        <v>2664</v>
      </c>
      <c r="C37" s="155" t="s">
        <v>2665</v>
      </c>
      <c r="D37" s="183"/>
      <c r="E37" s="155" t="s">
        <v>2674</v>
      </c>
      <c r="F37" s="181">
        <v>46133</v>
      </c>
      <c r="G37" s="180">
        <v>3170271</v>
      </c>
      <c r="H37" s="155" t="s">
        <v>707</v>
      </c>
      <c r="I37" s="155">
        <v>1</v>
      </c>
      <c r="J37" s="155" t="s">
        <v>2550</v>
      </c>
      <c r="K37" s="155"/>
      <c r="L37" s="155"/>
      <c r="M37" s="155"/>
      <c r="N37" s="154"/>
      <c r="O37" s="154"/>
      <c r="P37" s="154"/>
    </row>
    <row r="38" spans="1:16" ht="56.25" customHeight="1" x14ac:dyDescent="0.25">
      <c r="A38" s="155">
        <v>33</v>
      </c>
      <c r="B38" s="155" t="s">
        <v>137</v>
      </c>
      <c r="C38" s="155" t="s">
        <v>2666</v>
      </c>
      <c r="D38" s="183"/>
      <c r="E38" s="155" t="s">
        <v>2675</v>
      </c>
      <c r="F38" s="181">
        <v>46133</v>
      </c>
      <c r="G38" s="180">
        <v>2890000</v>
      </c>
      <c r="H38" s="155" t="s">
        <v>707</v>
      </c>
      <c r="I38" s="155">
        <v>1</v>
      </c>
      <c r="J38" s="155" t="s">
        <v>2550</v>
      </c>
      <c r="K38" s="155"/>
      <c r="L38" s="155"/>
      <c r="M38" s="155"/>
      <c r="N38" s="154"/>
      <c r="O38" s="154"/>
      <c r="P38" s="154"/>
    </row>
    <row r="39" spans="1:16" ht="56.25" customHeight="1" x14ac:dyDescent="0.25">
      <c r="A39" s="155">
        <v>34</v>
      </c>
      <c r="B39" s="155" t="s">
        <v>2667</v>
      </c>
      <c r="C39" s="155" t="s">
        <v>2668</v>
      </c>
      <c r="D39" s="183"/>
      <c r="E39" s="155" t="s">
        <v>2676</v>
      </c>
      <c r="F39" s="181">
        <v>46133</v>
      </c>
      <c r="G39" s="180">
        <v>2890000</v>
      </c>
      <c r="H39" s="155" t="s">
        <v>707</v>
      </c>
      <c r="I39" s="155">
        <v>1</v>
      </c>
      <c r="J39" s="155" t="s">
        <v>2550</v>
      </c>
      <c r="K39" s="155"/>
      <c r="L39" s="155"/>
      <c r="M39" s="155"/>
      <c r="N39" s="154"/>
      <c r="O39" s="154"/>
      <c r="P39" s="154"/>
    </row>
    <row r="40" spans="1:16" ht="67.5" customHeight="1" x14ac:dyDescent="0.25">
      <c r="A40" s="155">
        <v>35</v>
      </c>
      <c r="B40" s="179" t="s">
        <v>2616</v>
      </c>
      <c r="C40" s="179" t="s">
        <v>2617</v>
      </c>
      <c r="D40" s="178"/>
      <c r="E40" s="184" t="s">
        <v>2625</v>
      </c>
      <c r="F40" s="179" t="s">
        <v>2618</v>
      </c>
      <c r="G40" s="179">
        <v>1107000</v>
      </c>
      <c r="H40" s="182" t="s">
        <v>766</v>
      </c>
      <c r="I40" s="179">
        <v>2</v>
      </c>
      <c r="J40" s="179" t="s">
        <v>2658</v>
      </c>
      <c r="K40" s="179"/>
      <c r="L40" s="179"/>
      <c r="M40" s="179"/>
      <c r="N40" s="177"/>
      <c r="O40" s="177"/>
      <c r="P40" s="177"/>
    </row>
    <row r="41" spans="1:16" ht="60" customHeight="1" x14ac:dyDescent="0.25">
      <c r="A41" s="155">
        <v>36</v>
      </c>
      <c r="B41" s="169" t="s">
        <v>2551</v>
      </c>
      <c r="C41" s="170" t="s">
        <v>2552</v>
      </c>
      <c r="D41" s="170"/>
      <c r="E41" s="171" t="s">
        <v>2574</v>
      </c>
      <c r="F41" s="170" t="s">
        <v>2553</v>
      </c>
      <c r="G41" s="172">
        <v>10620000</v>
      </c>
      <c r="H41" s="173" t="s">
        <v>766</v>
      </c>
      <c r="I41" s="172">
        <v>2</v>
      </c>
      <c r="J41" s="159" t="s">
        <v>2550</v>
      </c>
      <c r="K41" s="159"/>
      <c r="L41" s="159"/>
      <c r="M41" s="159"/>
      <c r="N41" s="163"/>
      <c r="O41" s="163"/>
      <c r="P41" s="163"/>
    </row>
    <row r="42" spans="1:16" ht="39.75" customHeight="1" x14ac:dyDescent="0.25">
      <c r="A42" s="155">
        <v>37</v>
      </c>
      <c r="B42" s="155" t="s">
        <v>2608</v>
      </c>
      <c r="C42" s="155" t="s">
        <v>2609</v>
      </c>
      <c r="D42" s="156"/>
      <c r="E42" s="158" t="s">
        <v>2615</v>
      </c>
      <c r="F42" s="155" t="s">
        <v>2610</v>
      </c>
      <c r="G42" s="155">
        <v>2477478</v>
      </c>
      <c r="H42" s="157" t="s">
        <v>455</v>
      </c>
      <c r="I42" s="155">
        <v>1</v>
      </c>
      <c r="J42" s="155" t="s">
        <v>2658</v>
      </c>
      <c r="K42" s="155"/>
      <c r="L42" s="155"/>
      <c r="M42" s="155"/>
      <c r="N42" s="154"/>
      <c r="O42" s="154"/>
      <c r="P42" s="154"/>
    </row>
    <row r="43" spans="1:16" ht="60.75" customHeight="1" x14ac:dyDescent="0.25">
      <c r="A43" s="155">
        <v>38</v>
      </c>
      <c r="B43" s="155" t="s">
        <v>466</v>
      </c>
      <c r="C43" s="155" t="s">
        <v>2632</v>
      </c>
      <c r="D43" s="156"/>
      <c r="E43" s="158" t="s">
        <v>2651</v>
      </c>
      <c r="F43" s="155" t="s">
        <v>2633</v>
      </c>
      <c r="G43" s="155">
        <v>1850000</v>
      </c>
      <c r="H43" s="157" t="s">
        <v>455</v>
      </c>
      <c r="I43" s="155">
        <v>1</v>
      </c>
      <c r="J43" s="155" t="s">
        <v>2658</v>
      </c>
      <c r="K43" s="155"/>
      <c r="L43" s="155"/>
      <c r="M43" s="155"/>
      <c r="N43" s="154"/>
      <c r="O43" s="154"/>
      <c r="P43" s="154"/>
    </row>
    <row r="44" spans="1:16" ht="39.75" customHeight="1" x14ac:dyDescent="0.25">
      <c r="A44" s="155">
        <v>39</v>
      </c>
      <c r="B44" s="155" t="s">
        <v>622</v>
      </c>
      <c r="C44" s="155" t="s">
        <v>2634</v>
      </c>
      <c r="D44" s="156"/>
      <c r="E44" s="158" t="s">
        <v>2652</v>
      </c>
      <c r="F44" s="155" t="s">
        <v>2635</v>
      </c>
      <c r="G44" s="155">
        <v>1100000</v>
      </c>
      <c r="H44" s="157" t="s">
        <v>455</v>
      </c>
      <c r="I44" s="155">
        <v>1</v>
      </c>
      <c r="J44" s="155" t="s">
        <v>2658</v>
      </c>
      <c r="K44" s="155"/>
      <c r="L44" s="155"/>
      <c r="M44" s="155"/>
      <c r="N44" s="154"/>
      <c r="O44" s="154"/>
      <c r="P44" s="154"/>
    </row>
    <row r="45" spans="1:16" ht="78.75" customHeight="1" x14ac:dyDescent="0.25">
      <c r="A45" s="155">
        <v>40</v>
      </c>
      <c r="B45" s="155" t="s">
        <v>2525</v>
      </c>
      <c r="C45" s="155" t="s">
        <v>2526</v>
      </c>
      <c r="D45" s="155"/>
      <c r="E45" s="158" t="s">
        <v>2545</v>
      </c>
      <c r="F45" s="155" t="s">
        <v>2527</v>
      </c>
      <c r="G45" s="155">
        <v>124000000</v>
      </c>
      <c r="H45" s="157" t="s">
        <v>455</v>
      </c>
      <c r="I45" s="155">
        <v>4</v>
      </c>
      <c r="J45" s="155" t="s">
        <v>2550</v>
      </c>
      <c r="K45" s="155"/>
      <c r="L45" s="155"/>
      <c r="M45" s="155"/>
      <c r="N45" s="154" t="s">
        <v>13</v>
      </c>
      <c r="O45" s="154"/>
      <c r="P45" s="154" t="s">
        <v>2663</v>
      </c>
    </row>
    <row r="46" spans="1:16" ht="66" customHeight="1" x14ac:dyDescent="0.25">
      <c r="A46" s="155">
        <v>41</v>
      </c>
      <c r="B46" s="155" t="s">
        <v>2528</v>
      </c>
      <c r="C46" s="155" t="s">
        <v>2529</v>
      </c>
      <c r="D46" s="155"/>
      <c r="E46" s="158" t="s">
        <v>2546</v>
      </c>
      <c r="F46" s="155" t="s">
        <v>2527</v>
      </c>
      <c r="G46" s="155">
        <v>2341441.91</v>
      </c>
      <c r="H46" s="157" t="s">
        <v>455</v>
      </c>
      <c r="I46" s="155">
        <v>1</v>
      </c>
      <c r="J46" s="155" t="s">
        <v>2550</v>
      </c>
      <c r="K46" s="155"/>
      <c r="L46" s="155"/>
      <c r="M46" s="155"/>
      <c r="N46" s="154"/>
      <c r="O46" s="154"/>
      <c r="P46" s="154"/>
    </row>
    <row r="47" spans="1:16" ht="58.5" customHeight="1" x14ac:dyDescent="0.25">
      <c r="A47" s="155">
        <v>42</v>
      </c>
      <c r="B47" s="155" t="s">
        <v>2530</v>
      </c>
      <c r="C47" s="155" t="s">
        <v>2531</v>
      </c>
      <c r="D47" s="156"/>
      <c r="E47" s="158" t="s">
        <v>2547</v>
      </c>
      <c r="F47" s="155" t="s">
        <v>2532</v>
      </c>
      <c r="G47" s="155">
        <v>5958559</v>
      </c>
      <c r="H47" s="157" t="s">
        <v>455</v>
      </c>
      <c r="I47" s="155">
        <v>2</v>
      </c>
      <c r="J47" s="155" t="s">
        <v>2550</v>
      </c>
      <c r="K47" s="155"/>
      <c r="L47" s="155"/>
      <c r="M47" s="155"/>
      <c r="N47" s="154"/>
      <c r="O47" s="154"/>
      <c r="P47" s="154"/>
    </row>
    <row r="48" spans="1:16" ht="39.75" customHeight="1" x14ac:dyDescent="0.25">
      <c r="A48" s="155">
        <v>43</v>
      </c>
      <c r="B48" s="155" t="s">
        <v>2587</v>
      </c>
      <c r="C48" s="155" t="s">
        <v>2588</v>
      </c>
      <c r="D48" s="156"/>
      <c r="E48" s="158" t="s">
        <v>2603</v>
      </c>
      <c r="F48" s="155" t="s">
        <v>2586</v>
      </c>
      <c r="G48" s="155">
        <v>11711712</v>
      </c>
      <c r="H48" s="157" t="s">
        <v>455</v>
      </c>
      <c r="I48" s="155">
        <v>1</v>
      </c>
      <c r="J48" s="155" t="s">
        <v>2550</v>
      </c>
      <c r="K48" s="155"/>
      <c r="L48" s="155"/>
      <c r="M48" s="155"/>
      <c r="N48" s="154"/>
      <c r="O48" s="154"/>
      <c r="P48" s="154"/>
    </row>
    <row r="49" spans="1:17" ht="39.75" customHeight="1" x14ac:dyDescent="0.25">
      <c r="A49" s="155">
        <v>44</v>
      </c>
      <c r="B49" s="155" t="s">
        <v>2589</v>
      </c>
      <c r="C49" s="155" t="s">
        <v>2590</v>
      </c>
      <c r="D49" s="156"/>
      <c r="E49" s="158" t="s">
        <v>2603</v>
      </c>
      <c r="F49" s="155" t="s">
        <v>2586</v>
      </c>
      <c r="G49" s="155">
        <v>2522523</v>
      </c>
      <c r="H49" s="157" t="s">
        <v>455</v>
      </c>
      <c r="I49" s="155">
        <v>1</v>
      </c>
      <c r="J49" s="155" t="s">
        <v>2550</v>
      </c>
      <c r="K49" s="155"/>
      <c r="L49" s="155"/>
      <c r="M49" s="155"/>
      <c r="N49" s="154"/>
      <c r="O49" s="154"/>
      <c r="P49" s="154"/>
    </row>
    <row r="50" spans="1:17" ht="39.75" customHeight="1" x14ac:dyDescent="0.25">
      <c r="A50" s="155">
        <v>45</v>
      </c>
      <c r="B50" s="155" t="s">
        <v>910</v>
      </c>
      <c r="C50" s="155" t="s">
        <v>2591</v>
      </c>
      <c r="D50" s="156"/>
      <c r="E50" s="158" t="s">
        <v>2603</v>
      </c>
      <c r="F50" s="155" t="s">
        <v>2592</v>
      </c>
      <c r="G50" s="155">
        <v>2162162</v>
      </c>
      <c r="H50" s="157" t="s">
        <v>455</v>
      </c>
      <c r="I50" s="155">
        <v>1</v>
      </c>
      <c r="J50" s="155" t="s">
        <v>2550</v>
      </c>
      <c r="K50" s="155"/>
      <c r="L50" s="155"/>
      <c r="M50" s="155"/>
      <c r="N50" s="154"/>
      <c r="O50" s="154"/>
      <c r="P50" s="154"/>
    </row>
    <row r="51" spans="1:17" ht="39.75" customHeight="1" x14ac:dyDescent="0.25">
      <c r="A51" s="155">
        <v>46</v>
      </c>
      <c r="B51" s="155" t="s">
        <v>622</v>
      </c>
      <c r="C51" s="155" t="s">
        <v>2593</v>
      </c>
      <c r="D51" s="174"/>
      <c r="E51" s="158" t="s">
        <v>2604</v>
      </c>
      <c r="F51" s="155" t="s">
        <v>2594</v>
      </c>
      <c r="G51" s="155">
        <v>990992</v>
      </c>
      <c r="H51" s="157" t="s">
        <v>455</v>
      </c>
      <c r="I51" s="155">
        <v>1</v>
      </c>
      <c r="J51" s="155" t="s">
        <v>2550</v>
      </c>
      <c r="K51" s="155"/>
      <c r="L51" s="155"/>
      <c r="M51" s="155"/>
      <c r="N51" s="154"/>
      <c r="O51" s="154"/>
      <c r="P51" s="154"/>
      <c r="Q51" s="24"/>
    </row>
    <row r="52" spans="1:17" ht="57" customHeight="1" x14ac:dyDescent="0.25">
      <c r="A52" s="155">
        <v>47</v>
      </c>
      <c r="B52" s="155" t="s">
        <v>2234</v>
      </c>
      <c r="C52" s="155" t="s">
        <v>2669</v>
      </c>
      <c r="D52" s="176"/>
      <c r="E52" s="155" t="s">
        <v>2677</v>
      </c>
      <c r="F52" s="181">
        <v>46134</v>
      </c>
      <c r="G52" s="180">
        <v>3400000</v>
      </c>
      <c r="H52" s="155" t="s">
        <v>455</v>
      </c>
      <c r="I52" s="155">
        <v>1</v>
      </c>
      <c r="J52" s="155" t="s">
        <v>2550</v>
      </c>
      <c r="K52" s="155"/>
      <c r="L52" s="155"/>
      <c r="M52" s="155"/>
      <c r="N52" s="154"/>
      <c r="O52" s="154"/>
      <c r="P52" s="154"/>
      <c r="Q52" s="24"/>
    </row>
    <row r="53" spans="1:17" ht="57" customHeight="1" x14ac:dyDescent="0.25">
      <c r="A53" s="155">
        <v>48</v>
      </c>
      <c r="B53" s="155" t="s">
        <v>2680</v>
      </c>
      <c r="C53" s="155" t="s">
        <v>2673</v>
      </c>
      <c r="D53" s="183"/>
      <c r="E53" s="155" t="s">
        <v>2677</v>
      </c>
      <c r="F53" s="181">
        <v>46139</v>
      </c>
      <c r="G53" s="180">
        <v>8257493.9699999997</v>
      </c>
      <c r="H53" s="155" t="s">
        <v>455</v>
      </c>
      <c r="I53" s="155">
        <v>6</v>
      </c>
      <c r="J53" s="155" t="s">
        <v>2550</v>
      </c>
      <c r="K53" s="155"/>
      <c r="L53" s="155"/>
      <c r="M53" s="155"/>
      <c r="N53" s="154"/>
      <c r="O53" s="154"/>
      <c r="P53" s="154"/>
    </row>
    <row r="54" spans="1:17" ht="21.75" customHeight="1" x14ac:dyDescent="0.25">
      <c r="I54" s="154">
        <f>SUM(I6:I53)</f>
        <v>224</v>
      </c>
      <c r="J54" s="154"/>
      <c r="K54" s="155"/>
      <c r="L54" s="155"/>
      <c r="M54" s="155"/>
      <c r="N54" s="154"/>
      <c r="O54" s="154"/>
      <c r="P54" s="154"/>
    </row>
    <row r="55" spans="1:17" ht="21.75" customHeight="1" x14ac:dyDescent="0.25">
      <c r="I55" s="154"/>
      <c r="J55" s="154"/>
      <c r="K55" s="155"/>
      <c r="L55" s="155"/>
      <c r="M55" s="155"/>
      <c r="N55" s="154"/>
      <c r="O55" s="154"/>
      <c r="P55" s="154"/>
    </row>
    <row r="56" spans="1:17" ht="21.75" customHeight="1" x14ac:dyDescent="0.25">
      <c r="A56" s="155"/>
      <c r="B56" s="155"/>
      <c r="C56" s="155"/>
      <c r="D56" s="155"/>
      <c r="E56" s="155"/>
      <c r="F56" s="155"/>
      <c r="G56" s="155"/>
      <c r="H56" s="155"/>
      <c r="I56" s="155"/>
      <c r="J56" s="155"/>
      <c r="K56" s="155"/>
      <c r="L56" s="155"/>
      <c r="M56" s="155"/>
      <c r="N56" s="154"/>
      <c r="O56" s="154"/>
      <c r="P56" s="154"/>
    </row>
    <row r="57" spans="1:17" ht="21.75" customHeight="1" x14ac:dyDescent="0.25">
      <c r="A57" s="155"/>
      <c r="B57" s="155"/>
      <c r="C57" s="155"/>
      <c r="D57" s="155"/>
      <c r="E57" s="155"/>
      <c r="F57" s="155"/>
      <c r="G57" s="155"/>
      <c r="H57" s="155"/>
      <c r="I57" s="155"/>
      <c r="J57" s="155"/>
      <c r="K57" s="155"/>
      <c r="L57" s="155"/>
      <c r="M57" s="155"/>
      <c r="N57" s="154"/>
      <c r="O57" s="154"/>
      <c r="P57" s="154"/>
    </row>
    <row r="58" spans="1:17" ht="21.75" customHeight="1" x14ac:dyDescent="0.25">
      <c r="A58" s="154"/>
      <c r="B58" s="154"/>
      <c r="C58" s="154"/>
      <c r="D58" s="154"/>
      <c r="E58" s="154"/>
      <c r="F58" s="154"/>
      <c r="G58" s="154"/>
      <c r="H58" s="154"/>
      <c r="I58" s="154"/>
      <c r="J58" s="154"/>
      <c r="K58" s="155"/>
      <c r="L58" s="155"/>
      <c r="M58" s="155"/>
      <c r="N58" s="154"/>
      <c r="O58" s="154"/>
      <c r="P58" s="154"/>
    </row>
    <row r="59" spans="1:17" ht="21.75" customHeight="1" x14ac:dyDescent="0.25">
      <c r="A59" s="154"/>
      <c r="B59" s="154"/>
      <c r="C59" s="154"/>
      <c r="D59" s="154"/>
      <c r="E59" s="154"/>
      <c r="F59" s="154"/>
      <c r="G59" s="154"/>
      <c r="H59" s="154"/>
      <c r="I59" s="154"/>
      <c r="J59" s="154"/>
      <c r="K59" s="155"/>
      <c r="L59" s="155"/>
      <c r="M59" s="155"/>
      <c r="N59" s="154"/>
      <c r="O59" s="154"/>
      <c r="P59" s="154"/>
    </row>
    <row r="60" spans="1:17" ht="21.75" customHeight="1" x14ac:dyDescent="0.25">
      <c r="A60" s="154"/>
      <c r="B60" s="154"/>
      <c r="C60" s="154"/>
      <c r="D60" s="154"/>
      <c r="E60" s="154"/>
      <c r="F60" s="154"/>
      <c r="G60" s="154"/>
      <c r="H60" s="154"/>
      <c r="I60" s="154"/>
      <c r="J60" s="154"/>
      <c r="K60" s="155"/>
      <c r="L60" s="155"/>
      <c r="M60" s="155"/>
      <c r="N60" s="154"/>
      <c r="O60" s="154"/>
      <c r="P60" s="154"/>
    </row>
    <row r="61" spans="1:17" ht="21.75" customHeight="1" x14ac:dyDescent="0.25">
      <c r="A61" s="154"/>
      <c r="B61" s="154"/>
      <c r="C61" s="154"/>
      <c r="D61" s="154"/>
      <c r="E61" s="154"/>
      <c r="F61" s="154"/>
      <c r="G61" s="154"/>
      <c r="H61" s="154"/>
      <c r="I61" s="154"/>
      <c r="J61" s="154"/>
      <c r="K61" s="155"/>
      <c r="L61" s="155"/>
      <c r="M61" s="155"/>
      <c r="N61" s="154"/>
      <c r="O61" s="154"/>
      <c r="P61" s="154"/>
    </row>
    <row r="62" spans="1:17" ht="21.75" customHeight="1" x14ac:dyDescent="0.25">
      <c r="A62" s="154"/>
      <c r="B62" s="154"/>
      <c r="C62" s="154"/>
      <c r="D62" s="154"/>
      <c r="E62" s="154"/>
      <c r="F62" s="154"/>
      <c r="G62" s="154"/>
      <c r="H62" s="154"/>
      <c r="I62" s="154"/>
      <c r="J62" s="154"/>
      <c r="K62" s="155"/>
      <c r="L62" s="155"/>
      <c r="M62" s="155"/>
      <c r="N62" s="154"/>
      <c r="O62" s="154"/>
      <c r="P62" s="154"/>
    </row>
    <row r="63" spans="1:17" ht="21.75" customHeight="1" x14ac:dyDescent="0.25">
      <c r="A63" s="154"/>
      <c r="B63" s="154"/>
      <c r="C63" s="154"/>
      <c r="D63" s="154"/>
      <c r="E63" s="154"/>
      <c r="F63" s="154"/>
      <c r="G63" s="154"/>
      <c r="H63" s="154"/>
      <c r="I63" s="154"/>
      <c r="J63" s="154"/>
      <c r="K63" s="155"/>
      <c r="L63" s="155"/>
      <c r="M63" s="155"/>
      <c r="N63" s="154"/>
      <c r="O63" s="154"/>
      <c r="P63" s="154"/>
    </row>
    <row r="64" spans="1:17" ht="21.75" customHeight="1" x14ac:dyDescent="0.25">
      <c r="A64" s="154"/>
      <c r="B64" s="154"/>
      <c r="C64" s="154"/>
      <c r="D64" s="154"/>
      <c r="E64" s="154"/>
      <c r="F64" s="154"/>
      <c r="G64" s="154"/>
      <c r="H64" s="154"/>
      <c r="I64" s="154"/>
      <c r="J64" s="154"/>
      <c r="K64" s="155"/>
      <c r="L64" s="155"/>
      <c r="M64" s="155"/>
      <c r="N64" s="154"/>
      <c r="O64" s="154"/>
      <c r="P64" s="154"/>
    </row>
    <row r="65" spans="1:16" ht="21.75" customHeight="1" x14ac:dyDescent="0.25">
      <c r="A65" s="154"/>
      <c r="B65" s="154"/>
      <c r="C65" s="154"/>
      <c r="D65" s="154"/>
      <c r="E65" s="154"/>
      <c r="F65" s="154"/>
      <c r="G65" s="154"/>
      <c r="H65" s="154"/>
      <c r="I65" s="154"/>
      <c r="J65" s="154"/>
      <c r="K65" s="155"/>
      <c r="L65" s="155"/>
      <c r="M65" s="155"/>
      <c r="N65" s="154"/>
      <c r="O65" s="154"/>
      <c r="P65" s="154"/>
    </row>
    <row r="66" spans="1:16" ht="21.75" customHeight="1" x14ac:dyDescent="0.25">
      <c r="A66" s="154"/>
      <c r="B66" s="154"/>
      <c r="C66" s="154"/>
      <c r="D66" s="154"/>
      <c r="E66" s="154"/>
      <c r="F66" s="154"/>
      <c r="G66" s="154"/>
      <c r="H66" s="154"/>
      <c r="I66" s="154"/>
      <c r="J66" s="154"/>
      <c r="K66" s="155"/>
      <c r="L66" s="155"/>
      <c r="M66" s="155"/>
      <c r="N66" s="154"/>
      <c r="O66" s="154"/>
      <c r="P66" s="154"/>
    </row>
    <row r="67" spans="1:16" ht="21.75" customHeight="1" x14ac:dyDescent="0.25">
      <c r="A67" s="154"/>
      <c r="B67" s="154"/>
      <c r="C67" s="154"/>
      <c r="D67" s="154"/>
      <c r="E67" s="154"/>
      <c r="F67" s="154"/>
      <c r="G67" s="154"/>
      <c r="H67" s="154"/>
      <c r="I67" s="154"/>
      <c r="J67" s="154"/>
      <c r="K67" s="155"/>
      <c r="L67" s="155"/>
      <c r="M67" s="155"/>
      <c r="N67" s="154"/>
      <c r="O67" s="154"/>
      <c r="P67" s="154"/>
    </row>
    <row r="68" spans="1:16" ht="21.75" customHeight="1" x14ac:dyDescent="0.25">
      <c r="A68" s="154"/>
      <c r="B68" s="154"/>
      <c r="C68" s="154"/>
      <c r="D68" s="154"/>
      <c r="E68" s="154"/>
      <c r="F68" s="154"/>
      <c r="G68" s="154"/>
      <c r="H68" s="154"/>
      <c r="I68" s="154"/>
      <c r="J68" s="154"/>
      <c r="K68" s="155"/>
      <c r="L68" s="155"/>
      <c r="M68" s="155"/>
      <c r="N68" s="154"/>
      <c r="O68" s="154"/>
      <c r="P68" s="154"/>
    </row>
    <row r="69" spans="1:16" ht="21.75" customHeight="1" x14ac:dyDescent="0.25">
      <c r="A69" s="154"/>
      <c r="B69" s="154"/>
      <c r="C69" s="154"/>
      <c r="D69" s="154"/>
      <c r="E69" s="154"/>
      <c r="F69" s="154"/>
      <c r="G69" s="154"/>
      <c r="H69" s="154"/>
      <c r="I69" s="154"/>
      <c r="J69" s="154"/>
      <c r="K69" s="155"/>
      <c r="L69" s="155"/>
      <c r="M69" s="155"/>
      <c r="N69" s="154"/>
      <c r="O69" s="154"/>
      <c r="P69" s="154"/>
    </row>
    <row r="70" spans="1:16" ht="21.75" customHeight="1" x14ac:dyDescent="0.25">
      <c r="A70" s="154"/>
      <c r="B70" s="154"/>
      <c r="C70" s="154"/>
      <c r="D70" s="154"/>
      <c r="E70" s="154"/>
      <c r="F70" s="154"/>
      <c r="G70" s="154"/>
      <c r="H70" s="154"/>
      <c r="I70" s="154"/>
      <c r="J70" s="154"/>
      <c r="K70" s="155"/>
      <c r="L70" s="155"/>
      <c r="M70" s="155"/>
      <c r="N70" s="154"/>
      <c r="O70" s="154"/>
      <c r="P70" s="154"/>
    </row>
    <row r="71" spans="1:16" ht="21.75" customHeight="1" x14ac:dyDescent="0.25">
      <c r="A71" s="154"/>
      <c r="B71" s="154"/>
      <c r="C71" s="154"/>
      <c r="D71" s="154"/>
      <c r="E71" s="154"/>
      <c r="F71" s="154"/>
      <c r="G71" s="154"/>
      <c r="H71" s="154"/>
      <c r="I71" s="154"/>
      <c r="J71" s="154"/>
      <c r="K71" s="155"/>
      <c r="L71" s="155"/>
      <c r="M71" s="155"/>
      <c r="N71" s="154"/>
      <c r="O71" s="154"/>
      <c r="P71" s="154"/>
    </row>
    <row r="72" spans="1:16" ht="21.75" customHeight="1" x14ac:dyDescent="0.25">
      <c r="A72" s="154"/>
      <c r="B72" s="154"/>
      <c r="C72" s="154"/>
      <c r="D72" s="154"/>
      <c r="E72" s="154"/>
      <c r="F72" s="154"/>
      <c r="G72" s="154"/>
      <c r="H72" s="154"/>
      <c r="I72" s="154"/>
      <c r="J72" s="154"/>
      <c r="K72" s="155"/>
      <c r="L72" s="155"/>
      <c r="M72" s="155"/>
      <c r="N72" s="154"/>
      <c r="O72" s="154"/>
      <c r="P72" s="154"/>
    </row>
    <row r="73" spans="1:16" ht="21.75" customHeight="1" x14ac:dyDescent="0.25">
      <c r="A73" s="154"/>
      <c r="B73" s="154"/>
      <c r="C73" s="154"/>
      <c r="D73" s="154"/>
      <c r="E73" s="154"/>
      <c r="F73" s="154"/>
      <c r="G73" s="154"/>
      <c r="H73" s="154"/>
      <c r="I73" s="154"/>
      <c r="J73" s="154"/>
      <c r="K73" s="155"/>
      <c r="L73" s="155"/>
      <c r="M73" s="155"/>
      <c r="N73" s="154"/>
      <c r="O73" s="154"/>
      <c r="P73" s="154"/>
    </row>
    <row r="74" spans="1:16" ht="21.75" customHeight="1" x14ac:dyDescent="0.25">
      <c r="A74" s="154"/>
      <c r="B74" s="154"/>
      <c r="C74" s="154"/>
      <c r="D74" s="154"/>
      <c r="E74" s="154"/>
      <c r="F74" s="154"/>
      <c r="G74" s="154"/>
      <c r="H74" s="154"/>
      <c r="I74" s="154"/>
      <c r="J74" s="154"/>
      <c r="K74" s="155"/>
      <c r="L74" s="155"/>
      <c r="M74" s="155"/>
      <c r="N74" s="154"/>
      <c r="O74" s="154"/>
      <c r="P74" s="154"/>
    </row>
    <row r="75" spans="1:16" ht="21.75" customHeight="1" x14ac:dyDescent="0.25">
      <c r="A75" s="154"/>
      <c r="B75" s="154"/>
      <c r="C75" s="154"/>
      <c r="D75" s="154"/>
      <c r="E75" s="154"/>
      <c r="F75" s="154"/>
      <c r="G75" s="154"/>
      <c r="H75" s="154"/>
      <c r="I75" s="154"/>
      <c r="J75" s="154"/>
      <c r="K75" s="155"/>
      <c r="L75" s="155"/>
      <c r="M75" s="155"/>
      <c r="N75" s="154"/>
      <c r="O75" s="154"/>
      <c r="P75" s="154"/>
    </row>
    <row r="76" spans="1:16" ht="21.75" customHeight="1" x14ac:dyDescent="0.25">
      <c r="A76" s="154"/>
      <c r="B76" s="154"/>
      <c r="C76" s="154"/>
      <c r="D76" s="154"/>
      <c r="E76" s="154"/>
      <c r="F76" s="154"/>
      <c r="G76" s="154"/>
      <c r="H76" s="154"/>
      <c r="I76" s="154"/>
      <c r="J76" s="154"/>
      <c r="K76" s="155"/>
      <c r="L76" s="155"/>
      <c r="M76" s="155"/>
      <c r="N76" s="154"/>
      <c r="O76" s="154"/>
      <c r="P76" s="154"/>
    </row>
    <row r="77" spans="1:16" ht="21.75" customHeight="1" x14ac:dyDescent="0.25">
      <c r="A77" s="154"/>
      <c r="B77" s="154"/>
      <c r="C77" s="154"/>
      <c r="D77" s="154"/>
      <c r="E77" s="154"/>
      <c r="F77" s="154"/>
      <c r="G77" s="154"/>
      <c r="H77" s="154"/>
      <c r="I77" s="154"/>
      <c r="J77" s="154"/>
      <c r="K77" s="155"/>
      <c r="L77" s="155"/>
      <c r="M77" s="155"/>
      <c r="N77" s="154"/>
      <c r="O77" s="154"/>
      <c r="P77" s="154"/>
    </row>
    <row r="78" spans="1:16" ht="21.75" customHeight="1" x14ac:dyDescent="0.25">
      <c r="A78" s="154"/>
      <c r="B78" s="154"/>
      <c r="C78" s="154"/>
      <c r="D78" s="154"/>
      <c r="E78" s="154"/>
      <c r="F78" s="154"/>
      <c r="G78" s="154"/>
      <c r="H78" s="154"/>
      <c r="I78" s="154"/>
      <c r="J78" s="154"/>
      <c r="K78" s="155"/>
      <c r="L78" s="155"/>
      <c r="M78" s="155"/>
      <c r="N78" s="154"/>
      <c r="O78" s="154"/>
      <c r="P78" s="154"/>
    </row>
    <row r="79" spans="1:16" ht="21.75" customHeight="1" x14ac:dyDescent="0.25">
      <c r="A79" s="154"/>
      <c r="B79" s="154"/>
      <c r="C79" s="154"/>
      <c r="D79" s="154"/>
      <c r="E79" s="154"/>
      <c r="F79" s="154"/>
      <c r="G79" s="154"/>
      <c r="H79" s="154"/>
      <c r="I79" s="154"/>
      <c r="J79" s="154"/>
      <c r="K79" s="155"/>
      <c r="L79" s="155"/>
      <c r="M79" s="155"/>
      <c r="N79" s="154"/>
      <c r="O79" s="154"/>
      <c r="P79" s="154"/>
    </row>
    <row r="80" spans="1:16" ht="21.75" customHeight="1" x14ac:dyDescent="0.25">
      <c r="A80" s="154"/>
      <c r="B80" s="154"/>
      <c r="C80" s="154"/>
      <c r="D80" s="154"/>
      <c r="E80" s="154"/>
      <c r="F80" s="154"/>
      <c r="G80" s="154"/>
      <c r="H80" s="154"/>
      <c r="I80" s="154"/>
      <c r="J80" s="154"/>
      <c r="K80" s="155"/>
      <c r="L80" s="155"/>
      <c r="M80" s="155"/>
      <c r="N80" s="154"/>
      <c r="O80" s="154"/>
      <c r="P80" s="154"/>
    </row>
    <row r="81" spans="1:16" ht="21.75" customHeight="1" x14ac:dyDescent="0.25">
      <c r="A81" s="154"/>
      <c r="B81" s="154"/>
      <c r="C81" s="154"/>
      <c r="D81" s="154"/>
      <c r="E81" s="154"/>
      <c r="F81" s="154"/>
      <c r="G81" s="154"/>
      <c r="H81" s="154"/>
      <c r="I81" s="154"/>
      <c r="J81" s="154"/>
      <c r="K81" s="155"/>
      <c r="L81" s="155"/>
      <c r="M81" s="155"/>
      <c r="N81" s="154"/>
      <c r="O81" s="154"/>
      <c r="P81" s="154"/>
    </row>
    <row r="82" spans="1:16" ht="21.75" customHeight="1" x14ac:dyDescent="0.25">
      <c r="A82" s="154"/>
      <c r="B82" s="154"/>
      <c r="C82" s="154"/>
      <c r="D82" s="154"/>
      <c r="E82" s="154"/>
      <c r="F82" s="154"/>
      <c r="G82" s="154"/>
      <c r="H82" s="154"/>
      <c r="I82" s="154"/>
      <c r="J82" s="154"/>
      <c r="K82" s="155"/>
      <c r="L82" s="155"/>
      <c r="M82" s="155"/>
      <c r="N82" s="154"/>
      <c r="O82" s="154"/>
      <c r="P82" s="154"/>
    </row>
    <row r="83" spans="1:16" ht="21.75" customHeight="1" x14ac:dyDescent="0.25">
      <c r="A83" s="154"/>
      <c r="B83" s="154"/>
      <c r="C83" s="154"/>
      <c r="D83" s="154"/>
      <c r="E83" s="154"/>
      <c r="F83" s="154"/>
      <c r="G83" s="154"/>
      <c r="H83" s="154"/>
      <c r="I83" s="154"/>
      <c r="J83" s="154"/>
      <c r="K83" s="155"/>
      <c r="L83" s="155"/>
      <c r="M83" s="155"/>
      <c r="N83" s="154"/>
      <c r="O83" s="154"/>
      <c r="P83" s="154"/>
    </row>
    <row r="84" spans="1:16" ht="21.75" customHeight="1" x14ac:dyDescent="0.25">
      <c r="A84" s="154"/>
      <c r="B84" s="154"/>
      <c r="C84" s="154"/>
      <c r="D84" s="154"/>
      <c r="E84" s="154"/>
      <c r="F84" s="154"/>
      <c r="G84" s="154"/>
      <c r="H84" s="154"/>
      <c r="I84" s="154"/>
      <c r="J84" s="154"/>
      <c r="K84" s="155"/>
      <c r="L84" s="155"/>
      <c r="M84" s="155"/>
      <c r="N84" s="154"/>
      <c r="O84" s="154"/>
      <c r="P84" s="154"/>
    </row>
    <row r="85" spans="1:16" ht="21.75" customHeight="1" x14ac:dyDescent="0.25">
      <c r="A85" s="154"/>
      <c r="B85" s="154"/>
      <c r="C85" s="154"/>
      <c r="D85" s="154"/>
      <c r="E85" s="154"/>
      <c r="F85" s="154"/>
      <c r="G85" s="154"/>
      <c r="H85" s="154"/>
      <c r="I85" s="154"/>
      <c r="J85" s="154"/>
      <c r="K85" s="155"/>
      <c r="L85" s="155"/>
      <c r="M85" s="155"/>
      <c r="N85" s="154"/>
      <c r="O85" s="154"/>
      <c r="P85" s="154"/>
    </row>
    <row r="86" spans="1:16" ht="21.75" customHeight="1" x14ac:dyDescent="0.25">
      <c r="A86" s="154"/>
      <c r="B86" s="154"/>
      <c r="C86" s="154"/>
      <c r="D86" s="154"/>
      <c r="E86" s="154"/>
      <c r="F86" s="154"/>
      <c r="G86" s="154"/>
      <c r="H86" s="154"/>
      <c r="I86" s="154"/>
      <c r="J86" s="154"/>
      <c r="K86" s="155"/>
      <c r="L86" s="155"/>
      <c r="M86" s="155"/>
      <c r="N86" s="154"/>
      <c r="O86" s="154"/>
      <c r="P86" s="154"/>
    </row>
    <row r="87" spans="1:16" ht="21.75" customHeight="1" x14ac:dyDescent="0.25">
      <c r="A87" s="154"/>
      <c r="B87" s="154"/>
      <c r="C87" s="154"/>
      <c r="D87" s="154"/>
      <c r="E87" s="154"/>
      <c r="F87" s="154"/>
      <c r="G87" s="154"/>
      <c r="H87" s="154"/>
      <c r="I87" s="154"/>
      <c r="J87" s="154"/>
      <c r="K87" s="155"/>
      <c r="L87" s="155"/>
      <c r="M87" s="155"/>
      <c r="N87" s="154"/>
      <c r="O87" s="154"/>
      <c r="P87" s="154"/>
    </row>
    <row r="88" spans="1:16" ht="21.75" customHeight="1" x14ac:dyDescent="0.25">
      <c r="A88" s="154"/>
      <c r="B88" s="154"/>
      <c r="C88" s="154"/>
      <c r="D88" s="154"/>
      <c r="E88" s="154"/>
      <c r="F88" s="154"/>
      <c r="G88" s="154"/>
      <c r="H88" s="154"/>
      <c r="I88" s="154"/>
      <c r="J88" s="154"/>
      <c r="K88" s="155"/>
      <c r="L88" s="155"/>
      <c r="M88" s="155"/>
      <c r="N88" s="154"/>
      <c r="O88" s="154"/>
      <c r="P88" s="154"/>
    </row>
    <row r="89" spans="1:16" ht="21.75" customHeight="1" x14ac:dyDescent="0.25">
      <c r="A89" s="154"/>
      <c r="B89" s="154"/>
      <c r="C89" s="154"/>
      <c r="D89" s="154"/>
      <c r="E89" s="154"/>
      <c r="F89" s="154"/>
      <c r="G89" s="154"/>
      <c r="H89" s="154"/>
      <c r="I89" s="154"/>
      <c r="J89" s="154"/>
      <c r="K89" s="155"/>
      <c r="L89" s="155"/>
      <c r="M89" s="155"/>
      <c r="N89" s="154"/>
      <c r="O89" s="154"/>
      <c r="P89" s="154"/>
    </row>
    <row r="90" spans="1:16" ht="21.75" customHeight="1" x14ac:dyDescent="0.25">
      <c r="A90" s="154"/>
      <c r="B90" s="154"/>
      <c r="C90" s="154"/>
      <c r="D90" s="154"/>
      <c r="E90" s="154"/>
      <c r="F90" s="154"/>
      <c r="G90" s="154"/>
      <c r="H90" s="154"/>
      <c r="I90" s="154"/>
      <c r="J90" s="154"/>
      <c r="K90" s="155"/>
      <c r="L90" s="155"/>
      <c r="M90" s="155"/>
      <c r="N90" s="154"/>
      <c r="O90" s="154"/>
      <c r="P90" s="154"/>
    </row>
    <row r="91" spans="1:16" ht="21.75" customHeight="1" x14ac:dyDescent="0.25">
      <c r="A91" s="154"/>
      <c r="B91" s="154"/>
      <c r="C91" s="154"/>
      <c r="D91" s="154"/>
      <c r="E91" s="154"/>
      <c r="F91" s="154"/>
      <c r="G91" s="154"/>
      <c r="H91" s="154"/>
      <c r="I91" s="154"/>
      <c r="J91" s="154"/>
      <c r="K91" s="155"/>
      <c r="L91" s="155"/>
      <c r="M91" s="155"/>
      <c r="N91" s="154"/>
      <c r="O91" s="154"/>
      <c r="P91" s="154"/>
    </row>
    <row r="92" spans="1:16" ht="21.75" customHeight="1" x14ac:dyDescent="0.25">
      <c r="A92" s="154"/>
      <c r="B92" s="154"/>
      <c r="C92" s="154"/>
      <c r="D92" s="154"/>
      <c r="E92" s="154"/>
      <c r="F92" s="154"/>
      <c r="G92" s="154"/>
      <c r="H92" s="154"/>
      <c r="I92" s="154"/>
      <c r="J92" s="154"/>
      <c r="K92" s="155"/>
      <c r="L92" s="155"/>
      <c r="M92" s="155"/>
      <c r="N92" s="154"/>
      <c r="O92" s="154"/>
      <c r="P92" s="154"/>
    </row>
    <row r="93" spans="1:16" ht="21.75" customHeight="1" x14ac:dyDescent="0.25">
      <c r="A93" s="154"/>
      <c r="B93" s="154"/>
      <c r="C93" s="154"/>
      <c r="D93" s="154"/>
      <c r="E93" s="154"/>
      <c r="F93" s="154"/>
      <c r="G93" s="154"/>
      <c r="H93" s="154"/>
      <c r="I93" s="154"/>
      <c r="J93" s="154"/>
      <c r="K93" s="155"/>
      <c r="L93" s="155"/>
      <c r="M93" s="155"/>
      <c r="N93" s="154"/>
      <c r="O93" s="154"/>
      <c r="P93" s="154"/>
    </row>
    <row r="94" spans="1:16" ht="21.75" customHeight="1" x14ac:dyDescent="0.25">
      <c r="A94" s="154"/>
      <c r="B94" s="154"/>
      <c r="C94" s="154"/>
      <c r="D94" s="154"/>
      <c r="E94" s="154"/>
      <c r="F94" s="154"/>
      <c r="G94" s="154"/>
      <c r="H94" s="154"/>
      <c r="I94" s="154"/>
      <c r="J94" s="154"/>
      <c r="K94" s="155"/>
      <c r="L94" s="155"/>
      <c r="M94" s="155"/>
      <c r="N94" s="154"/>
      <c r="O94" s="154"/>
      <c r="P94" s="154"/>
    </row>
    <row r="95" spans="1:16" ht="21.75" customHeight="1" x14ac:dyDescent="0.25">
      <c r="A95" s="154"/>
      <c r="B95" s="154"/>
      <c r="C95" s="154"/>
      <c r="D95" s="154"/>
      <c r="E95" s="154"/>
      <c r="F95" s="154"/>
      <c r="G95" s="154"/>
      <c r="H95" s="154"/>
      <c r="I95" s="154"/>
      <c r="J95" s="154"/>
      <c r="K95" s="155"/>
      <c r="L95" s="155"/>
      <c r="M95" s="155"/>
      <c r="N95" s="154"/>
      <c r="O95" s="154"/>
      <c r="P95" s="154"/>
    </row>
    <row r="96" spans="1:16" ht="21.75" customHeight="1" x14ac:dyDescent="0.25">
      <c r="A96" s="154"/>
      <c r="B96" s="154"/>
      <c r="C96" s="154"/>
      <c r="D96" s="154"/>
      <c r="E96" s="154"/>
      <c r="F96" s="154"/>
      <c r="G96" s="154"/>
      <c r="H96" s="154"/>
      <c r="I96" s="154"/>
      <c r="J96" s="154"/>
      <c r="K96" s="155"/>
      <c r="L96" s="155"/>
      <c r="M96" s="155"/>
      <c r="N96" s="154"/>
      <c r="O96" s="154"/>
      <c r="P96" s="154"/>
    </row>
    <row r="97" spans="1:16" ht="21.75" customHeight="1" x14ac:dyDescent="0.25">
      <c r="A97" s="154"/>
      <c r="B97" s="154"/>
      <c r="C97" s="154"/>
      <c r="D97" s="154"/>
      <c r="E97" s="154"/>
      <c r="F97" s="154"/>
      <c r="G97" s="154"/>
      <c r="H97" s="154"/>
      <c r="I97" s="154"/>
      <c r="J97" s="154"/>
      <c r="K97" s="155"/>
      <c r="L97" s="155"/>
      <c r="M97" s="155"/>
      <c r="N97" s="154"/>
      <c r="O97" s="154"/>
      <c r="P97" s="154"/>
    </row>
    <row r="98" spans="1:16" ht="21.75" customHeight="1" x14ac:dyDescent="0.25">
      <c r="A98" s="154"/>
      <c r="B98" s="154"/>
      <c r="C98" s="154"/>
      <c r="D98" s="154"/>
      <c r="E98" s="154"/>
      <c r="F98" s="154"/>
      <c r="G98" s="154"/>
      <c r="H98" s="154"/>
      <c r="I98" s="154"/>
      <c r="J98" s="154"/>
      <c r="K98" s="155"/>
      <c r="L98" s="155"/>
      <c r="M98" s="155"/>
      <c r="N98" s="154"/>
      <c r="O98" s="154"/>
      <c r="P98" s="154"/>
    </row>
    <row r="99" spans="1:16" ht="21.75" customHeight="1" x14ac:dyDescent="0.25">
      <c r="A99" s="154"/>
      <c r="B99" s="154"/>
      <c r="C99" s="154"/>
      <c r="D99" s="154"/>
      <c r="E99" s="154"/>
      <c r="F99" s="154"/>
      <c r="G99" s="154"/>
      <c r="H99" s="154"/>
      <c r="I99" s="154"/>
      <c r="J99" s="154"/>
      <c r="K99" s="155"/>
      <c r="L99" s="155"/>
      <c r="M99" s="155"/>
      <c r="N99" s="154"/>
      <c r="O99" s="154"/>
      <c r="P99" s="154"/>
    </row>
    <row r="100" spans="1:16" ht="21.75" customHeight="1" x14ac:dyDescent="0.25">
      <c r="A100" s="154"/>
      <c r="B100" s="154"/>
      <c r="C100" s="154"/>
      <c r="D100" s="154"/>
      <c r="E100" s="154"/>
      <c r="F100" s="154"/>
      <c r="G100" s="154"/>
      <c r="H100" s="154"/>
      <c r="I100" s="154"/>
      <c r="J100" s="154"/>
      <c r="K100" s="155"/>
      <c r="L100" s="155"/>
      <c r="M100" s="155"/>
      <c r="N100" s="154"/>
      <c r="O100" s="154"/>
      <c r="P100" s="154"/>
    </row>
    <row r="101" spans="1:16" ht="21.75" customHeight="1" x14ac:dyDescent="0.25">
      <c r="A101" s="154"/>
      <c r="B101" s="154"/>
      <c r="C101" s="154"/>
      <c r="D101" s="154"/>
      <c r="E101" s="154"/>
      <c r="F101" s="154"/>
      <c r="G101" s="154"/>
      <c r="H101" s="154"/>
      <c r="I101" s="154"/>
      <c r="J101" s="154"/>
      <c r="K101" s="155"/>
      <c r="L101" s="155"/>
      <c r="M101" s="155"/>
      <c r="N101" s="154"/>
      <c r="O101" s="154"/>
      <c r="P101" s="154"/>
    </row>
    <row r="102" spans="1:16" ht="21.75" customHeight="1" x14ac:dyDescent="0.25">
      <c r="A102" s="154"/>
      <c r="B102" s="154"/>
      <c r="C102" s="154"/>
      <c r="D102" s="154"/>
      <c r="E102" s="154"/>
      <c r="F102" s="154"/>
      <c r="G102" s="154"/>
      <c r="H102" s="154"/>
      <c r="I102" s="154"/>
      <c r="J102" s="154"/>
      <c r="K102" s="155"/>
      <c r="L102" s="155"/>
      <c r="M102" s="155"/>
      <c r="N102" s="154"/>
      <c r="O102" s="154"/>
      <c r="P102" s="154"/>
    </row>
    <row r="103" spans="1:16" ht="21.75" customHeight="1" x14ac:dyDescent="0.25">
      <c r="A103" s="154"/>
      <c r="B103" s="154"/>
      <c r="C103" s="154"/>
      <c r="D103" s="154"/>
      <c r="E103" s="154"/>
      <c r="F103" s="154"/>
      <c r="G103" s="154"/>
      <c r="H103" s="154"/>
      <c r="I103" s="154"/>
      <c r="J103" s="154"/>
      <c r="K103" s="155"/>
      <c r="L103" s="155"/>
      <c r="M103" s="155"/>
      <c r="N103" s="154"/>
      <c r="O103" s="154"/>
      <c r="P103" s="154"/>
    </row>
    <row r="104" spans="1:16" ht="21.75" customHeight="1" x14ac:dyDescent="0.25">
      <c r="A104" s="154"/>
      <c r="B104" s="154"/>
      <c r="C104" s="154"/>
      <c r="D104" s="154"/>
      <c r="E104" s="154"/>
      <c r="F104" s="154"/>
      <c r="G104" s="154"/>
      <c r="H104" s="154"/>
      <c r="I104" s="154"/>
      <c r="J104" s="154"/>
      <c r="K104" s="155"/>
      <c r="L104" s="155"/>
      <c r="M104" s="155"/>
      <c r="N104" s="154"/>
      <c r="O104" s="154"/>
      <c r="P104" s="154"/>
    </row>
    <row r="105" spans="1:16" ht="21.75" customHeight="1" x14ac:dyDescent="0.25">
      <c r="A105" s="154"/>
      <c r="B105" s="154"/>
      <c r="C105" s="154"/>
      <c r="D105" s="154"/>
      <c r="E105" s="154"/>
      <c r="F105" s="154"/>
      <c r="G105" s="154"/>
      <c r="H105" s="154"/>
      <c r="I105" s="154"/>
      <c r="J105" s="154"/>
      <c r="K105" s="155"/>
      <c r="L105" s="155"/>
      <c r="M105" s="155"/>
      <c r="N105" s="154"/>
      <c r="O105" s="154"/>
      <c r="P105" s="154"/>
    </row>
    <row r="106" spans="1:16" ht="21.75" customHeight="1" x14ac:dyDescent="0.25">
      <c r="A106" s="154"/>
      <c r="B106" s="154"/>
      <c r="C106" s="154"/>
      <c r="D106" s="154"/>
      <c r="E106" s="154"/>
      <c r="F106" s="154"/>
      <c r="G106" s="154"/>
      <c r="H106" s="154"/>
      <c r="I106" s="154"/>
      <c r="J106" s="154"/>
      <c r="K106" s="155"/>
      <c r="L106" s="155"/>
      <c r="M106" s="155"/>
      <c r="N106" s="154"/>
      <c r="O106" s="154"/>
      <c r="P106" s="154"/>
    </row>
    <row r="107" spans="1:16" ht="21.75" customHeight="1" x14ac:dyDescent="0.25">
      <c r="A107" s="154"/>
      <c r="B107" s="154"/>
      <c r="C107" s="154"/>
      <c r="D107" s="154"/>
      <c r="E107" s="154"/>
      <c r="F107" s="154"/>
      <c r="G107" s="154"/>
      <c r="H107" s="154"/>
      <c r="I107" s="154"/>
      <c r="J107" s="154"/>
      <c r="K107" s="155"/>
      <c r="L107" s="155"/>
      <c r="M107" s="155"/>
      <c r="N107" s="154"/>
      <c r="O107" s="154"/>
      <c r="P107" s="154"/>
    </row>
    <row r="108" spans="1:16" ht="21.75" customHeight="1" x14ac:dyDescent="0.25">
      <c r="A108" s="154"/>
      <c r="B108" s="154"/>
      <c r="C108" s="154"/>
      <c r="D108" s="154"/>
      <c r="E108" s="154"/>
      <c r="F108" s="154"/>
      <c r="G108" s="154"/>
      <c r="H108" s="154"/>
      <c r="I108" s="154"/>
      <c r="J108" s="154"/>
      <c r="K108" s="155"/>
      <c r="L108" s="155"/>
      <c r="M108" s="155"/>
      <c r="N108" s="154"/>
      <c r="O108" s="154"/>
      <c r="P108" s="154"/>
    </row>
    <row r="109" spans="1:16" ht="21.75" customHeight="1" x14ac:dyDescent="0.25">
      <c r="A109" s="154"/>
      <c r="B109" s="154"/>
      <c r="C109" s="154"/>
      <c r="D109" s="154"/>
      <c r="E109" s="154"/>
      <c r="F109" s="154"/>
      <c r="G109" s="154"/>
      <c r="H109" s="154"/>
      <c r="I109" s="154"/>
      <c r="J109" s="154"/>
      <c r="K109" s="155"/>
      <c r="L109" s="155"/>
      <c r="M109" s="155"/>
      <c r="N109" s="154"/>
      <c r="O109" s="154"/>
      <c r="P109" s="154"/>
    </row>
    <row r="110" spans="1:16" ht="21.75" customHeight="1" x14ac:dyDescent="0.25">
      <c r="A110" s="154"/>
      <c r="B110" s="154"/>
      <c r="C110" s="154"/>
      <c r="D110" s="154"/>
      <c r="E110" s="154"/>
      <c r="F110" s="154"/>
      <c r="G110" s="154"/>
      <c r="H110" s="154"/>
      <c r="I110" s="154"/>
      <c r="J110" s="154"/>
      <c r="K110" s="155"/>
      <c r="L110" s="155"/>
      <c r="M110" s="155"/>
      <c r="N110" s="154"/>
      <c r="O110" s="154"/>
      <c r="P110" s="154"/>
    </row>
    <row r="111" spans="1:16" ht="21.75" customHeight="1" x14ac:dyDescent="0.25">
      <c r="A111" s="154"/>
      <c r="B111" s="154"/>
      <c r="C111" s="154"/>
      <c r="D111" s="154"/>
      <c r="E111" s="154"/>
      <c r="F111" s="154"/>
      <c r="G111" s="154"/>
      <c r="H111" s="154"/>
      <c r="I111" s="154"/>
      <c r="J111" s="154"/>
      <c r="K111" s="155"/>
      <c r="L111" s="155"/>
      <c r="M111" s="155"/>
      <c r="N111" s="154"/>
      <c r="O111" s="154"/>
      <c r="P111" s="154"/>
    </row>
    <row r="112" spans="1:16" ht="21.75" customHeight="1" x14ac:dyDescent="0.25">
      <c r="A112" s="154"/>
      <c r="B112" s="154"/>
      <c r="C112" s="154"/>
      <c r="D112" s="154"/>
      <c r="E112" s="154"/>
      <c r="F112" s="154"/>
      <c r="G112" s="154"/>
      <c r="H112" s="154"/>
      <c r="I112" s="154"/>
      <c r="J112" s="154"/>
      <c r="K112" s="155"/>
      <c r="L112" s="155"/>
      <c r="M112" s="155"/>
      <c r="N112" s="154"/>
      <c r="O112" s="154"/>
      <c r="P112" s="154"/>
    </row>
    <row r="113" spans="1:16" ht="21.75" customHeight="1" x14ac:dyDescent="0.25">
      <c r="A113" s="154"/>
      <c r="B113" s="154"/>
      <c r="C113" s="154"/>
      <c r="D113" s="154"/>
      <c r="E113" s="154"/>
      <c r="F113" s="154"/>
      <c r="G113" s="154"/>
      <c r="H113" s="154"/>
      <c r="I113" s="154"/>
      <c r="J113" s="154"/>
      <c r="K113" s="155"/>
      <c r="L113" s="155"/>
      <c r="M113" s="155"/>
      <c r="N113" s="154"/>
      <c r="O113" s="154"/>
      <c r="P113" s="154"/>
    </row>
    <row r="114" spans="1:16" ht="21.75" customHeight="1" x14ac:dyDescent="0.25">
      <c r="A114" s="154"/>
      <c r="B114" s="154"/>
      <c r="C114" s="154"/>
      <c r="D114" s="154"/>
      <c r="E114" s="154"/>
      <c r="F114" s="154"/>
      <c r="G114" s="154"/>
      <c r="H114" s="154"/>
      <c r="I114" s="154"/>
      <c r="J114" s="154"/>
      <c r="K114" s="155"/>
      <c r="L114" s="155"/>
      <c r="M114" s="155"/>
      <c r="N114" s="154"/>
      <c r="O114" s="154"/>
      <c r="P114" s="154"/>
    </row>
    <row r="115" spans="1:16" ht="21.75" customHeight="1" x14ac:dyDescent="0.25">
      <c r="A115" s="154"/>
      <c r="B115" s="154"/>
      <c r="C115" s="154"/>
      <c r="D115" s="154"/>
      <c r="E115" s="154"/>
      <c r="F115" s="154"/>
      <c r="G115" s="154"/>
      <c r="H115" s="154"/>
      <c r="I115" s="154"/>
      <c r="J115" s="154"/>
      <c r="K115" s="155"/>
      <c r="L115" s="155"/>
      <c r="M115" s="155"/>
      <c r="N115" s="154"/>
      <c r="O115" s="154"/>
      <c r="P115" s="154"/>
    </row>
    <row r="116" spans="1:16" ht="21.75" customHeight="1" x14ac:dyDescent="0.25">
      <c r="A116" s="154"/>
      <c r="B116" s="154"/>
      <c r="C116" s="154"/>
      <c r="D116" s="154"/>
      <c r="E116" s="154"/>
      <c r="F116" s="154"/>
      <c r="G116" s="154"/>
      <c r="H116" s="154"/>
      <c r="I116" s="154"/>
      <c r="J116" s="154"/>
      <c r="K116" s="155"/>
      <c r="L116" s="155"/>
      <c r="M116" s="155"/>
      <c r="N116" s="154"/>
      <c r="O116" s="154"/>
      <c r="P116" s="154"/>
    </row>
    <row r="117" spans="1:16" ht="21.75" customHeight="1" x14ac:dyDescent="0.25">
      <c r="A117" s="154"/>
      <c r="B117" s="154"/>
      <c r="C117" s="154"/>
      <c r="D117" s="154"/>
      <c r="E117" s="154"/>
      <c r="F117" s="154"/>
      <c r="G117" s="154"/>
      <c r="H117" s="154"/>
      <c r="I117" s="154"/>
      <c r="J117" s="154"/>
      <c r="K117" s="155"/>
      <c r="L117" s="155"/>
      <c r="M117" s="155"/>
      <c r="N117" s="154"/>
      <c r="O117" s="154"/>
      <c r="P117" s="154"/>
    </row>
    <row r="118" spans="1:16" ht="21.75" customHeight="1" x14ac:dyDescent="0.25">
      <c r="A118" s="154"/>
      <c r="B118" s="154"/>
      <c r="C118" s="154"/>
      <c r="D118" s="154"/>
      <c r="E118" s="154"/>
      <c r="F118" s="154"/>
      <c r="G118" s="154"/>
      <c r="H118" s="154"/>
      <c r="I118" s="154"/>
      <c r="J118" s="154"/>
      <c r="K118" s="155"/>
      <c r="L118" s="155"/>
      <c r="M118" s="155"/>
      <c r="N118" s="154"/>
      <c r="O118" s="154"/>
      <c r="P118" s="154"/>
    </row>
    <row r="119" spans="1:16" ht="21.75" customHeight="1" x14ac:dyDescent="0.25">
      <c r="A119" s="154"/>
      <c r="B119" s="154"/>
      <c r="C119" s="154"/>
      <c r="D119" s="154"/>
      <c r="E119" s="154"/>
      <c r="F119" s="154"/>
      <c r="G119" s="154"/>
      <c r="H119" s="154"/>
      <c r="I119" s="154"/>
      <c r="J119" s="154"/>
      <c r="K119" s="155"/>
      <c r="L119" s="155"/>
      <c r="M119" s="155"/>
      <c r="N119" s="154"/>
      <c r="O119" s="154"/>
      <c r="P119" s="154"/>
    </row>
    <row r="120" spans="1:16" ht="21.75" customHeight="1" x14ac:dyDescent="0.25">
      <c r="A120" s="154"/>
      <c r="B120" s="154"/>
      <c r="C120" s="154"/>
      <c r="D120" s="154"/>
      <c r="E120" s="154"/>
      <c r="F120" s="154"/>
      <c r="G120" s="154"/>
      <c r="H120" s="154"/>
      <c r="I120" s="154"/>
      <c r="J120" s="154"/>
      <c r="K120" s="155"/>
      <c r="L120" s="155"/>
      <c r="M120" s="155"/>
      <c r="N120" s="154"/>
      <c r="O120" s="154"/>
      <c r="P120" s="154"/>
    </row>
    <row r="121" spans="1:16" ht="21.75" customHeight="1" x14ac:dyDescent="0.25">
      <c r="A121" s="154"/>
      <c r="B121" s="154"/>
      <c r="C121" s="154"/>
      <c r="D121" s="154"/>
      <c r="E121" s="154"/>
      <c r="F121" s="154"/>
      <c r="G121" s="154"/>
      <c r="H121" s="154"/>
      <c r="I121" s="154"/>
      <c r="J121" s="154"/>
      <c r="K121" s="155"/>
      <c r="L121" s="155"/>
      <c r="M121" s="155"/>
      <c r="N121" s="154"/>
      <c r="O121" s="154"/>
      <c r="P121" s="154"/>
    </row>
    <row r="122" spans="1:16" ht="21.75" customHeight="1" x14ac:dyDescent="0.25">
      <c r="A122" s="154"/>
      <c r="B122" s="154"/>
      <c r="C122" s="154"/>
      <c r="D122" s="154"/>
      <c r="E122" s="154"/>
      <c r="F122" s="154"/>
      <c r="G122" s="154"/>
      <c r="H122" s="154"/>
      <c r="I122" s="154"/>
      <c r="J122" s="154"/>
      <c r="K122" s="155"/>
      <c r="L122" s="155"/>
      <c r="M122" s="155"/>
      <c r="N122" s="154"/>
      <c r="O122" s="154"/>
      <c r="P122" s="154"/>
    </row>
    <row r="123" spans="1:16" ht="21.75" customHeight="1" x14ac:dyDescent="0.25">
      <c r="A123" s="154"/>
      <c r="B123" s="154"/>
      <c r="C123" s="154"/>
      <c r="D123" s="154"/>
      <c r="E123" s="154"/>
      <c r="F123" s="154"/>
      <c r="G123" s="154"/>
      <c r="H123" s="154"/>
      <c r="I123" s="154"/>
      <c r="J123" s="154"/>
      <c r="K123" s="155"/>
      <c r="L123" s="155"/>
      <c r="M123" s="155"/>
      <c r="N123" s="154"/>
      <c r="O123" s="154"/>
      <c r="P123" s="154"/>
    </row>
    <row r="124" spans="1:16" ht="21.75" customHeight="1" x14ac:dyDescent="0.25">
      <c r="A124" s="154"/>
      <c r="B124" s="154"/>
      <c r="C124" s="154"/>
      <c r="D124" s="154"/>
      <c r="E124" s="154"/>
      <c r="F124" s="154"/>
      <c r="G124" s="154"/>
      <c r="H124" s="154"/>
      <c r="I124" s="154"/>
      <c r="J124" s="154"/>
      <c r="K124" s="155"/>
      <c r="L124" s="155"/>
      <c r="M124" s="155"/>
      <c r="N124" s="154"/>
      <c r="O124" s="154"/>
      <c r="P124" s="154"/>
    </row>
    <row r="125" spans="1:16" ht="21.75" customHeight="1" x14ac:dyDescent="0.25">
      <c r="A125" s="154"/>
      <c r="B125" s="154"/>
      <c r="C125" s="154"/>
      <c r="D125" s="154"/>
      <c r="E125" s="154"/>
      <c r="F125" s="154"/>
      <c r="G125" s="154"/>
      <c r="H125" s="154"/>
      <c r="I125" s="154"/>
      <c r="J125" s="154"/>
      <c r="K125" s="155"/>
      <c r="L125" s="155"/>
      <c r="M125" s="155"/>
      <c r="N125" s="154"/>
      <c r="O125" s="154"/>
      <c r="P125" s="154"/>
    </row>
    <row r="126" spans="1:16" ht="21.75" customHeight="1" x14ac:dyDescent="0.25">
      <c r="A126" s="154"/>
      <c r="B126" s="154"/>
      <c r="C126" s="154"/>
      <c r="D126" s="154"/>
      <c r="E126" s="154"/>
      <c r="F126" s="154"/>
      <c r="G126" s="154"/>
      <c r="H126" s="154"/>
      <c r="I126" s="154"/>
      <c r="J126" s="154"/>
      <c r="K126" s="155"/>
      <c r="L126" s="155"/>
      <c r="M126" s="155"/>
      <c r="N126" s="154"/>
      <c r="O126" s="154"/>
      <c r="P126" s="154"/>
    </row>
    <row r="127" spans="1:16" ht="21.75" customHeight="1" x14ac:dyDescent="0.25">
      <c r="A127" s="154"/>
      <c r="B127" s="154"/>
      <c r="C127" s="154"/>
      <c r="D127" s="154"/>
      <c r="E127" s="154"/>
      <c r="F127" s="154"/>
      <c r="G127" s="154"/>
      <c r="H127" s="154"/>
      <c r="I127" s="154"/>
      <c r="J127" s="154"/>
      <c r="K127" s="155"/>
      <c r="L127" s="155"/>
      <c r="M127" s="155"/>
      <c r="N127" s="154"/>
      <c r="O127" s="154"/>
      <c r="P127" s="154"/>
    </row>
    <row r="128" spans="1:16" ht="21.75" customHeight="1" x14ac:dyDescent="0.25">
      <c r="A128" s="154"/>
      <c r="B128" s="154"/>
      <c r="C128" s="154"/>
      <c r="D128" s="154"/>
      <c r="E128" s="154"/>
      <c r="F128" s="154"/>
      <c r="G128" s="154"/>
      <c r="H128" s="154"/>
      <c r="I128" s="154"/>
      <c r="J128" s="154"/>
      <c r="K128" s="155"/>
      <c r="L128" s="155"/>
      <c r="M128" s="155"/>
      <c r="N128" s="154"/>
      <c r="O128" s="154"/>
      <c r="P128" s="154"/>
    </row>
    <row r="129" spans="1:16" ht="21.75" customHeight="1" x14ac:dyDescent="0.25">
      <c r="A129" s="154"/>
      <c r="B129" s="154"/>
      <c r="C129" s="154"/>
      <c r="D129" s="154"/>
      <c r="E129" s="154"/>
      <c r="F129" s="154"/>
      <c r="G129" s="154"/>
      <c r="H129" s="154"/>
      <c r="I129" s="154"/>
      <c r="J129" s="154"/>
      <c r="K129" s="155"/>
      <c r="L129" s="155"/>
      <c r="M129" s="155"/>
      <c r="N129" s="154"/>
      <c r="O129" s="154"/>
      <c r="P129" s="154"/>
    </row>
    <row r="130" spans="1:16" ht="21.75" customHeight="1" x14ac:dyDescent="0.25">
      <c r="A130" s="154"/>
      <c r="B130" s="154"/>
      <c r="C130" s="154"/>
      <c r="D130" s="154"/>
      <c r="E130" s="154"/>
      <c r="F130" s="154"/>
      <c r="G130" s="154"/>
      <c r="H130" s="154"/>
      <c r="I130" s="154"/>
      <c r="J130" s="154"/>
      <c r="K130" s="155"/>
      <c r="L130" s="155"/>
      <c r="M130" s="155"/>
      <c r="N130" s="154"/>
      <c r="O130" s="154"/>
      <c r="P130" s="154"/>
    </row>
    <row r="131" spans="1:16" ht="21.75" customHeight="1" x14ac:dyDescent="0.25">
      <c r="A131" s="154"/>
      <c r="B131" s="154"/>
      <c r="C131" s="154"/>
      <c r="D131" s="154"/>
      <c r="E131" s="154"/>
      <c r="F131" s="154"/>
      <c r="G131" s="154"/>
      <c r="H131" s="154"/>
      <c r="I131" s="154"/>
      <c r="J131" s="154"/>
      <c r="K131" s="155"/>
      <c r="L131" s="155"/>
      <c r="M131" s="155"/>
      <c r="N131" s="154"/>
      <c r="O131" s="154"/>
      <c r="P131" s="154"/>
    </row>
    <row r="132" spans="1:16" ht="21.75" customHeight="1" x14ac:dyDescent="0.25">
      <c r="A132" s="154"/>
      <c r="B132" s="154"/>
      <c r="C132" s="154"/>
      <c r="D132" s="154"/>
      <c r="E132" s="154"/>
      <c r="F132" s="154"/>
      <c r="G132" s="154"/>
      <c r="H132" s="154"/>
      <c r="I132" s="154"/>
      <c r="J132" s="154"/>
      <c r="K132" s="155"/>
      <c r="L132" s="155"/>
      <c r="M132" s="155"/>
      <c r="N132" s="154"/>
      <c r="O132" s="154"/>
      <c r="P132" s="154"/>
    </row>
    <row r="133" spans="1:16" ht="21.75" customHeight="1" x14ac:dyDescent="0.25">
      <c r="A133" s="154"/>
      <c r="B133" s="154"/>
      <c r="C133" s="154"/>
      <c r="D133" s="154"/>
      <c r="E133" s="154"/>
      <c r="F133" s="154"/>
      <c r="G133" s="154"/>
      <c r="H133" s="154"/>
      <c r="I133" s="154"/>
      <c r="J133" s="154"/>
      <c r="K133" s="155"/>
      <c r="L133" s="155"/>
      <c r="M133" s="155"/>
      <c r="N133" s="154"/>
      <c r="O133" s="154"/>
      <c r="P133" s="154"/>
    </row>
    <row r="134" spans="1:16" ht="21.75" customHeight="1" x14ac:dyDescent="0.25">
      <c r="A134" s="154"/>
      <c r="B134" s="154"/>
      <c r="C134" s="154"/>
      <c r="D134" s="154"/>
      <c r="E134" s="154"/>
      <c r="F134" s="154"/>
      <c r="G134" s="154"/>
      <c r="H134" s="154"/>
      <c r="I134" s="154"/>
      <c r="J134" s="154"/>
      <c r="K134" s="155"/>
      <c r="L134" s="155"/>
      <c r="M134" s="155"/>
      <c r="N134" s="154"/>
      <c r="O134" s="154"/>
      <c r="P134" s="154"/>
    </row>
    <row r="135" spans="1:16" ht="21.75" customHeight="1" x14ac:dyDescent="0.25">
      <c r="A135" s="154"/>
      <c r="B135" s="154"/>
      <c r="C135" s="154"/>
      <c r="D135" s="154"/>
      <c r="E135" s="154"/>
      <c r="F135" s="154"/>
      <c r="G135" s="154"/>
      <c r="H135" s="154"/>
      <c r="I135" s="154"/>
      <c r="J135" s="154"/>
      <c r="K135" s="155"/>
      <c r="L135" s="155"/>
      <c r="M135" s="155"/>
      <c r="N135" s="154"/>
      <c r="O135" s="154"/>
      <c r="P135" s="154"/>
    </row>
    <row r="136" spans="1:16" ht="21.75" customHeight="1" x14ac:dyDescent="0.25">
      <c r="A136" s="154"/>
      <c r="B136" s="154"/>
      <c r="C136" s="154"/>
      <c r="D136" s="154"/>
      <c r="E136" s="154"/>
      <c r="F136" s="154"/>
      <c r="G136" s="154"/>
      <c r="H136" s="154"/>
      <c r="I136" s="154"/>
      <c r="J136" s="154"/>
      <c r="K136" s="155"/>
      <c r="L136" s="155"/>
      <c r="M136" s="155"/>
      <c r="N136" s="154"/>
      <c r="O136" s="154"/>
      <c r="P136" s="154"/>
    </row>
    <row r="137" spans="1:16" ht="21.75" customHeight="1" x14ac:dyDescent="0.25">
      <c r="A137" s="154"/>
      <c r="B137" s="154"/>
      <c r="C137" s="154"/>
      <c r="D137" s="154"/>
      <c r="E137" s="154"/>
      <c r="F137" s="154"/>
      <c r="G137" s="154"/>
      <c r="H137" s="154"/>
      <c r="I137" s="154"/>
      <c r="J137" s="154"/>
      <c r="K137" s="155"/>
      <c r="L137" s="155"/>
      <c r="M137" s="155"/>
      <c r="N137" s="154"/>
      <c r="O137" s="154"/>
      <c r="P137" s="154"/>
    </row>
    <row r="138" spans="1:16" ht="21.75" customHeight="1" x14ac:dyDescent="0.25">
      <c r="A138" s="154"/>
      <c r="B138" s="154"/>
      <c r="C138" s="154"/>
      <c r="D138" s="154"/>
      <c r="E138" s="154"/>
      <c r="F138" s="154"/>
      <c r="G138" s="154"/>
      <c r="H138" s="154"/>
      <c r="I138" s="154"/>
      <c r="J138" s="154"/>
      <c r="K138" s="155"/>
      <c r="L138" s="155"/>
      <c r="M138" s="155"/>
      <c r="N138" s="154"/>
      <c r="O138" s="154"/>
      <c r="P138" s="154"/>
    </row>
    <row r="139" spans="1:16" ht="21.75" customHeight="1" x14ac:dyDescent="0.25">
      <c r="A139" s="154"/>
      <c r="B139" s="154"/>
      <c r="C139" s="154"/>
      <c r="D139" s="154"/>
      <c r="E139" s="154"/>
      <c r="F139" s="154"/>
      <c r="G139" s="154"/>
      <c r="H139" s="154"/>
      <c r="I139" s="154"/>
      <c r="J139" s="154"/>
      <c r="K139" s="155"/>
      <c r="L139" s="155"/>
      <c r="M139" s="155"/>
      <c r="N139" s="154"/>
      <c r="O139" s="154"/>
      <c r="P139" s="154"/>
    </row>
    <row r="140" spans="1:16" ht="21.75" customHeight="1" x14ac:dyDescent="0.25">
      <c r="A140" s="154"/>
      <c r="B140" s="154"/>
      <c r="C140" s="154"/>
      <c r="D140" s="154"/>
      <c r="E140" s="154"/>
      <c r="F140" s="154"/>
      <c r="G140" s="154"/>
      <c r="H140" s="154"/>
      <c r="I140" s="154"/>
      <c r="J140" s="154"/>
      <c r="K140" s="155"/>
      <c r="L140" s="155"/>
      <c r="M140" s="155"/>
      <c r="N140" s="154"/>
      <c r="O140" s="154"/>
      <c r="P140" s="154"/>
    </row>
    <row r="141" spans="1:16" ht="21.75" customHeight="1" x14ac:dyDescent="0.25">
      <c r="A141" s="154"/>
      <c r="B141" s="154"/>
      <c r="C141" s="154"/>
      <c r="D141" s="154"/>
      <c r="E141" s="154"/>
      <c r="F141" s="154"/>
      <c r="G141" s="154"/>
      <c r="H141" s="154"/>
      <c r="I141" s="154"/>
      <c r="J141" s="154"/>
      <c r="K141" s="155"/>
      <c r="L141" s="155"/>
      <c r="M141" s="155"/>
      <c r="N141" s="154"/>
      <c r="O141" s="154"/>
      <c r="P141" s="154"/>
    </row>
    <row r="142" spans="1:16" ht="21.75" customHeight="1" x14ac:dyDescent="0.25">
      <c r="A142" s="154"/>
      <c r="B142" s="154"/>
      <c r="C142" s="154"/>
      <c r="D142" s="154"/>
      <c r="E142" s="154"/>
      <c r="F142" s="154"/>
      <c r="G142" s="154"/>
      <c r="H142" s="154"/>
      <c r="I142" s="154"/>
      <c r="J142" s="154"/>
      <c r="K142" s="155"/>
      <c r="L142" s="155"/>
      <c r="M142" s="155"/>
      <c r="N142" s="154"/>
      <c r="O142" s="154"/>
      <c r="P142" s="154"/>
    </row>
    <row r="143" spans="1:16" ht="21.75" customHeight="1" x14ac:dyDescent="0.25">
      <c r="A143" s="154"/>
      <c r="B143" s="154"/>
      <c r="C143" s="154"/>
      <c r="D143" s="154"/>
      <c r="E143" s="154"/>
      <c r="F143" s="154"/>
      <c r="G143" s="154"/>
      <c r="H143" s="154"/>
      <c r="I143" s="154"/>
      <c r="J143" s="154"/>
      <c r="K143" s="155"/>
      <c r="L143" s="155"/>
      <c r="M143" s="155"/>
      <c r="N143" s="154"/>
      <c r="O143" s="154"/>
      <c r="P143" s="154"/>
    </row>
    <row r="144" spans="1:16" ht="21.75" customHeight="1" x14ac:dyDescent="0.25">
      <c r="A144" s="154"/>
      <c r="B144" s="154"/>
      <c r="C144" s="154"/>
      <c r="D144" s="154"/>
      <c r="E144" s="154"/>
      <c r="F144" s="154"/>
      <c r="G144" s="154"/>
      <c r="H144" s="154"/>
      <c r="I144" s="154"/>
      <c r="J144" s="154"/>
      <c r="K144" s="155"/>
      <c r="L144" s="155"/>
      <c r="M144" s="155"/>
      <c r="N144" s="154"/>
      <c r="O144" s="154"/>
      <c r="P144" s="154"/>
    </row>
    <row r="145" spans="1:16" ht="21.75" customHeight="1" x14ac:dyDescent="0.25">
      <c r="A145" s="154"/>
      <c r="B145" s="154"/>
      <c r="C145" s="154"/>
      <c r="D145" s="154"/>
      <c r="E145" s="154"/>
      <c r="F145" s="154"/>
      <c r="G145" s="154"/>
      <c r="H145" s="154"/>
      <c r="I145" s="154"/>
      <c r="J145" s="154"/>
      <c r="K145" s="155"/>
      <c r="L145" s="155"/>
      <c r="M145" s="155"/>
      <c r="N145" s="154"/>
      <c r="O145" s="154"/>
      <c r="P145" s="154"/>
    </row>
    <row r="146" spans="1:16" ht="21.75" customHeight="1" x14ac:dyDescent="0.25">
      <c r="A146" s="154"/>
      <c r="B146" s="154"/>
      <c r="C146" s="154"/>
      <c r="D146" s="154"/>
      <c r="E146" s="154"/>
      <c r="F146" s="154"/>
      <c r="G146" s="154"/>
      <c r="H146" s="154"/>
      <c r="I146" s="154"/>
      <c r="J146" s="154"/>
      <c r="K146" s="155"/>
      <c r="L146" s="155"/>
      <c r="M146" s="155"/>
      <c r="N146" s="154"/>
      <c r="O146" s="154"/>
      <c r="P146" s="154"/>
    </row>
    <row r="147" spans="1:16" ht="21.75" customHeight="1" x14ac:dyDescent="0.25">
      <c r="A147" s="154"/>
      <c r="B147" s="154"/>
      <c r="C147" s="154"/>
      <c r="D147" s="154"/>
      <c r="E147" s="154"/>
      <c r="F147" s="154"/>
      <c r="G147" s="154"/>
      <c r="H147" s="154"/>
      <c r="I147" s="154"/>
      <c r="J147" s="154"/>
      <c r="K147" s="155"/>
      <c r="L147" s="155"/>
      <c r="M147" s="155"/>
      <c r="N147" s="154"/>
      <c r="O147" s="154"/>
      <c r="P147" s="154"/>
    </row>
    <row r="148" spans="1:16" ht="21.75" customHeight="1" x14ac:dyDescent="0.25">
      <c r="A148" s="154"/>
      <c r="B148" s="154"/>
      <c r="C148" s="154"/>
      <c r="D148" s="154"/>
      <c r="E148" s="154"/>
      <c r="F148" s="154"/>
      <c r="G148" s="154"/>
      <c r="H148" s="154"/>
      <c r="I148" s="154"/>
      <c r="J148" s="154"/>
      <c r="K148" s="155"/>
      <c r="L148" s="155"/>
      <c r="M148" s="155"/>
      <c r="N148" s="154"/>
      <c r="O148" s="154"/>
      <c r="P148" s="154"/>
    </row>
    <row r="149" spans="1:16" ht="21.75" customHeight="1" x14ac:dyDescent="0.25">
      <c r="A149" s="154"/>
      <c r="B149" s="154"/>
      <c r="C149" s="154"/>
      <c r="D149" s="154"/>
      <c r="E149" s="154"/>
      <c r="F149" s="154"/>
      <c r="G149" s="154"/>
      <c r="H149" s="154"/>
      <c r="I149" s="154"/>
      <c r="J149" s="154"/>
      <c r="K149" s="155"/>
      <c r="L149" s="155"/>
      <c r="M149" s="155"/>
      <c r="N149" s="154"/>
      <c r="O149" s="154"/>
      <c r="P149" s="154"/>
    </row>
    <row r="150" spans="1:16" ht="21.75" customHeight="1" x14ac:dyDescent="0.25">
      <c r="A150" s="154"/>
      <c r="B150" s="154"/>
      <c r="C150" s="154"/>
      <c r="D150" s="154"/>
      <c r="E150" s="154"/>
      <c r="F150" s="154"/>
      <c r="G150" s="154"/>
      <c r="H150" s="154"/>
      <c r="I150" s="154"/>
      <c r="J150" s="154"/>
      <c r="K150" s="155"/>
      <c r="L150" s="155"/>
      <c r="M150" s="155"/>
      <c r="N150" s="154"/>
      <c r="O150" s="154"/>
      <c r="P150" s="154"/>
    </row>
    <row r="151" spans="1:16" ht="21.75" customHeight="1" x14ac:dyDescent="0.25">
      <c r="A151" s="154"/>
      <c r="B151" s="154"/>
      <c r="C151" s="154"/>
      <c r="D151" s="154"/>
      <c r="E151" s="154"/>
      <c r="F151" s="154"/>
      <c r="G151" s="154"/>
      <c r="H151" s="154"/>
      <c r="I151" s="154"/>
      <c r="J151" s="154"/>
      <c r="K151" s="155"/>
      <c r="L151" s="155"/>
      <c r="M151" s="155"/>
      <c r="N151" s="154"/>
      <c r="O151" s="154"/>
      <c r="P151" s="154"/>
    </row>
    <row r="152" spans="1:16" ht="21.75" customHeight="1" x14ac:dyDescent="0.25">
      <c r="A152" s="154"/>
      <c r="B152" s="154"/>
      <c r="C152" s="154"/>
      <c r="D152" s="154"/>
      <c r="E152" s="154"/>
      <c r="F152" s="154"/>
      <c r="G152" s="154"/>
      <c r="H152" s="154"/>
      <c r="I152" s="154"/>
      <c r="J152" s="154"/>
      <c r="K152" s="155"/>
      <c r="L152" s="155"/>
      <c r="M152" s="155"/>
      <c r="N152" s="154"/>
      <c r="O152" s="154"/>
      <c r="P152" s="154"/>
    </row>
    <row r="153" spans="1:16" ht="21.75" customHeight="1" x14ac:dyDescent="0.25">
      <c r="A153" s="154"/>
      <c r="B153" s="154"/>
      <c r="C153" s="154"/>
      <c r="D153" s="154"/>
      <c r="E153" s="154"/>
      <c r="F153" s="154"/>
      <c r="G153" s="154"/>
      <c r="H153" s="154"/>
      <c r="I153" s="154"/>
      <c r="J153" s="154"/>
      <c r="K153" s="155"/>
      <c r="L153" s="155"/>
      <c r="M153" s="155"/>
      <c r="N153" s="154"/>
      <c r="O153" s="154"/>
      <c r="P153" s="154"/>
    </row>
    <row r="154" spans="1:16" ht="21.75" customHeight="1" x14ac:dyDescent="0.25">
      <c r="A154" s="154"/>
      <c r="B154" s="154"/>
      <c r="C154" s="154"/>
      <c r="D154" s="154"/>
      <c r="E154" s="154"/>
      <c r="F154" s="154"/>
      <c r="G154" s="154"/>
      <c r="H154" s="154"/>
      <c r="I154" s="154"/>
      <c r="J154" s="154"/>
      <c r="K154" s="155"/>
      <c r="L154" s="155"/>
      <c r="M154" s="155"/>
      <c r="N154" s="154"/>
      <c r="O154" s="154"/>
      <c r="P154" s="154"/>
    </row>
    <row r="155" spans="1:16" ht="21.75" customHeight="1" x14ac:dyDescent="0.25">
      <c r="A155" s="154"/>
      <c r="B155" s="154"/>
      <c r="C155" s="154"/>
      <c r="D155" s="154"/>
      <c r="E155" s="154"/>
      <c r="F155" s="154"/>
      <c r="G155" s="154"/>
      <c r="H155" s="154"/>
      <c r="I155" s="154"/>
      <c r="J155" s="154"/>
      <c r="K155" s="155"/>
      <c r="L155" s="155"/>
      <c r="M155" s="155"/>
      <c r="N155" s="154"/>
      <c r="O155" s="154"/>
      <c r="P155" s="154"/>
    </row>
    <row r="156" spans="1:16" ht="21.75" customHeight="1" x14ac:dyDescent="0.25">
      <c r="A156" s="154"/>
      <c r="B156" s="154"/>
      <c r="C156" s="154"/>
      <c r="D156" s="154"/>
      <c r="E156" s="154"/>
      <c r="F156" s="154"/>
      <c r="G156" s="154"/>
      <c r="H156" s="154"/>
      <c r="I156" s="154"/>
      <c r="J156" s="154"/>
      <c r="K156" s="155"/>
      <c r="L156" s="155"/>
      <c r="M156" s="155"/>
      <c r="N156" s="154"/>
      <c r="O156" s="154"/>
      <c r="P156" s="154"/>
    </row>
    <row r="157" spans="1:16" ht="21.75" customHeight="1" x14ac:dyDescent="0.25">
      <c r="A157" s="154"/>
      <c r="B157" s="154"/>
      <c r="C157" s="154"/>
      <c r="D157" s="154"/>
      <c r="E157" s="154"/>
      <c r="F157" s="154"/>
      <c r="G157" s="154"/>
      <c r="H157" s="154"/>
      <c r="I157" s="154"/>
      <c r="J157" s="154"/>
      <c r="K157" s="155"/>
      <c r="L157" s="155"/>
      <c r="M157" s="155"/>
      <c r="N157" s="154"/>
      <c r="O157" s="154"/>
      <c r="P157" s="154"/>
    </row>
    <row r="158" spans="1:16" ht="21.75" customHeight="1" x14ac:dyDescent="0.25">
      <c r="A158" s="154"/>
      <c r="B158" s="154"/>
      <c r="C158" s="154"/>
      <c r="D158" s="154"/>
      <c r="E158" s="154"/>
      <c r="F158" s="154"/>
      <c r="G158" s="154"/>
      <c r="H158" s="154"/>
      <c r="I158" s="154"/>
      <c r="J158" s="154"/>
      <c r="K158" s="155"/>
      <c r="L158" s="155"/>
      <c r="M158" s="155"/>
      <c r="N158" s="154"/>
      <c r="O158" s="154"/>
      <c r="P158" s="154"/>
    </row>
    <row r="159" spans="1:16" ht="21.75" customHeight="1" x14ac:dyDescent="0.25">
      <c r="A159" s="154"/>
      <c r="B159" s="154"/>
      <c r="C159" s="154"/>
      <c r="D159" s="154"/>
      <c r="E159" s="154"/>
      <c r="F159" s="154"/>
      <c r="G159" s="154"/>
      <c r="H159" s="154"/>
      <c r="I159" s="154"/>
      <c r="J159" s="154"/>
      <c r="K159" s="155"/>
      <c r="L159" s="155"/>
      <c r="M159" s="155"/>
      <c r="N159" s="154"/>
      <c r="O159" s="154"/>
      <c r="P159" s="154"/>
    </row>
    <row r="160" spans="1:16" ht="21.75" customHeight="1" x14ac:dyDescent="0.25">
      <c r="A160" s="154"/>
      <c r="B160" s="154"/>
      <c r="C160" s="154"/>
      <c r="D160" s="154"/>
      <c r="E160" s="154"/>
      <c r="F160" s="154"/>
      <c r="G160" s="154"/>
      <c r="H160" s="154"/>
      <c r="I160" s="154"/>
      <c r="J160" s="154"/>
      <c r="K160" s="155"/>
      <c r="L160" s="155"/>
      <c r="M160" s="155"/>
      <c r="N160" s="154"/>
      <c r="O160" s="154"/>
      <c r="P160" s="154"/>
    </row>
    <row r="161" spans="1:16" ht="21.75" customHeight="1" x14ac:dyDescent="0.25">
      <c r="A161" s="154"/>
      <c r="B161" s="154"/>
      <c r="C161" s="154"/>
      <c r="D161" s="154"/>
      <c r="E161" s="154"/>
      <c r="F161" s="154"/>
      <c r="G161" s="154"/>
      <c r="H161" s="154"/>
      <c r="I161" s="154"/>
      <c r="J161" s="154"/>
      <c r="K161" s="155"/>
      <c r="L161" s="155"/>
      <c r="M161" s="155"/>
      <c r="N161" s="154"/>
      <c r="O161" s="154"/>
      <c r="P161" s="154"/>
    </row>
    <row r="162" spans="1:16" ht="21.75" customHeight="1" x14ac:dyDescent="0.25">
      <c r="A162" s="154"/>
      <c r="B162" s="154"/>
      <c r="C162" s="154"/>
      <c r="D162" s="154"/>
      <c r="E162" s="154"/>
      <c r="F162" s="154"/>
      <c r="G162" s="154"/>
      <c r="H162" s="154"/>
      <c r="I162" s="154"/>
      <c r="J162" s="154"/>
      <c r="K162" s="155"/>
      <c r="L162" s="155"/>
      <c r="M162" s="155"/>
      <c r="N162" s="154"/>
      <c r="O162" s="154"/>
      <c r="P162" s="154"/>
    </row>
    <row r="163" spans="1:16" ht="21.75" customHeight="1" x14ac:dyDescent="0.25">
      <c r="A163" s="154"/>
      <c r="B163" s="154"/>
      <c r="C163" s="154"/>
      <c r="D163" s="154"/>
      <c r="E163" s="154"/>
      <c r="F163" s="154"/>
      <c r="G163" s="154"/>
      <c r="H163" s="154"/>
      <c r="I163" s="154"/>
      <c r="J163" s="154"/>
      <c r="K163" s="155"/>
      <c r="L163" s="155"/>
      <c r="M163" s="155"/>
      <c r="N163" s="154"/>
      <c r="O163" s="154"/>
      <c r="P163" s="154"/>
    </row>
    <row r="164" spans="1:16" ht="21.75" customHeight="1" x14ac:dyDescent="0.25">
      <c r="A164" s="154"/>
      <c r="B164" s="154"/>
      <c r="C164" s="154"/>
      <c r="D164" s="154"/>
      <c r="E164" s="154"/>
      <c r="F164" s="154"/>
      <c r="G164" s="154"/>
      <c r="H164" s="154"/>
      <c r="I164" s="154"/>
      <c r="J164" s="154"/>
      <c r="K164" s="155"/>
      <c r="L164" s="155"/>
      <c r="M164" s="155"/>
      <c r="N164" s="154"/>
      <c r="O164" s="154"/>
      <c r="P164" s="154"/>
    </row>
    <row r="165" spans="1:16" ht="21.75" customHeight="1" x14ac:dyDescent="0.25">
      <c r="A165" s="154"/>
      <c r="B165" s="154"/>
      <c r="C165" s="154"/>
      <c r="D165" s="154"/>
      <c r="E165" s="154"/>
      <c r="F165" s="154"/>
      <c r="G165" s="154"/>
      <c r="H165" s="154"/>
      <c r="I165" s="154"/>
      <c r="J165" s="154"/>
      <c r="K165" s="155"/>
      <c r="L165" s="155"/>
      <c r="M165" s="155"/>
      <c r="N165" s="154"/>
      <c r="O165" s="154"/>
      <c r="P165" s="154"/>
    </row>
    <row r="166" spans="1:16" ht="21.75" customHeight="1" x14ac:dyDescent="0.25">
      <c r="A166" s="154"/>
      <c r="B166" s="154"/>
      <c r="C166" s="154"/>
      <c r="D166" s="154"/>
      <c r="E166" s="154"/>
      <c r="F166" s="154"/>
      <c r="G166" s="154"/>
      <c r="H166" s="154"/>
      <c r="I166" s="154"/>
      <c r="J166" s="154"/>
      <c r="K166" s="155"/>
      <c r="L166" s="155"/>
      <c r="M166" s="155"/>
      <c r="N166" s="154"/>
      <c r="O166" s="154"/>
      <c r="P166" s="154"/>
    </row>
    <row r="167" spans="1:16" ht="21.75" customHeight="1" x14ac:dyDescent="0.25">
      <c r="A167" s="154"/>
      <c r="B167" s="154"/>
      <c r="C167" s="154"/>
      <c r="D167" s="154"/>
      <c r="E167" s="154"/>
      <c r="F167" s="154"/>
      <c r="G167" s="154"/>
      <c r="H167" s="154"/>
      <c r="I167" s="154"/>
      <c r="J167" s="154"/>
      <c r="K167" s="155"/>
      <c r="L167" s="155"/>
      <c r="M167" s="155"/>
      <c r="N167" s="154"/>
      <c r="O167" s="154"/>
      <c r="P167" s="154"/>
    </row>
    <row r="168" spans="1:16" ht="21.75" customHeight="1" x14ac:dyDescent="0.25">
      <c r="A168" s="154"/>
      <c r="B168" s="154"/>
      <c r="C168" s="154"/>
      <c r="D168" s="154"/>
      <c r="E168" s="154"/>
      <c r="F168" s="154"/>
      <c r="G168" s="154"/>
      <c r="H168" s="154"/>
      <c r="I168" s="154"/>
      <c r="J168" s="154"/>
      <c r="K168" s="155"/>
      <c r="L168" s="155"/>
      <c r="M168" s="155"/>
      <c r="N168" s="154"/>
      <c r="O168" s="154"/>
      <c r="P168" s="154"/>
    </row>
    <row r="169" spans="1:16" ht="21.75" customHeight="1" x14ac:dyDescent="0.25">
      <c r="A169" s="154"/>
      <c r="B169" s="154"/>
      <c r="C169" s="154"/>
      <c r="D169" s="154"/>
      <c r="E169" s="154"/>
      <c r="F169" s="154"/>
      <c r="G169" s="154"/>
      <c r="H169" s="154"/>
      <c r="I169" s="154"/>
      <c r="J169" s="154"/>
      <c r="K169" s="155"/>
      <c r="L169" s="155"/>
      <c r="M169" s="155"/>
      <c r="N169" s="154"/>
      <c r="O169" s="154"/>
      <c r="P169" s="154"/>
    </row>
    <row r="170" spans="1:16" ht="21.75" customHeight="1" x14ac:dyDescent="0.25">
      <c r="A170" s="154"/>
      <c r="B170" s="154"/>
      <c r="C170" s="154"/>
      <c r="D170" s="154"/>
      <c r="E170" s="154"/>
      <c r="F170" s="154"/>
      <c r="G170" s="154"/>
      <c r="H170" s="154"/>
      <c r="I170" s="154"/>
      <c r="J170" s="154"/>
      <c r="K170" s="155"/>
      <c r="L170" s="155"/>
      <c r="M170" s="155"/>
      <c r="N170" s="154"/>
      <c r="O170" s="154"/>
      <c r="P170" s="154"/>
    </row>
    <row r="171" spans="1:16" ht="21.75" customHeight="1" x14ac:dyDescent="0.25">
      <c r="A171" s="154"/>
      <c r="B171" s="154"/>
      <c r="C171" s="154"/>
      <c r="D171" s="154"/>
      <c r="E171" s="154"/>
      <c r="F171" s="154"/>
      <c r="G171" s="154"/>
      <c r="H171" s="154"/>
      <c r="I171" s="154"/>
      <c r="J171" s="154"/>
      <c r="K171" s="155"/>
      <c r="L171" s="155"/>
      <c r="M171" s="155"/>
      <c r="N171" s="154"/>
      <c r="O171" s="154"/>
      <c r="P171" s="154"/>
    </row>
    <row r="172" spans="1:16" ht="21.75" customHeight="1" x14ac:dyDescent="0.25">
      <c r="A172" s="154"/>
      <c r="B172" s="154"/>
      <c r="C172" s="154"/>
      <c r="D172" s="154"/>
      <c r="E172" s="154"/>
      <c r="F172" s="154"/>
      <c r="G172" s="154"/>
      <c r="H172" s="154"/>
      <c r="I172" s="154"/>
      <c r="J172" s="154"/>
      <c r="K172" s="155"/>
      <c r="L172" s="155"/>
      <c r="M172" s="155"/>
      <c r="N172" s="154"/>
      <c r="O172" s="154"/>
      <c r="P172" s="154"/>
    </row>
    <row r="173" spans="1:16" x14ac:dyDescent="0.25">
      <c r="A173" s="19"/>
      <c r="B173" s="20"/>
      <c r="C173" s="20"/>
      <c r="D173" s="20"/>
      <c r="E173" s="20"/>
      <c r="F173" s="21"/>
      <c r="G173" s="22"/>
      <c r="H173" s="20"/>
      <c r="I173" s="23"/>
      <c r="J173" s="20"/>
      <c r="K173" s="24"/>
      <c r="L173" s="24"/>
      <c r="M173" s="24"/>
      <c r="N173" s="20"/>
      <c r="O173" s="20"/>
      <c r="P173" s="20"/>
    </row>
    <row r="174" spans="1:16" ht="15.75" thickBot="1" x14ac:dyDescent="0.3">
      <c r="A174" s="25"/>
      <c r="B174" s="26"/>
      <c r="C174" s="26"/>
      <c r="D174" s="26"/>
      <c r="E174" s="26"/>
      <c r="F174" s="27"/>
      <c r="G174" s="28"/>
      <c r="H174" s="26"/>
      <c r="I174" s="29"/>
      <c r="J174" s="26"/>
      <c r="K174" s="30"/>
      <c r="L174" s="30"/>
      <c r="M174" s="30"/>
      <c r="N174" s="26"/>
      <c r="O174" s="26"/>
      <c r="P174" s="26"/>
    </row>
    <row r="175" spans="1:16" ht="30.75" thickTop="1" x14ac:dyDescent="0.25">
      <c r="A175" s="31"/>
      <c r="B175" s="32" t="s">
        <v>795</v>
      </c>
      <c r="C175" s="33">
        <v>164</v>
      </c>
      <c r="D175" s="34"/>
      <c r="E175" s="34"/>
      <c r="F175" s="35"/>
      <c r="G175" s="36"/>
      <c r="H175" s="32" t="s">
        <v>796</v>
      </c>
      <c r="I175" s="37" t="e">
        <f>SUM(#REF!)</f>
        <v>#REF!</v>
      </c>
      <c r="J175" s="38"/>
      <c r="K175" s="34"/>
      <c r="L175" s="34"/>
      <c r="M175" s="239" t="s">
        <v>797</v>
      </c>
      <c r="N175" s="39" t="s">
        <v>13</v>
      </c>
      <c r="O175" s="39">
        <f>COUNTA(#REF!)</f>
        <v>1</v>
      </c>
      <c r="P175" s="40"/>
    </row>
    <row r="176" spans="1:16" x14ac:dyDescent="0.25">
      <c r="A176" s="41" t="s">
        <v>798</v>
      </c>
      <c r="B176" s="24"/>
      <c r="C176" s="24"/>
      <c r="D176" s="24"/>
      <c r="E176" s="24"/>
      <c r="F176" s="42"/>
      <c r="G176" s="43"/>
      <c r="H176" s="24"/>
      <c r="I176" s="23"/>
      <c r="J176" s="20"/>
      <c r="K176" s="24"/>
      <c r="L176" s="24"/>
      <c r="M176" s="240"/>
      <c r="N176" s="44" t="s">
        <v>6</v>
      </c>
      <c r="O176" s="44">
        <f>COUNTA(#REF!)</f>
        <v>1</v>
      </c>
      <c r="P176" s="45"/>
    </row>
    <row r="177" spans="1:16" ht="30.75" thickBot="1" x14ac:dyDescent="0.3">
      <c r="A177" s="46"/>
      <c r="B177" s="47"/>
      <c r="C177" s="47"/>
      <c r="D177" s="47"/>
      <c r="E177" s="47"/>
      <c r="F177" s="48"/>
      <c r="G177" s="49"/>
      <c r="H177" s="47"/>
      <c r="I177" s="50"/>
      <c r="J177" s="51"/>
      <c r="K177" s="47"/>
      <c r="L177" s="47"/>
      <c r="M177" s="241"/>
      <c r="N177" s="52" t="s">
        <v>14</v>
      </c>
      <c r="O177" s="52">
        <f>COUNTA(#REF!)</f>
        <v>1</v>
      </c>
      <c r="P177" s="53"/>
    </row>
    <row r="178" spans="1:16" ht="15.75" thickTop="1" x14ac:dyDescent="0.25"/>
  </sheetData>
  <sortState ref="A6:J46">
    <sortCondition ref="H6:H46"/>
  </sortState>
  <mergeCells count="17">
    <mergeCell ref="O4:O5"/>
    <mergeCell ref="P4:P5"/>
    <mergeCell ref="A1:P1"/>
    <mergeCell ref="A2:P2"/>
    <mergeCell ref="A4:A5"/>
    <mergeCell ref="B4:B5"/>
    <mergeCell ref="C4:C5"/>
    <mergeCell ref="D4:D5"/>
    <mergeCell ref="E4:E5"/>
    <mergeCell ref="F4:F5"/>
    <mergeCell ref="G4:G5"/>
    <mergeCell ref="H4:H5"/>
    <mergeCell ref="M175:M177"/>
    <mergeCell ref="I4:I5"/>
    <mergeCell ref="J4:J5"/>
    <mergeCell ref="K4:M4"/>
    <mergeCell ref="N4:N5"/>
  </mergeCells>
  <printOptions horizontalCentered="1"/>
  <pageMargins left="0" right="0" top="0.51181102362204722" bottom="0" header="0.31496062992125984" footer="0.31496062992125984"/>
  <pageSetup scale="8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Import 883</vt:lpstr>
      <vt:lpstr> Penta 2024</vt:lpstr>
      <vt:lpstr> Ewalk 2024</vt:lpstr>
      <vt:lpstr>Noted 2025</vt:lpstr>
      <vt:lpstr>Noted 2026</vt:lpstr>
      <vt:lpstr>' Ewalk 2024'!Print_Area</vt:lpstr>
      <vt:lpstr>' Penta 2024'!Print_Area</vt:lpstr>
      <vt:lpstr>'Noted 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HRGASTAFF-DANY</dc:creator>
  <cp:lastModifiedBy>HRGASTAFF-DANY</cp:lastModifiedBy>
  <cp:lastPrinted>2026-05-08T05:42:05Z</cp:lastPrinted>
  <dcterms:created xsi:type="dcterms:W3CDTF">2026-04-24T07:08:18Z</dcterms:created>
  <dcterms:modified xsi:type="dcterms:W3CDTF">2026-05-19T09:34:53Z</dcterms:modified>
</cp:coreProperties>
</file>