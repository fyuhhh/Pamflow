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D\Downloads\"/>
    </mc:Choice>
  </mc:AlternateContent>
  <bookViews>
    <workbookView xWindow="0" yWindow="0" windowWidth="28800" windowHeight="13470"/>
  </bookViews>
  <sheets>
    <sheet name="LISTRIK 2026" sheetId="1" r:id="rId1"/>
    <sheet name="REKAP LISTRIK 2026" sheetId="7" r:id="rId2"/>
  </sheets>
  <definedNames>
    <definedName name="_xlnm.Print_Area" localSheetId="0">'LISTRIK 2026'!$A$1:$Q$269</definedName>
    <definedName name="_xlnm.Print_Area" localSheetId="1">'REKAP LISTRIK 2026'!$A$1:$J$234</definedName>
    <definedName name="_xlnm.Print_Titles" localSheetId="0">'LISTRIK 2026'!$5:$6</definedName>
    <definedName name="_xlnm.Print_Titles" localSheetId="1">'REKAP LISTRIK 2026'!$5:$6</definedName>
  </definedNames>
  <calcPr calcId="162913"/>
</workbook>
</file>

<file path=xl/calcChain.xml><?xml version="1.0" encoding="utf-8"?>
<calcChain xmlns="http://schemas.openxmlformats.org/spreadsheetml/2006/main">
  <c r="L232" i="7" l="1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233" i="7" l="1"/>
  <c r="K26" i="7" l="1"/>
  <c r="K190" i="7" l="1"/>
  <c r="K218" i="7"/>
  <c r="K232" i="7" l="1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J227" i="7"/>
  <c r="K233" i="7" l="1"/>
  <c r="J232" i="7"/>
  <c r="I8" i="7" l="1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9" i="7"/>
  <c r="J220" i="7"/>
  <c r="J221" i="7"/>
  <c r="J222" i="7"/>
  <c r="J223" i="7"/>
  <c r="J224" i="7"/>
  <c r="J225" i="7"/>
  <c r="J226" i="7"/>
  <c r="J228" i="7"/>
  <c r="J229" i="7"/>
  <c r="J230" i="7"/>
  <c r="J231" i="7"/>
  <c r="I7" i="7"/>
  <c r="J7" i="7"/>
  <c r="J233" i="7" l="1"/>
  <c r="I233" i="7"/>
  <c r="A4" i="7"/>
</calcChain>
</file>

<file path=xl/sharedStrings.xml><?xml version="1.0" encoding="utf-8"?>
<sst xmlns="http://schemas.openxmlformats.org/spreadsheetml/2006/main" count="2102" uniqueCount="431">
  <si>
    <t>NO.</t>
  </si>
  <si>
    <t>NAMA TENANT</t>
  </si>
  <si>
    <t>LANTAI UNIT</t>
  </si>
  <si>
    <t>DAYA LISTRIK</t>
  </si>
  <si>
    <t>JENIS KWH</t>
  </si>
  <si>
    <t>NO KWH</t>
  </si>
  <si>
    <t>KETERANGAN</t>
  </si>
  <si>
    <t>TTD &amp; STEMPEL</t>
  </si>
  <si>
    <t>LG</t>
  </si>
  <si>
    <t>3 FASE 20 A</t>
  </si>
  <si>
    <t>SOCOMEC</t>
  </si>
  <si>
    <t>07</t>
  </si>
  <si>
    <t>3 FASE 50 A</t>
  </si>
  <si>
    <t>08</t>
  </si>
  <si>
    <t>3 FASE 100 A</t>
  </si>
  <si>
    <t>03 A</t>
  </si>
  <si>
    <t>1 FASE 16 A</t>
  </si>
  <si>
    <t>3 FASE 32 A</t>
  </si>
  <si>
    <t>12 - 12 A</t>
  </si>
  <si>
    <t>3 FASE 40 A</t>
  </si>
  <si>
    <t>SCHNEIDER</t>
  </si>
  <si>
    <t>P3</t>
  </si>
  <si>
    <t>1 FASE 10 A</t>
  </si>
  <si>
    <t>3 FASE 16 A</t>
  </si>
  <si>
    <t>LOGO FUNWORLD</t>
  </si>
  <si>
    <t>THE HALL (DOUBLE TARIF) (TOTAL)</t>
  </si>
  <si>
    <t>THE HALL TARIF 1 (LWBP)</t>
  </si>
  <si>
    <t>THE HALL TARIF 2 (WBP)</t>
  </si>
  <si>
    <t>PT. MAC SARANA JAYA (WINET)</t>
  </si>
  <si>
    <t>SF</t>
  </si>
  <si>
    <t>ANCHOR A</t>
  </si>
  <si>
    <t>ANCHOR B</t>
  </si>
  <si>
    <t>LANTAI 2</t>
  </si>
  <si>
    <t>ALL AREA</t>
  </si>
  <si>
    <t>3 FASE 150 A</t>
  </si>
  <si>
    <t>0214496035</t>
  </si>
  <si>
    <t>BEAUTIQUE HAIR ATLIER</t>
  </si>
  <si>
    <t>SAMSUNG</t>
  </si>
  <si>
    <t>MOTHER CARE</t>
  </si>
  <si>
    <t>ELC</t>
  </si>
  <si>
    <t>GF</t>
  </si>
  <si>
    <t>UG</t>
  </si>
  <si>
    <t>FF</t>
  </si>
  <si>
    <t>3 FASE 1000 A</t>
  </si>
  <si>
    <t>12 A</t>
  </si>
  <si>
    <t>18 - 19</t>
  </si>
  <si>
    <t>3 FASE 10 A</t>
  </si>
  <si>
    <t>STARBUCKS COFFEE</t>
  </si>
  <si>
    <t>FRANK &amp; CO</t>
  </si>
  <si>
    <t>STACCATO</t>
  </si>
  <si>
    <t>ALDO</t>
  </si>
  <si>
    <t>BLEND WINE &amp; CO (AC)</t>
  </si>
  <si>
    <t>CHARLES &amp; KEITH</t>
  </si>
  <si>
    <t>PEDRO</t>
  </si>
  <si>
    <t>H &amp; M (DOUBLE TARIF) (TOTAL)</t>
  </si>
  <si>
    <t>H &amp; M TARIF 1 (LWBP)</t>
  </si>
  <si>
    <t>H &amp; M GENSET</t>
  </si>
  <si>
    <t>LOGO WALLSIGN H &amp; M (DOUBLE TARIF) (TOTAL)</t>
  </si>
  <si>
    <t>LOGO WALLSIGN H &amp; M TARIF 1 (LWBP)</t>
  </si>
  <si>
    <t>LOGO WALLSIGN H &amp; M TARIF 2 (WBP)</t>
  </si>
  <si>
    <t>GENSET LOGO WALLSIGN H &amp; M</t>
  </si>
  <si>
    <t>WARUNG KOFFIE BATAVIA</t>
  </si>
  <si>
    <t>32 - 33</t>
  </si>
  <si>
    <t>3 FASE 60 A</t>
  </si>
  <si>
    <t>01 - 02</t>
  </si>
  <si>
    <t>03</t>
  </si>
  <si>
    <t>05</t>
  </si>
  <si>
    <t>06</t>
  </si>
  <si>
    <t>07 - 09</t>
  </si>
  <si>
    <t>10 - 11</t>
  </si>
  <si>
    <t>22 - 29</t>
  </si>
  <si>
    <t>3 FASE 25 A</t>
  </si>
  <si>
    <t>3 FASE 75 A</t>
  </si>
  <si>
    <t>3 FASE 250 A</t>
  </si>
  <si>
    <t>SAMSONITE</t>
  </si>
  <si>
    <t>OPTIK TUNGGAL</t>
  </si>
  <si>
    <t>PLANET SURF</t>
  </si>
  <si>
    <t>MANZONE</t>
  </si>
  <si>
    <t>WATCH CLUB</t>
  </si>
  <si>
    <t>OPTIK SEIS</t>
  </si>
  <si>
    <t>03 A - 05</t>
  </si>
  <si>
    <t>26 - 28</t>
  </si>
  <si>
    <t>43 A</t>
  </si>
  <si>
    <t>114202010869</t>
  </si>
  <si>
    <t>TAWAN</t>
  </si>
  <si>
    <t>PEPPER LUNCH</t>
  </si>
  <si>
    <t>ICHIBAN SUSHI</t>
  </si>
  <si>
    <t>SOLARIA</t>
  </si>
  <si>
    <t>KFC</t>
  </si>
  <si>
    <t>KFC LOGO (WALLSIGN)</t>
  </si>
  <si>
    <t>17 - 19</t>
  </si>
  <si>
    <t>P1</t>
  </si>
  <si>
    <t>GUDANG NO. 1</t>
  </si>
  <si>
    <t xml:space="preserve">IBOX  </t>
  </si>
  <si>
    <t>33 A - 37</t>
  </si>
  <si>
    <t xml:space="preserve">HUSH PUPPIES  </t>
  </si>
  <si>
    <t xml:space="preserve">59 - 61 </t>
  </si>
  <si>
    <t>RUANG POMPA</t>
  </si>
  <si>
    <t>PANEL ZONA B</t>
  </si>
  <si>
    <t>0214496102</t>
  </si>
  <si>
    <t>0215141028</t>
  </si>
  <si>
    <t xml:space="preserve">BLEND WINE &amp; CO </t>
  </si>
  <si>
    <t>0215114181</t>
  </si>
  <si>
    <t>40 - 41</t>
  </si>
  <si>
    <t xml:space="preserve">ERHA APOTHECARY </t>
  </si>
  <si>
    <t>POMPA TRANSFER UNTUK APARTEMEN (ROOFTOP)</t>
  </si>
  <si>
    <t xml:space="preserve">ROYAL K BBQ  </t>
  </si>
  <si>
    <t>REKAP DATA LISTRIK TENANT PENTACITY</t>
  </si>
  <si>
    <t>STARTIME</t>
  </si>
  <si>
    <t>23 A -25</t>
  </si>
  <si>
    <t>CNC FITNES (DOUBLE TARIF) (TOTAL)</t>
  </si>
  <si>
    <t>CNC FITNES TARIF 1 (LWBP)</t>
  </si>
  <si>
    <t>CNC FITNES TARIF 2 (WBP)</t>
  </si>
  <si>
    <t xml:space="preserve">ANCHOR B </t>
  </si>
  <si>
    <t>ATM BANK BRI</t>
  </si>
  <si>
    <t>ATM BANK BPD/KALTIMTARA</t>
  </si>
  <si>
    <t>ATM BANK MANDIRI</t>
  </si>
  <si>
    <t>SKYBRIDGE (UNIT # 9)</t>
  </si>
  <si>
    <t>SKYBRIDGE (UNIT # 16)</t>
  </si>
  <si>
    <t>SKYBRIDGE (UNIT # 21)</t>
  </si>
  <si>
    <t>P5</t>
  </si>
  <si>
    <t>PANEL P5</t>
  </si>
  <si>
    <t>3 FASE 500 A</t>
  </si>
  <si>
    <t>XXI (DOUBLE TARIF) (TOTAL)</t>
  </si>
  <si>
    <t>XXI TARIF 1 (LWBP)</t>
  </si>
  <si>
    <t>XXI TARIF 2 (WBP)</t>
  </si>
  <si>
    <t>0713603061</t>
  </si>
  <si>
    <t>ASTARA TOWER E</t>
  </si>
  <si>
    <t>P6</t>
  </si>
  <si>
    <t>PANEL TOWER E</t>
  </si>
  <si>
    <t>PANEL TOWER A</t>
  </si>
  <si>
    <t>SIEMENS</t>
  </si>
  <si>
    <t>PAC3200</t>
  </si>
  <si>
    <t>RUANG KUBIKAL/TRAFO</t>
  </si>
  <si>
    <t>POWER INDUK ASTARA (TOTAL) (DOUBLE TARIF)</t>
  </si>
  <si>
    <t>POWER INDUK ASTARA TARIF 1 (LWBP)</t>
  </si>
  <si>
    <t>POWER INDUK ASTARA TARIF 2 (WBP)</t>
  </si>
  <si>
    <t>3 FASE 800 A</t>
  </si>
  <si>
    <t>TOWER A (630 A), TOWER B (630 A), TOWER C (630 A), TOWER D (630 A), TOWER E (800 A)</t>
  </si>
  <si>
    <t>01 - 10</t>
  </si>
  <si>
    <t>BINA BANGSA SCHOOL (TOTAL) (DOUBLE TARIF)</t>
  </si>
  <si>
    <t>BINA BANGSA SCHOOL  TARIF 1 (LWBP)</t>
  </si>
  <si>
    <t>BINA BANGSA SCHOOL TARIF 2 (WBP)</t>
  </si>
  <si>
    <t>BINA BANGSA SCHOOL GENSET</t>
  </si>
  <si>
    <t>RUANG PANEL BBS DI BASEMENT LG</t>
  </si>
  <si>
    <t>ASTARA TOWER C</t>
  </si>
  <si>
    <t>3 FASE 360 A</t>
  </si>
  <si>
    <t>10</t>
  </si>
  <si>
    <t>12 B - 17</t>
  </si>
  <si>
    <t>1 FASE 30 A</t>
  </si>
  <si>
    <t>THE HALL GENSET</t>
  </si>
  <si>
    <t>XXI GENSET</t>
  </si>
  <si>
    <t>CNC FITNES GENSET</t>
  </si>
  <si>
    <t>3 FASE 250  A</t>
  </si>
  <si>
    <t>POWER AQUA BOOM TOWER D (PERMANEN)</t>
  </si>
  <si>
    <t>LOLYPOLY</t>
  </si>
  <si>
    <t>HYPERMART  PUTR (DOUBLE TARIF) (TOTAL)</t>
  </si>
  <si>
    <t>ANCHOR E</t>
  </si>
  <si>
    <t>3 FASE 400 A</t>
  </si>
  <si>
    <t>HYPERMART PUTR TARIF 1 (LWBP)</t>
  </si>
  <si>
    <t>HYPERMART PUTR TARIF 2 (WBP)</t>
  </si>
  <si>
    <t>HYPERMART GENSET PUTR</t>
  </si>
  <si>
    <t>HYPERMART AHU (AC) (DOUBLE  TARIF) (TOTAL)</t>
  </si>
  <si>
    <t>3 FASE 600 A</t>
  </si>
  <si>
    <t>HYPERMART AHU (AC) TARIF 1 (LWBP)</t>
  </si>
  <si>
    <t>HYPERMART AHU (AC) TARIF 2 (WBP)</t>
  </si>
  <si>
    <t>HYPERMART GENSET AHU (AC)</t>
  </si>
  <si>
    <t>LOGO WALLSIGN HYPERMART (DOUBLE TARIF) (TOTAL)</t>
  </si>
  <si>
    <t>LOGO WALLSIGN HYPERMART TARIF 1 (LWBP)</t>
  </si>
  <si>
    <t>LOGO WALLSIGN HYPERMART TARIF 2 (WBP)</t>
  </si>
  <si>
    <t xml:space="preserve">MR. DIY  </t>
  </si>
  <si>
    <t>3 FASE 60</t>
  </si>
  <si>
    <t xml:space="preserve">LG </t>
  </si>
  <si>
    <t>MR. DIY LOGO (WALLSIGN)</t>
  </si>
  <si>
    <t>ASTARA TOWER D</t>
  </si>
  <si>
    <t>PANEL TOWER C &amp; D</t>
  </si>
  <si>
    <t xml:space="preserve">GUARDIAN  </t>
  </si>
  <si>
    <t>IEC 62053-21</t>
  </si>
  <si>
    <t>FRANK &amp; CO LOGO (WALLSIGN)</t>
  </si>
  <si>
    <t>STARBUCKS COFFEE LOGO (WALLSIGN)</t>
  </si>
  <si>
    <t>CNC FITNES LOGO (WALLSIGN)</t>
  </si>
  <si>
    <t>EDMI Mk6N GENIUS</t>
  </si>
  <si>
    <t>DATA LISTRIK TENANT PENTACITY</t>
  </si>
  <si>
    <t>DIBUAT OLEH</t>
  </si>
  <si>
    <t>DIPERIKSA OLEH</t>
  </si>
  <si>
    <t>DIKETAHUI OLEH</t>
  </si>
  <si>
    <t>Adm Engineering</t>
  </si>
  <si>
    <t>Chief Engineering</t>
  </si>
  <si>
    <t>Y'PYR SALON</t>
  </si>
  <si>
    <t>Emma Syafitri</t>
  </si>
  <si>
    <t>CAR WASH</t>
  </si>
  <si>
    <t>PARKIRAN BELAKANG LOADING HYPERMART</t>
  </si>
  <si>
    <t>SHOWROOM CARWASH</t>
  </si>
  <si>
    <t>BOSE</t>
  </si>
  <si>
    <t>GC KOREAN BBQ</t>
  </si>
  <si>
    <t>GC KOREAN BBQ (SITTING AREA)</t>
  </si>
  <si>
    <t>BSB FOODCOURT (DOUBLE TARIF) TOTAL INDUK 1 (1-7)</t>
  </si>
  <si>
    <t>BSB FOODCOURT TARIF 1 ((LWBP))</t>
  </si>
  <si>
    <t>BSB FOODCOURT TARIF 2 ((WBP))</t>
  </si>
  <si>
    <t>BSB FOODCOURT (DOUBLE TARIF) TOTAL INDUK 2 (8-13)+ PP LP</t>
  </si>
  <si>
    <t>BSB FOODCOURT TARIF 1 (LWBP)</t>
  </si>
  <si>
    <t>LOGO BSB FOODCOURT</t>
  </si>
  <si>
    <t>0214496105</t>
  </si>
  <si>
    <t>ASTARA TOWER A</t>
  </si>
  <si>
    <t>BSB FOODCOURT TARIF 2 (WBP).</t>
  </si>
  <si>
    <t>LOGO GENSET WALLSIGN HYPERMART</t>
  </si>
  <si>
    <t>H &amp; M TARIF 2 (LWBP)</t>
  </si>
  <si>
    <t>FORE COFFEE</t>
  </si>
  <si>
    <t>36</t>
  </si>
  <si>
    <t>0215145056</t>
  </si>
  <si>
    <t>HAVAIANAS</t>
  </si>
  <si>
    <t>ADIDAS</t>
  </si>
  <si>
    <t>42B</t>
  </si>
  <si>
    <t>12 - 12A</t>
  </si>
  <si>
    <t>SHEM RAMEN</t>
  </si>
  <si>
    <t>GC KOREAN LOGO (WALLSIGN)</t>
  </si>
  <si>
    <t>RAMEN 01</t>
  </si>
  <si>
    <t>GUDANG GC KOREA BBQ</t>
  </si>
  <si>
    <t>PANEL A</t>
  </si>
  <si>
    <t>GUDANG BSB PANTAI</t>
  </si>
  <si>
    <t>BABAKU</t>
  </si>
  <si>
    <t>0214493084</t>
  </si>
  <si>
    <t>GARMIN</t>
  </si>
  <si>
    <t>42A</t>
  </si>
  <si>
    <t>SHIHLIN</t>
  </si>
  <si>
    <t>GUDANG SHIHLIN</t>
  </si>
  <si>
    <t>SOCIOLLA</t>
  </si>
  <si>
    <t>TOYS KINGDOM</t>
  </si>
  <si>
    <t>UNIQLO</t>
  </si>
  <si>
    <t>TOYS KINGDOM (WALLSIGN)</t>
  </si>
  <si>
    <t>3 FASE 200 A</t>
  </si>
  <si>
    <t>SHEM SUSHI</t>
  </si>
  <si>
    <t>LOGO WALL SIGN UNIQLO</t>
  </si>
  <si>
    <t>LOBBY PANTAI BSB</t>
  </si>
  <si>
    <t>PAC3220</t>
  </si>
  <si>
    <t>T1 00.00</t>
  </si>
  <si>
    <t>IMPERIAL KITCHEN</t>
  </si>
  <si>
    <t>3 FASE 80 A</t>
  </si>
  <si>
    <t>MI STORE</t>
  </si>
  <si>
    <t>12B</t>
  </si>
  <si>
    <t xml:space="preserve">LOGO WALLSIGN H &amp; M </t>
  </si>
  <si>
    <t>SPORT STATION</t>
  </si>
  <si>
    <t>AREA LOBBY UTAMA</t>
  </si>
  <si>
    <t>MR. MILES</t>
  </si>
  <si>
    <t>COL'S FROYO</t>
  </si>
  <si>
    <t>VANS</t>
  </si>
  <si>
    <t>01</t>
  </si>
  <si>
    <t>Dr. SPECS</t>
  </si>
  <si>
    <t>ODD (OUR DAILY DOSE)</t>
  </si>
  <si>
    <t>ANDALAS</t>
  </si>
  <si>
    <t>SEHATI</t>
  </si>
  <si>
    <t>E20</t>
  </si>
  <si>
    <t>TYPE KWH</t>
  </si>
  <si>
    <t>E00</t>
  </si>
  <si>
    <t>E21</t>
  </si>
  <si>
    <t>E40</t>
  </si>
  <si>
    <t>E41</t>
  </si>
  <si>
    <t>E30</t>
  </si>
  <si>
    <t>AM10</t>
  </si>
  <si>
    <t xml:space="preserve">DWIDAYA TOUR </t>
  </si>
  <si>
    <t>28</t>
  </si>
  <si>
    <t>E10</t>
  </si>
  <si>
    <t>MIXUE</t>
  </si>
  <si>
    <t>E33</t>
  </si>
  <si>
    <t>FOOT LOCKER</t>
  </si>
  <si>
    <t>56 - 57</t>
  </si>
  <si>
    <t>CONVERSE</t>
  </si>
  <si>
    <t>09</t>
  </si>
  <si>
    <t>YOSHINOYA</t>
  </si>
  <si>
    <t>FOOT LAB</t>
  </si>
  <si>
    <t>BUTTONSCRAVES</t>
  </si>
  <si>
    <t>BSB PANTAI</t>
  </si>
  <si>
    <t>14402010813</t>
  </si>
  <si>
    <t>17482010656</t>
  </si>
  <si>
    <t>17012010241</t>
  </si>
  <si>
    <t>18072010448</t>
  </si>
  <si>
    <t>LOGO HOTEL PENTACITY &amp; ASTARA</t>
  </si>
  <si>
    <t>TAMAN POHON PALM HOTEL PENTACITY</t>
  </si>
  <si>
    <t>13172010268</t>
  </si>
  <si>
    <t>SKECHERS</t>
  </si>
  <si>
    <t>PAYLESS</t>
  </si>
  <si>
    <t>KIDS STATION</t>
  </si>
  <si>
    <t>PLANET SPORT</t>
  </si>
  <si>
    <t>NEW BALANCE</t>
  </si>
  <si>
    <t>STEVE MEIDEN</t>
  </si>
  <si>
    <t>BIRKENSTOCK</t>
  </si>
  <si>
    <t>GUDANG TAWAN</t>
  </si>
  <si>
    <t>P4</t>
  </si>
  <si>
    <t>19182010079</t>
  </si>
  <si>
    <t>17272011270</t>
  </si>
  <si>
    <t>SMIGGLE</t>
  </si>
  <si>
    <t>ISLAND A</t>
  </si>
  <si>
    <t>01 - 03B</t>
  </si>
  <si>
    <t>3 FASE 30 A</t>
  </si>
  <si>
    <t>15172010766</t>
  </si>
  <si>
    <t>GURIH NUSANTARA</t>
  </si>
  <si>
    <t>OUR STUDIO</t>
  </si>
  <si>
    <t>13262012698</t>
  </si>
  <si>
    <t>Y'PYR SALON NEW</t>
  </si>
  <si>
    <t xml:space="preserve">NEW MINISO </t>
  </si>
  <si>
    <t>ASICS</t>
  </si>
  <si>
    <t>BONCAFE</t>
  </si>
  <si>
    <t>BENANG JARUM</t>
  </si>
  <si>
    <t>RIA MIRANDA</t>
  </si>
  <si>
    <t>23, 23A - 25</t>
  </si>
  <si>
    <t>3 FASE 125 A</t>
  </si>
  <si>
    <t>0722206098</t>
  </si>
  <si>
    <t>NADA PUSPITA</t>
  </si>
  <si>
    <t>19172010947</t>
  </si>
  <si>
    <t>Riyanto</t>
  </si>
  <si>
    <t>Spv. Electrical</t>
  </si>
  <si>
    <t>VIVA COSMETIC</t>
  </si>
  <si>
    <t>3 FASE 160 A</t>
  </si>
  <si>
    <t>KOPI +62 SANCTUARY</t>
  </si>
  <si>
    <t>WATSON</t>
  </si>
  <si>
    <t>VICTORIA SECRET</t>
  </si>
  <si>
    <t>12 B - 18</t>
  </si>
  <si>
    <t>MLB</t>
  </si>
  <si>
    <t>DAPUR SOLO</t>
  </si>
  <si>
    <t>BIZNET</t>
  </si>
  <si>
    <t>ASTARA TOWER B</t>
  </si>
  <si>
    <t>BSB FOODCOURT (OFFICE)</t>
  </si>
  <si>
    <t>E43</t>
  </si>
  <si>
    <t>ATM BANK BSI</t>
  </si>
  <si>
    <t>LUCA</t>
  </si>
  <si>
    <t>JUSCRACK</t>
  </si>
  <si>
    <t>0219076016</t>
  </si>
  <si>
    <t>0723246047</t>
  </si>
  <si>
    <t>06 A</t>
  </si>
  <si>
    <t>BAKOEL BAMBOE</t>
  </si>
  <si>
    <t>SPILLA JEWELERY</t>
  </si>
  <si>
    <t>RED DOG</t>
  </si>
  <si>
    <t>LEGO</t>
  </si>
  <si>
    <t>0223431058</t>
  </si>
  <si>
    <t>KIDZOOONA</t>
  </si>
  <si>
    <t>0718053037</t>
  </si>
  <si>
    <t>27 A</t>
  </si>
  <si>
    <t>SKINARMA</t>
  </si>
  <si>
    <t>27 B</t>
  </si>
  <si>
    <t>0224026257</t>
  </si>
  <si>
    <t>HEY LOCAL</t>
  </si>
  <si>
    <t>GUDANG BAKOEL BAMBOE</t>
  </si>
  <si>
    <t xml:space="preserve">GUDANG PEPPER LUNCH </t>
  </si>
  <si>
    <t>GUDANG FORE</t>
  </si>
  <si>
    <t>OH SOME !</t>
  </si>
  <si>
    <t>GUDANG OH SOME !</t>
  </si>
  <si>
    <t xml:space="preserve">ON/OFF     </t>
  </si>
  <si>
    <t>STAND AWAL - STAND AKHIR</t>
  </si>
  <si>
    <t>GUDANG RED DOG</t>
  </si>
  <si>
    <t>SUSHI TEI</t>
  </si>
  <si>
    <t>GUDANG SUSHI TEI (UG)</t>
  </si>
  <si>
    <t>GUDANG SUSHI TEI (GF)</t>
  </si>
  <si>
    <t>LILLA LABEL</t>
  </si>
  <si>
    <t>C &amp; F PARFUM</t>
  </si>
  <si>
    <t>KIMUKATSU</t>
  </si>
  <si>
    <t>GUDANG KIMUKATSU</t>
  </si>
  <si>
    <t>DORAN GADGET</t>
  </si>
  <si>
    <t>SKECHERS -UG-</t>
  </si>
  <si>
    <t>GUDANG DAPUR SOLO</t>
  </si>
  <si>
    <t>BEAUTY HAUL</t>
  </si>
  <si>
    <t>IEM3110</t>
  </si>
  <si>
    <t>DCREPES</t>
  </si>
  <si>
    <t>FLYING TIGER</t>
  </si>
  <si>
    <t>Hardianto</t>
  </si>
  <si>
    <t>GYUKAKU</t>
  </si>
  <si>
    <t>23188157</t>
  </si>
  <si>
    <t>GUDANG D'CREPES</t>
  </si>
  <si>
    <t>3 FASE 6 A</t>
  </si>
  <si>
    <t>1025084099</t>
  </si>
  <si>
    <t>PENTACITY HOTEL BALIKPAPAN</t>
  </si>
  <si>
    <t>PANDORA</t>
  </si>
  <si>
    <t>IEM 3110 0224026240</t>
  </si>
  <si>
    <t>L'OCCITANE</t>
  </si>
  <si>
    <t>SEPHORA</t>
  </si>
  <si>
    <t>HUAWEI (ANDALAS)</t>
  </si>
  <si>
    <t>Riyanto/Jusmianto</t>
  </si>
  <si>
    <t>Supervisor</t>
  </si>
  <si>
    <t>JETE</t>
  </si>
  <si>
    <t>SEPHORA WALL SIGN</t>
  </si>
  <si>
    <t>ROOKIE</t>
  </si>
  <si>
    <t>BATH &amp; BODYWORKS (BBW)</t>
  </si>
  <si>
    <t>KIDZLANDIA/FUNWORLD</t>
  </si>
  <si>
    <t xml:space="preserve">      20 FEBRUARI 2026       STAND AWAL 0 KWH</t>
  </si>
  <si>
    <t>ANCHOR A1&amp;A2</t>
  </si>
  <si>
    <t>43 A - 45</t>
  </si>
  <si>
    <t>48 - 49</t>
  </si>
  <si>
    <t>16</t>
  </si>
  <si>
    <t>17</t>
  </si>
  <si>
    <t>33 - 37</t>
  </si>
  <si>
    <t>55 - 56</t>
  </si>
  <si>
    <t>53 A</t>
  </si>
  <si>
    <t>57 - 58</t>
  </si>
  <si>
    <t>59 - 60</t>
  </si>
  <si>
    <t>ANCHOR</t>
  </si>
  <si>
    <t>KORIDOR</t>
  </si>
  <si>
    <t>50 - 55</t>
  </si>
  <si>
    <t xml:space="preserve">PARKIRAN  </t>
  </si>
  <si>
    <t>33 A - 35</t>
  </si>
  <si>
    <t>37 - 40</t>
  </si>
  <si>
    <t>BEACH GATE</t>
  </si>
  <si>
    <t>41</t>
  </si>
  <si>
    <t>PARKIRAN</t>
  </si>
  <si>
    <t xml:space="preserve">ISLAND  </t>
  </si>
  <si>
    <t>BAKMI NAGA (STAND NO 1)</t>
  </si>
  <si>
    <t>COBEK PENYET (STAND NO 2)</t>
  </si>
  <si>
    <t>KEBULI CAIRO (STAND NO 3)</t>
  </si>
  <si>
    <t>NASGOR (STAND NO 4)</t>
  </si>
  <si>
    <t>MAEM KREMES (STAND NO 5)</t>
  </si>
  <si>
    <t>SI MBOK (STAND NO 6)</t>
  </si>
  <si>
    <t>MERDEKA DRINK (STAND NO 7)</t>
  </si>
  <si>
    <t>ARTOMORO (STAND NO 8)</t>
  </si>
  <si>
    <t>SOTO BALIKPAPAN (STAND NO 9)</t>
  </si>
  <si>
    <t>LALALPAN KAKI LIMA (STAND NO 10)</t>
  </si>
  <si>
    <t>DE BANJAR (STAND NO 11)</t>
  </si>
  <si>
    <t>MIE HOTPLATE (STAND NO 12)</t>
  </si>
  <si>
    <t>PAGARASO (STAND NO 13)</t>
  </si>
  <si>
    <t>XCOCOLAND</t>
  </si>
  <si>
    <t>5577877,20</t>
  </si>
  <si>
    <t>MASJID AL - IKHLAS</t>
  </si>
  <si>
    <t>0224364006</t>
  </si>
  <si>
    <t>ON 28 MARET 2026             (STAND AWAL 0 KWH)</t>
  </si>
  <si>
    <t>138282,9</t>
  </si>
  <si>
    <t>KIDZLANDIA-FUNWORLD</t>
  </si>
  <si>
    <t>ATM BANK BPD-KALTIMTARA</t>
  </si>
  <si>
    <t>COCOLAND</t>
  </si>
  <si>
    <t>BLI BLI</t>
  </si>
  <si>
    <t>THE MERCY</t>
  </si>
  <si>
    <t>FIT OUT</t>
  </si>
  <si>
    <t>ON 18 APRIL 2026            STAND AWAL 0.6 KWH</t>
  </si>
  <si>
    <t>UPDATE 28 APRIL 2026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</si>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</sst>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[$-F800]dddd\,\ mmmm\ dd\,\ yyyy"/>
    <numFmt numFmtId="165" formatCode="0.0"/>
    <numFmt numFmtId="166" formatCode="_(* #,##0.0_);_(* \(#,##0.0\);_(* &quot;-&quot;_);_(@_)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color indexed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i/>
      <sz val="12"/>
      <color indexed="8"/>
      <name val="Arial Narrow"/>
      <family val="2"/>
    </font>
    <font>
      <b/>
      <i/>
      <sz val="22"/>
      <color indexed="8"/>
      <name val="Arial Narrow"/>
      <family val="2"/>
    </font>
    <font>
      <b/>
      <sz val="2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sz val="12"/>
      <color theme="1"/>
      <name val="Arial Narrow"/>
      <family val="2"/>
    </font>
    <font>
      <sz val="8"/>
      <name val="Arial Narrow"/>
      <family val="2"/>
    </font>
    <font>
      <b/>
      <sz val="2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 val="singleAccounting"/>
      <sz val="12"/>
      <name val="Arial Narrow"/>
      <family val="2"/>
    </font>
    <font>
      <u/>
      <sz val="12"/>
      <color indexed="8"/>
      <name val="Arial Narrow"/>
      <family val="2"/>
    </font>
    <font>
      <u/>
      <sz val="12"/>
      <name val="Arial Narrow"/>
      <family val="2"/>
    </font>
    <font>
      <b/>
      <sz val="8"/>
      <name val="Arial Narrow"/>
      <family val="2"/>
    </font>
    <font>
      <b/>
      <sz val="12"/>
      <color rgb="FFFF0000"/>
      <name val="Arial Narrow"/>
      <family val="2"/>
    </font>
    <font>
      <b/>
      <u val="singleAccounting"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25">
    <xf numFmtId="0" fontId="0" fillId="0" borderId="0" xfId="0"/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4" fillId="0" borderId="0" xfId="1" applyFont="1" applyAlignment="1">
      <alignment vertical="center"/>
    </xf>
    <xf numFmtId="0" fontId="13" fillId="0" borderId="16" xfId="0" applyFont="1" applyBorder="1"/>
    <xf numFmtId="0" fontId="19" fillId="0" borderId="11" xfId="1" applyFont="1" applyBorder="1" applyAlignment="1">
      <alignment horizontal="center" vertical="center" wrapText="1"/>
    </xf>
    <xf numFmtId="41" fontId="20" fillId="0" borderId="0" xfId="1" applyNumberFormat="1" applyFont="1" applyAlignment="1">
      <alignment horizontal="center" vertical="center"/>
    </xf>
    <xf numFmtId="0" fontId="12" fillId="0" borderId="0" xfId="1" applyFont="1" applyAlignment="1">
      <alignment vertical="center"/>
    </xf>
    <xf numFmtId="49" fontId="1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right" vertical="center"/>
    </xf>
    <xf numFmtId="164" fontId="12" fillId="0" borderId="1" xfId="1" applyNumberFormat="1" applyFont="1" applyBorder="1" applyAlignment="1">
      <alignment horizontal="center" vertical="center" wrapText="1"/>
    </xf>
    <xf numFmtId="164" fontId="12" fillId="0" borderId="21" xfId="1" applyNumberFormat="1" applyFont="1" applyBorder="1" applyAlignment="1">
      <alignment horizontal="center" vertical="center"/>
    </xf>
    <xf numFmtId="164" fontId="12" fillId="0" borderId="3" xfId="1" applyNumberFormat="1" applyFont="1" applyBorder="1" applyAlignment="1">
      <alignment horizontal="center" vertical="center" wrapText="1"/>
    </xf>
    <xf numFmtId="164" fontId="12" fillId="0" borderId="4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1" fontId="11" fillId="0" borderId="3" xfId="1" applyNumberFormat="1" applyFont="1" applyBorder="1" applyAlignment="1">
      <alignment horizontal="center" vertical="center" wrapText="1" shrinkToFit="1"/>
    </xf>
    <xf numFmtId="164" fontId="11" fillId="0" borderId="3" xfId="1" applyNumberFormat="1" applyFont="1" applyBorder="1" applyAlignment="1">
      <alignment horizontal="center" vertical="center"/>
    </xf>
    <xf numFmtId="0" fontId="11" fillId="0" borderId="3" xfId="1" quotePrefix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/>
    </xf>
    <xf numFmtId="0" fontId="10" fillId="0" borderId="3" xfId="1" quotePrefix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10" fillId="0" borderId="16" xfId="1" applyFont="1" applyBorder="1" applyAlignment="1">
      <alignment vertical="center"/>
    </xf>
    <xf numFmtId="0" fontId="9" fillId="0" borderId="6" xfId="1" quotePrefix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41" fontId="10" fillId="0" borderId="6" xfId="1" applyNumberFormat="1" applyFont="1" applyBorder="1" applyAlignment="1">
      <alignment vertical="center"/>
    </xf>
    <xf numFmtId="0" fontId="9" fillId="0" borderId="3" xfId="1" applyFont="1" applyBorder="1" applyAlignment="1">
      <alignment vertical="center" wrapText="1"/>
    </xf>
    <xf numFmtId="0" fontId="10" fillId="0" borderId="4" xfId="1" applyFont="1" applyBorder="1" applyAlignment="1">
      <alignment vertical="center"/>
    </xf>
    <xf numFmtId="0" fontId="9" fillId="0" borderId="4" xfId="1" applyFont="1" applyBorder="1" applyAlignment="1">
      <alignment vertical="center" wrapText="1"/>
    </xf>
    <xf numFmtId="41" fontId="10" fillId="0" borderId="3" xfId="1" applyNumberFormat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43" fontId="9" fillId="0" borderId="6" xfId="2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5" xfId="1" applyFont="1" applyBorder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11" fillId="0" borderId="5" xfId="1" quotePrefix="1" applyFont="1" applyBorder="1" applyAlignment="1">
      <alignment horizontal="center" vertical="center" wrapText="1"/>
    </xf>
    <xf numFmtId="18" fontId="10" fillId="0" borderId="5" xfId="1" quotePrefix="1" applyNumberFormat="1" applyFont="1" applyBorder="1" applyAlignment="1">
      <alignment horizontal="center" vertical="center" wrapText="1"/>
    </xf>
    <xf numFmtId="16" fontId="10" fillId="0" borderId="3" xfId="1" quotePrefix="1" applyNumberFormat="1" applyFont="1" applyBorder="1" applyAlignment="1">
      <alignment horizontal="center" vertical="center" wrapText="1"/>
    </xf>
    <xf numFmtId="18" fontId="10" fillId="0" borderId="3" xfId="1" quotePrefix="1" applyNumberFormat="1" applyFont="1" applyBorder="1" applyAlignment="1">
      <alignment horizontal="center" vertical="center" wrapText="1"/>
    </xf>
    <xf numFmtId="0" fontId="9" fillId="0" borderId="6" xfId="1" quotePrefix="1" applyFont="1" applyBorder="1" applyAlignment="1">
      <alignment horizontal="center" vertical="center" wrapText="1"/>
    </xf>
    <xf numFmtId="16" fontId="11" fillId="0" borderId="3" xfId="1" quotePrefix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1" fontId="12" fillId="0" borderId="0" xfId="0" applyNumberFormat="1" applyFont="1" applyAlignment="1">
      <alignment horizontal="left" vertical="center" wrapText="1"/>
    </xf>
    <xf numFmtId="165" fontId="9" fillId="0" borderId="5" xfId="1" quotePrefix="1" applyNumberFormat="1" applyFont="1" applyBorder="1" applyAlignment="1">
      <alignment horizontal="center" vertical="center"/>
    </xf>
    <xf numFmtId="165" fontId="9" fillId="0" borderId="3" xfId="1" quotePrefix="1" applyNumberFormat="1" applyFont="1" applyBorder="1" applyAlignment="1">
      <alignment horizontal="center" vertical="center"/>
    </xf>
    <xf numFmtId="165" fontId="9" fillId="0" borderId="6" xfId="1" quotePrefix="1" applyNumberFormat="1" applyFont="1" applyBorder="1" applyAlignment="1">
      <alignment horizontal="center" vertical="center"/>
    </xf>
    <xf numFmtId="165" fontId="9" fillId="0" borderId="5" xfId="1" applyNumberFormat="1" applyFont="1" applyBorder="1" applyAlignment="1">
      <alignment horizontal="center" vertical="center"/>
    </xf>
    <xf numFmtId="0" fontId="23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1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" fontId="10" fillId="0" borderId="0" xfId="3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1" fontId="10" fillId="0" borderId="0" xfId="0" applyNumberFormat="1" applyFont="1" applyAlignment="1">
      <alignment vertical="center"/>
    </xf>
    <xf numFmtId="41" fontId="24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41" fontId="10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3" fillId="0" borderId="0" xfId="0" applyFont="1" applyAlignment="1">
      <alignment wrapText="1"/>
    </xf>
    <xf numFmtId="2" fontId="9" fillId="0" borderId="3" xfId="1" quotePrefix="1" applyNumberFormat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 wrapText="1"/>
    </xf>
    <xf numFmtId="165" fontId="9" fillId="0" borderId="3" xfId="1" applyNumberFormat="1" applyFont="1" applyBorder="1" applyAlignment="1">
      <alignment horizontal="center" vertical="center"/>
    </xf>
    <xf numFmtId="41" fontId="14" fillId="0" borderId="3" xfId="1" quotePrefix="1" applyNumberFormat="1" applyFont="1" applyBorder="1" applyAlignment="1">
      <alignment horizontal="center" vertical="center" wrapText="1"/>
    </xf>
    <xf numFmtId="0" fontId="9" fillId="0" borderId="25" xfId="1" quotePrefix="1" applyFont="1" applyBorder="1" applyAlignment="1">
      <alignment horizontal="center" vertical="center"/>
    </xf>
    <xf numFmtId="0" fontId="9" fillId="0" borderId="5" xfId="1" quotePrefix="1" applyFont="1" applyBorder="1" applyAlignment="1">
      <alignment horizontal="center" vertical="center"/>
    </xf>
    <xf numFmtId="0" fontId="9" fillId="0" borderId="3" xfId="1" quotePrefix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 wrapText="1"/>
    </xf>
    <xf numFmtId="0" fontId="19" fillId="0" borderId="0" xfId="0" applyFont="1"/>
    <xf numFmtId="165" fontId="9" fillId="0" borderId="6" xfId="1" applyNumberFormat="1" applyFont="1" applyBorder="1" applyAlignment="1">
      <alignment horizontal="center" vertical="center"/>
    </xf>
    <xf numFmtId="1" fontId="9" fillId="0" borderId="5" xfId="1" quotePrefix="1" applyNumberFormat="1" applyFont="1" applyBorder="1" applyAlignment="1">
      <alignment horizontal="center" vertical="center"/>
    </xf>
    <xf numFmtId="0" fontId="16" fillId="0" borderId="27" xfId="0" applyFont="1" applyBorder="1"/>
    <xf numFmtId="0" fontId="10" fillId="0" borderId="2" xfId="1" applyFont="1" applyBorder="1" applyAlignment="1">
      <alignment horizontal="center" vertical="center"/>
    </xf>
    <xf numFmtId="0" fontId="16" fillId="0" borderId="31" xfId="0" applyFont="1" applyBorder="1"/>
    <xf numFmtId="0" fontId="13" fillId="0" borderId="8" xfId="0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28" fillId="0" borderId="11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 wrapText="1"/>
    </xf>
    <xf numFmtId="41" fontId="10" fillId="0" borderId="3" xfId="1" applyNumberFormat="1" applyFont="1" applyBorder="1" applyAlignment="1">
      <alignment vertical="center"/>
    </xf>
    <xf numFmtId="165" fontId="9" fillId="0" borderId="10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1" fontId="9" fillId="0" borderId="3" xfId="1" quotePrefix="1" applyNumberFormat="1" applyFont="1" applyBorder="1" applyAlignment="1">
      <alignment horizontal="center" vertical="center"/>
    </xf>
    <xf numFmtId="0" fontId="9" fillId="0" borderId="3" xfId="1" quotePrefix="1" applyFont="1" applyBorder="1" applyAlignment="1">
      <alignment horizontal="center" vertical="center" wrapText="1"/>
    </xf>
    <xf numFmtId="164" fontId="11" fillId="0" borderId="5" xfId="1" applyNumberFormat="1" applyFont="1" applyBorder="1" applyAlignment="1">
      <alignment horizontal="center" vertical="center"/>
    </xf>
    <xf numFmtId="0" fontId="11" fillId="0" borderId="5" xfId="1" quotePrefix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3" xfId="1" applyFont="1" applyBorder="1" applyAlignment="1">
      <alignment horizontal="center" vertical="center"/>
    </xf>
    <xf numFmtId="0" fontId="21" fillId="0" borderId="0" xfId="0" applyFont="1"/>
    <xf numFmtId="0" fontId="9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2" fillId="0" borderId="5" xfId="1" quotePrefix="1" applyFont="1" applyBorder="1" applyAlignment="1">
      <alignment horizontal="center" vertical="center"/>
    </xf>
    <xf numFmtId="0" fontId="9" fillId="0" borderId="24" xfId="1" quotePrefix="1" applyFont="1" applyBorder="1" applyAlignment="1">
      <alignment horizontal="center" vertical="center"/>
    </xf>
    <xf numFmtId="0" fontId="21" fillId="0" borderId="6" xfId="0" quotePrefix="1" applyFont="1" applyBorder="1" applyAlignment="1">
      <alignment horizontal="center" vertical="center"/>
    </xf>
    <xf numFmtId="0" fontId="10" fillId="0" borderId="11" xfId="1" applyFont="1" applyBorder="1" applyAlignment="1">
      <alignment vertical="center"/>
    </xf>
    <xf numFmtId="18" fontId="10" fillId="0" borderId="6" xfId="1" quotePrefix="1" applyNumberFormat="1" applyFont="1" applyBorder="1" applyAlignment="1">
      <alignment horizontal="center" vertical="center" wrapText="1"/>
    </xf>
    <xf numFmtId="164" fontId="12" fillId="0" borderId="23" xfId="1" applyNumberFormat="1" applyFont="1" applyBorder="1" applyAlignment="1">
      <alignment horizontal="center" vertical="center" wrapText="1"/>
    </xf>
    <xf numFmtId="164" fontId="12" fillId="0" borderId="25" xfId="1" applyNumberFormat="1" applyFont="1" applyBorder="1" applyAlignment="1">
      <alignment horizontal="center" vertical="center" wrapText="1"/>
    </xf>
    <xf numFmtId="0" fontId="27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vertical="center" wrapText="1"/>
    </xf>
    <xf numFmtId="0" fontId="9" fillId="0" borderId="24" xfId="1" applyFont="1" applyBorder="1" applyAlignment="1">
      <alignment vertical="center" wrapText="1"/>
    </xf>
    <xf numFmtId="0" fontId="16" fillId="0" borderId="4" xfId="0" applyFont="1" applyBorder="1"/>
    <xf numFmtId="1" fontId="11" fillId="0" borderId="5" xfId="1" applyNumberFormat="1" applyFont="1" applyBorder="1" applyAlignment="1">
      <alignment horizontal="center" vertical="center" wrapText="1" shrinkToFit="1"/>
    </xf>
    <xf numFmtId="41" fontId="14" fillId="0" borderId="5" xfId="1" quotePrefix="1" applyNumberFormat="1" applyFont="1" applyBorder="1" applyAlignment="1">
      <alignment horizontal="center" vertical="center" wrapText="1"/>
    </xf>
    <xf numFmtId="0" fontId="28" fillId="0" borderId="25" xfId="1" applyFont="1" applyBorder="1" applyAlignment="1">
      <alignment horizontal="center" vertical="center" wrapText="1"/>
    </xf>
    <xf numFmtId="0" fontId="28" fillId="0" borderId="4" xfId="1" applyFont="1" applyBorder="1" applyAlignment="1">
      <alignment vertical="center" wrapText="1"/>
    </xf>
    <xf numFmtId="0" fontId="6" fillId="0" borderId="0" xfId="1" applyFont="1" applyFill="1" applyAlignment="1">
      <alignment horizontal="center" vertical="center" wrapText="1"/>
    </xf>
    <xf numFmtId="41" fontId="20" fillId="0" borderId="0" xfId="1" applyNumberFormat="1" applyFont="1" applyFill="1" applyAlignment="1">
      <alignment horizontal="left" vertical="center" wrapText="1"/>
    </xf>
    <xf numFmtId="0" fontId="16" fillId="0" borderId="0" xfId="0" applyFont="1" applyFill="1" applyAlignment="1">
      <alignment wrapText="1"/>
    </xf>
    <xf numFmtId="41" fontId="9" fillId="0" borderId="0" xfId="0" applyNumberFormat="1" applyFont="1" applyFill="1" applyAlignment="1">
      <alignment horizontal="center" vertical="center" wrapText="1"/>
    </xf>
    <xf numFmtId="41" fontId="9" fillId="0" borderId="0" xfId="0" applyNumberFormat="1" applyFont="1" applyFill="1" applyAlignment="1">
      <alignment horizontal="center" vertical="center"/>
    </xf>
    <xf numFmtId="41" fontId="10" fillId="0" borderId="0" xfId="0" applyNumberFormat="1" applyFont="1" applyFill="1" applyAlignment="1">
      <alignment horizontal="left" vertical="center"/>
    </xf>
    <xf numFmtId="41" fontId="9" fillId="0" borderId="0" xfId="0" applyNumberFormat="1" applyFont="1" applyFill="1" applyAlignment="1">
      <alignment horizontal="left" vertical="center"/>
    </xf>
    <xf numFmtId="41" fontId="24" fillId="0" borderId="0" xfId="0" applyNumberFormat="1" applyFont="1" applyFill="1" applyAlignment="1">
      <alignment horizontal="left" vertical="center"/>
    </xf>
    <xf numFmtId="1" fontId="25" fillId="0" borderId="0" xfId="0" applyNumberFormat="1" applyFont="1" applyFill="1" applyAlignment="1">
      <alignment horizontal="center" vertical="center"/>
    </xf>
    <xf numFmtId="0" fontId="23" fillId="0" borderId="0" xfId="0" applyFont="1" applyFill="1"/>
    <xf numFmtId="0" fontId="0" fillId="0" borderId="0" xfId="0" applyFill="1" applyAlignment="1">
      <alignment wrapText="1"/>
    </xf>
    <xf numFmtId="41" fontId="10" fillId="0" borderId="5" xfId="1" applyNumberFormat="1" applyFont="1" applyFill="1" applyBorder="1" applyAlignment="1">
      <alignment vertical="center" wrapText="1"/>
    </xf>
    <xf numFmtId="2" fontId="9" fillId="0" borderId="29" xfId="1" quotePrefix="1" applyNumberFormat="1" applyFont="1" applyBorder="1" applyAlignment="1">
      <alignment horizontal="center" vertical="center"/>
    </xf>
    <xf numFmtId="165" fontId="9" fillId="0" borderId="6" xfId="1" quotePrefix="1" applyNumberFormat="1" applyFont="1" applyBorder="1" applyAlignment="1">
      <alignment horizontal="center" vertical="center" wrapText="1"/>
    </xf>
    <xf numFmtId="2" fontId="9" fillId="0" borderId="5" xfId="1" quotePrefix="1" applyNumberFormat="1" applyFont="1" applyBorder="1" applyAlignment="1">
      <alignment horizontal="center" vertical="center"/>
    </xf>
    <xf numFmtId="1" fontId="12" fillId="0" borderId="3" xfId="1" quotePrefix="1" applyNumberFormat="1" applyFont="1" applyBorder="1" applyAlignment="1">
      <alignment horizontal="center" vertical="center"/>
    </xf>
    <xf numFmtId="1" fontId="9" fillId="0" borderId="3" xfId="1" applyNumberFormat="1" applyFont="1" applyBorder="1" applyAlignment="1">
      <alignment horizontal="center" vertical="center"/>
    </xf>
    <xf numFmtId="41" fontId="10" fillId="0" borderId="3" xfId="1" applyNumberFormat="1" applyFont="1" applyFill="1" applyBorder="1" applyAlignment="1">
      <alignment horizontal="left" vertical="center" wrapText="1"/>
    </xf>
    <xf numFmtId="0" fontId="9" fillId="0" borderId="11" xfId="1" applyFont="1" applyBorder="1" applyAlignment="1">
      <alignment vertical="center" wrapText="1"/>
    </xf>
    <xf numFmtId="165" fontId="9" fillId="0" borderId="24" xfId="1" applyNumberFormat="1" applyFont="1" applyBorder="1" applyAlignment="1">
      <alignment horizontal="center" vertical="center"/>
    </xf>
    <xf numFmtId="2" fontId="9" fillId="0" borderId="28" xfId="1" quotePrefix="1" applyNumberFormat="1" applyFont="1" applyBorder="1" applyAlignment="1">
      <alignment horizontal="center" vertical="center"/>
    </xf>
    <xf numFmtId="2" fontId="9" fillId="0" borderId="10" xfId="1" quotePrefix="1" applyNumberFormat="1" applyFont="1" applyBorder="1" applyAlignment="1">
      <alignment horizontal="center" vertical="center"/>
    </xf>
    <xf numFmtId="1" fontId="9" fillId="0" borderId="25" xfId="1" quotePrefix="1" applyNumberFormat="1" applyFont="1" applyBorder="1" applyAlignment="1">
      <alignment horizontal="center" vertical="center"/>
    </xf>
    <xf numFmtId="1" fontId="9" fillId="0" borderId="6" xfId="1" quotePrefix="1" applyNumberFormat="1" applyFont="1" applyBorder="1" applyAlignment="1">
      <alignment horizontal="center" vertical="center"/>
    </xf>
    <xf numFmtId="1" fontId="9" fillId="0" borderId="24" xfId="1" applyNumberFormat="1" applyFont="1" applyBorder="1" applyAlignment="1">
      <alignment horizontal="center" vertical="center"/>
    </xf>
    <xf numFmtId="165" fontId="12" fillId="0" borderId="5" xfId="1" quotePrefix="1" applyNumberFormat="1" applyFont="1" applyBorder="1" applyAlignment="1">
      <alignment horizontal="center" vertical="center"/>
    </xf>
    <xf numFmtId="165" fontId="9" fillId="0" borderId="24" xfId="1" quotePrefix="1" applyNumberFormat="1" applyFont="1" applyBorder="1" applyAlignment="1">
      <alignment horizontal="center" vertical="center"/>
    </xf>
    <xf numFmtId="0" fontId="9" fillId="0" borderId="33" xfId="1" applyFont="1" applyBorder="1" applyAlignment="1">
      <alignment vertical="center" wrapText="1"/>
    </xf>
    <xf numFmtId="41" fontId="10" fillId="0" borderId="3" xfId="1" applyNumberFormat="1" applyFont="1" applyFill="1" applyBorder="1" applyAlignment="1">
      <alignment vertical="center" wrapText="1"/>
    </xf>
    <xf numFmtId="41" fontId="10" fillId="0" borderId="6" xfId="1" applyNumberFormat="1" applyFont="1" applyFill="1" applyBorder="1" applyAlignment="1">
      <alignment vertical="center" wrapText="1"/>
    </xf>
    <xf numFmtId="1" fontId="9" fillId="0" borderId="6" xfId="1" applyNumberFormat="1" applyFont="1" applyBorder="1" applyAlignment="1">
      <alignment horizontal="center" vertical="center"/>
    </xf>
    <xf numFmtId="1" fontId="12" fillId="0" borderId="5" xfId="1" quotePrefix="1" applyNumberFormat="1" applyFont="1" applyBorder="1" applyAlignment="1">
      <alignment horizontal="center" vertical="center"/>
    </xf>
    <xf numFmtId="41" fontId="11" fillId="0" borderId="5" xfId="1" applyNumberFormat="1" applyFont="1" applyFill="1" applyBorder="1" applyAlignment="1">
      <alignment horizontal="left" vertical="center" wrapText="1"/>
    </xf>
    <xf numFmtId="1" fontId="10" fillId="0" borderId="5" xfId="1" quotePrefix="1" applyNumberFormat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18" fontId="11" fillId="0" borderId="5" xfId="1" quotePrefix="1" applyNumberFormat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/>
    </xf>
    <xf numFmtId="1" fontId="9" fillId="0" borderId="5" xfId="1" applyNumberFormat="1" applyFont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41" fontId="9" fillId="0" borderId="1" xfId="1" applyNumberFormat="1" applyFont="1" applyFill="1" applyBorder="1" applyAlignment="1">
      <alignment vertical="center" wrapText="1"/>
    </xf>
    <xf numFmtId="41" fontId="9" fillId="0" borderId="5" xfId="1" applyNumberFormat="1" applyFont="1" applyFill="1" applyBorder="1" applyAlignment="1">
      <alignment vertical="center" wrapText="1"/>
    </xf>
    <xf numFmtId="41" fontId="11" fillId="0" borderId="6" xfId="1" applyNumberFormat="1" applyFont="1" applyFill="1" applyBorder="1" applyAlignment="1">
      <alignment horizontal="left" vertical="center" wrapText="1"/>
    </xf>
    <xf numFmtId="41" fontId="11" fillId="0" borderId="25" xfId="1" applyNumberFormat="1" applyFont="1" applyFill="1" applyBorder="1" applyAlignment="1">
      <alignment horizontal="left" vertical="center" wrapText="1"/>
    </xf>
    <xf numFmtId="41" fontId="9" fillId="0" borderId="3" xfId="1" applyNumberFormat="1" applyFont="1" applyFill="1" applyBorder="1" applyAlignment="1">
      <alignment vertical="center" wrapText="1"/>
    </xf>
    <xf numFmtId="41" fontId="9" fillId="0" borderId="6" xfId="1" applyNumberFormat="1" applyFont="1" applyFill="1" applyBorder="1" applyAlignment="1">
      <alignment vertical="center" wrapText="1"/>
    </xf>
    <xf numFmtId="41" fontId="10" fillId="0" borderId="10" xfId="1" applyNumberFormat="1" applyFont="1" applyFill="1" applyBorder="1" applyAlignment="1">
      <alignment vertical="center" wrapText="1"/>
    </xf>
    <xf numFmtId="165" fontId="9" fillId="0" borderId="25" xfId="1" quotePrefix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164" fontId="12" fillId="0" borderId="14" xfId="1" applyNumberFormat="1" applyFont="1" applyBorder="1" applyAlignment="1">
      <alignment horizontal="center" vertical="center" wrapText="1"/>
    </xf>
    <xf numFmtId="164" fontId="12" fillId="0" borderId="13" xfId="1" applyNumberFormat="1" applyFont="1" applyBorder="1" applyAlignment="1">
      <alignment horizontal="center" vertical="center" wrapText="1"/>
    </xf>
    <xf numFmtId="41" fontId="10" fillId="0" borderId="10" xfId="1" applyNumberFormat="1" applyFont="1" applyBorder="1" applyAlignment="1">
      <alignment horizontal="center" vertical="center"/>
    </xf>
    <xf numFmtId="41" fontId="10" fillId="0" borderId="5" xfId="1" applyNumberFormat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41" fontId="10" fillId="0" borderId="6" xfId="1" applyNumberFormat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6" xfId="1" quotePrefix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43" fontId="10" fillId="0" borderId="6" xfId="2" applyFont="1" applyFill="1" applyBorder="1" applyAlignment="1">
      <alignment horizontal="center" vertical="center"/>
    </xf>
    <xf numFmtId="43" fontId="10" fillId="0" borderId="10" xfId="2" applyFont="1" applyFill="1" applyBorder="1" applyAlignment="1">
      <alignment horizontal="center" vertical="center"/>
    </xf>
    <xf numFmtId="43" fontId="10" fillId="0" borderId="5" xfId="2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 wrapText="1"/>
    </xf>
    <xf numFmtId="0" fontId="10" fillId="0" borderId="10" xfId="1" quotePrefix="1" applyFont="1" applyBorder="1" applyAlignment="1">
      <alignment horizontal="center" vertical="center" wrapText="1"/>
    </xf>
    <xf numFmtId="0" fontId="10" fillId="0" borderId="5" xfId="1" quotePrefix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10" fillId="0" borderId="3" xfId="1" quotePrefix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/>
    </xf>
    <xf numFmtId="41" fontId="10" fillId="0" borderId="3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41" fontId="10" fillId="0" borderId="6" xfId="1" quotePrefix="1" applyNumberFormat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center" vertical="center" wrapText="1"/>
    </xf>
    <xf numFmtId="43" fontId="10" fillId="0" borderId="6" xfId="2" applyFont="1" applyFill="1" applyBorder="1" applyAlignment="1">
      <alignment horizontal="center" vertical="center"/>
    </xf>
    <xf numFmtId="43" fontId="10" fillId="0" borderId="5" xfId="2" applyFont="1" applyFill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41" fontId="10" fillId="0" borderId="6" xfId="1" applyNumberFormat="1" applyFont="1" applyBorder="1" applyAlignment="1">
      <alignment horizontal="center" vertical="center"/>
    </xf>
    <xf numFmtId="41" fontId="10" fillId="0" borderId="5" xfId="1" applyNumberFormat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/>
    </xf>
    <xf numFmtId="41" fontId="10" fillId="0" borderId="6" xfId="1" quotePrefix="1" applyNumberFormat="1" applyFont="1" applyBorder="1" applyAlignment="1">
      <alignment horizontal="center" vertical="center" wrapText="1"/>
    </xf>
    <xf numFmtId="0" fontId="10" fillId="0" borderId="5" xfId="1" quotePrefix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17" fontId="17" fillId="0" borderId="26" xfId="0" applyNumberFormat="1" applyFont="1" applyBorder="1" applyAlignment="1">
      <alignment horizontal="right"/>
    </xf>
    <xf numFmtId="165" fontId="28" fillId="0" borderId="5" xfId="1" quotePrefix="1" applyNumberFormat="1" applyFont="1" applyBorder="1" applyAlignment="1">
      <alignment horizontal="center" vertical="center"/>
    </xf>
    <xf numFmtId="0" fontId="28" fillId="0" borderId="6" xfId="1" quotePrefix="1" applyFont="1" applyBorder="1" applyAlignment="1">
      <alignment horizontal="center" vertical="center" wrapText="1"/>
    </xf>
    <xf numFmtId="43" fontId="28" fillId="0" borderId="5" xfId="2" applyFont="1" applyFill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 wrapText="1"/>
    </xf>
    <xf numFmtId="0" fontId="10" fillId="0" borderId="10" xfId="1" quotePrefix="1" applyFont="1" applyBorder="1" applyAlignment="1">
      <alignment horizontal="center" vertical="center" wrapText="1"/>
    </xf>
    <xf numFmtId="0" fontId="10" fillId="0" borderId="5" xfId="1" quotePrefix="1" applyFont="1" applyBorder="1" applyAlignment="1">
      <alignment horizontal="center" vertical="center" wrapText="1"/>
    </xf>
    <xf numFmtId="43" fontId="10" fillId="0" borderId="6" xfId="2" applyFont="1" applyFill="1" applyBorder="1" applyAlignment="1">
      <alignment horizontal="center" vertical="center"/>
    </xf>
    <xf numFmtId="43" fontId="10" fillId="0" borderId="10" xfId="2" applyFont="1" applyFill="1" applyBorder="1" applyAlignment="1">
      <alignment horizontal="center" vertical="center"/>
    </xf>
    <xf numFmtId="43" fontId="10" fillId="0" borderId="5" xfId="2" applyFont="1" applyFill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10" fillId="0" borderId="3" xfId="1" quotePrefix="1" applyFont="1" applyBorder="1" applyAlignment="1">
      <alignment horizontal="center" vertical="center" wrapText="1"/>
    </xf>
    <xf numFmtId="41" fontId="10" fillId="0" borderId="6" xfId="1" applyNumberFormat="1" applyFont="1" applyBorder="1" applyAlignment="1">
      <alignment horizontal="center" vertical="center"/>
    </xf>
    <xf numFmtId="41" fontId="10" fillId="0" borderId="10" xfId="1" applyNumberFormat="1" applyFont="1" applyBorder="1" applyAlignment="1">
      <alignment horizontal="center" vertical="center"/>
    </xf>
    <xf numFmtId="41" fontId="10" fillId="0" borderId="5" xfId="1" applyNumberFormat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41" fontId="10" fillId="0" borderId="3" xfId="1" applyNumberFormat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41" fontId="10" fillId="0" borderId="6" xfId="1" applyNumberFormat="1" applyFont="1" applyFill="1" applyBorder="1" applyAlignment="1">
      <alignment horizontal="left" vertical="center" wrapText="1"/>
    </xf>
    <xf numFmtId="41" fontId="10" fillId="0" borderId="5" xfId="1" applyNumberFormat="1" applyFont="1" applyFill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41" fontId="10" fillId="0" borderId="6" xfId="1" quotePrefix="1" applyNumberFormat="1" applyFont="1" applyBorder="1" applyAlignment="1">
      <alignment horizontal="center" vertical="center" wrapText="1"/>
    </xf>
    <xf numFmtId="0" fontId="16" fillId="0" borderId="31" xfId="0" applyFont="1" applyFill="1" applyBorder="1" applyAlignment="1">
      <alignment wrapText="1"/>
    </xf>
    <xf numFmtId="0" fontId="16" fillId="0" borderId="31" xfId="0" applyFont="1" applyBorder="1" applyAlignment="1">
      <alignment wrapText="1"/>
    </xf>
    <xf numFmtId="0" fontId="21" fillId="0" borderId="31" xfId="0" applyFont="1" applyBorder="1"/>
    <xf numFmtId="0" fontId="28" fillId="0" borderId="8" xfId="0" applyFont="1" applyBorder="1" applyAlignment="1">
      <alignment horizontal="center" vertical="center" wrapText="1"/>
    </xf>
    <xf numFmtId="0" fontId="21" fillId="0" borderId="8" xfId="0" quotePrefix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13" fillId="0" borderId="6" xfId="1" applyFont="1" applyBorder="1" applyAlignment="1">
      <alignment horizontal="center" vertical="center" wrapText="1"/>
    </xf>
    <xf numFmtId="0" fontId="21" fillId="0" borderId="3" xfId="1" quotePrefix="1" applyFont="1" applyBorder="1" applyAlignment="1">
      <alignment horizontal="center" vertical="center"/>
    </xf>
    <xf numFmtId="0" fontId="21" fillId="0" borderId="5" xfId="1" quotePrefix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6" fillId="0" borderId="0" xfId="0" applyFont="1" applyBorder="1"/>
    <xf numFmtId="1" fontId="22" fillId="0" borderId="42" xfId="0" applyNumberFormat="1" applyFont="1" applyBorder="1"/>
    <xf numFmtId="0" fontId="13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9" fillId="0" borderId="6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9" fillId="0" borderId="16" xfId="1" applyFont="1" applyBorder="1" applyAlignment="1">
      <alignment vertical="center" wrapText="1"/>
    </xf>
    <xf numFmtId="165" fontId="9" fillId="0" borderId="1" xfId="1" quotePrefix="1" applyNumberFormat="1" applyFont="1" applyBorder="1" applyAlignment="1">
      <alignment horizontal="center" vertical="center"/>
    </xf>
    <xf numFmtId="165" fontId="9" fillId="0" borderId="8" xfId="1" quotePrefix="1" applyNumberFormat="1" applyFont="1" applyBorder="1" applyAlignment="1">
      <alignment horizontal="center" vertical="center"/>
    </xf>
    <xf numFmtId="1" fontId="22" fillId="0" borderId="43" xfId="0" applyNumberFormat="1" applyFont="1" applyBorder="1"/>
    <xf numFmtId="41" fontId="13" fillId="0" borderId="3" xfId="1" applyNumberFormat="1" applyFont="1" applyFill="1" applyBorder="1" applyAlignment="1">
      <alignment vertical="center" wrapText="1"/>
    </xf>
    <xf numFmtId="41" fontId="11" fillId="0" borderId="3" xfId="1" applyNumberFormat="1" applyFont="1" applyFill="1" applyBorder="1" applyAlignment="1">
      <alignment horizontal="left" vertical="center" wrapText="1"/>
    </xf>
    <xf numFmtId="41" fontId="13" fillId="0" borderId="5" xfId="1" applyNumberFormat="1" applyFont="1" applyFill="1" applyBorder="1" applyAlignment="1">
      <alignment horizontal="left" vertical="center" wrapText="1"/>
    </xf>
    <xf numFmtId="41" fontId="13" fillId="0" borderId="5" xfId="1" applyNumberFormat="1" applyFont="1" applyFill="1" applyBorder="1" applyAlignment="1">
      <alignment vertical="center" wrapText="1"/>
    </xf>
    <xf numFmtId="41" fontId="13" fillId="0" borderId="6" xfId="1" applyNumberFormat="1" applyFont="1" applyFill="1" applyBorder="1" applyAlignment="1">
      <alignment vertical="center" wrapText="1"/>
    </xf>
    <xf numFmtId="164" fontId="12" fillId="0" borderId="21" xfId="1" applyNumberFormat="1" applyFont="1" applyBorder="1" applyAlignment="1">
      <alignment horizontal="center" vertical="center" wrapText="1"/>
    </xf>
    <xf numFmtId="164" fontId="12" fillId="0" borderId="4" xfId="1" applyNumberFormat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27" fillId="0" borderId="11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41" fontId="4" fillId="0" borderId="5" xfId="1" applyNumberFormat="1" applyFont="1" applyFill="1" applyBorder="1" applyAlignment="1">
      <alignment vertical="center" wrapText="1"/>
    </xf>
    <xf numFmtId="41" fontId="3" fillId="0" borderId="5" xfId="1" applyNumberFormat="1" applyFont="1" applyFill="1" applyBorder="1" applyAlignment="1">
      <alignment vertical="center" wrapText="1"/>
    </xf>
    <xf numFmtId="0" fontId="13" fillId="0" borderId="41" xfId="0" applyFont="1" applyFill="1" applyBorder="1" applyAlignment="1">
      <alignment horizontal="left" vertical="center"/>
    </xf>
    <xf numFmtId="0" fontId="13" fillId="0" borderId="6" xfId="1" quotePrefix="1" applyFont="1" applyBorder="1" applyAlignment="1">
      <alignment horizontal="center" vertical="center" wrapText="1"/>
    </xf>
    <xf numFmtId="43" fontId="13" fillId="0" borderId="5" xfId="2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41" fontId="10" fillId="0" borderId="10" xfId="1" applyNumberFormat="1" applyFont="1" applyBorder="1" applyAlignment="1">
      <alignment horizontal="center" vertical="center"/>
    </xf>
    <xf numFmtId="41" fontId="10" fillId="0" borderId="5" xfId="1" applyNumberFormat="1" applyFont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/>
    </xf>
    <xf numFmtId="43" fontId="10" fillId="0" borderId="6" xfId="2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41" fontId="10" fillId="0" borderId="3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41" fontId="10" fillId="0" borderId="10" xfId="1" applyNumberFormat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0" fillId="0" borderId="46" xfId="0" applyBorder="1"/>
    <xf numFmtId="0" fontId="10" fillId="0" borderId="2" xfId="1" applyFont="1" applyBorder="1" applyAlignment="1">
      <alignment vertical="center"/>
    </xf>
    <xf numFmtId="0" fontId="9" fillId="0" borderId="6" xfId="1" quotePrefix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5" xfId="1" quotePrefix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41" fontId="10" fillId="0" borderId="6" xfId="1" applyNumberFormat="1" applyFont="1" applyFill="1" applyBorder="1" applyAlignment="1">
      <alignment horizontal="left" vertical="center" wrapText="1"/>
    </xf>
    <xf numFmtId="41" fontId="18" fillId="0" borderId="3" xfId="1" applyNumberFormat="1" applyFont="1" applyFill="1" applyBorder="1" applyAlignment="1">
      <alignment vertical="center" wrapText="1"/>
    </xf>
    <xf numFmtId="41" fontId="21" fillId="0" borderId="3" xfId="1" applyNumberFormat="1" applyFont="1" applyFill="1" applyBorder="1" applyAlignment="1">
      <alignment vertical="center" wrapText="1"/>
    </xf>
    <xf numFmtId="41" fontId="10" fillId="0" borderId="25" xfId="1" applyNumberFormat="1" applyFont="1" applyFill="1" applyBorder="1" applyAlignment="1">
      <alignment horizontal="left" vertical="center" wrapText="1"/>
    </xf>
    <xf numFmtId="41" fontId="21" fillId="0" borderId="5" xfId="1" applyNumberFormat="1" applyFont="1" applyFill="1" applyBorder="1" applyAlignment="1">
      <alignment horizontal="left" vertical="center" wrapText="1"/>
    </xf>
    <xf numFmtId="164" fontId="12" fillId="0" borderId="14" xfId="1" applyNumberFormat="1" applyFont="1" applyBorder="1" applyAlignment="1">
      <alignment horizontal="center" vertical="center"/>
    </xf>
    <xf numFmtId="164" fontId="12" fillId="0" borderId="13" xfId="1" applyNumberFormat="1" applyFont="1" applyBorder="1" applyAlignment="1">
      <alignment horizontal="center" vertical="center"/>
    </xf>
    <xf numFmtId="15" fontId="12" fillId="0" borderId="14" xfId="1" applyNumberFormat="1" applyFont="1" applyBorder="1" applyAlignment="1">
      <alignment horizontal="center" vertical="center"/>
    </xf>
    <xf numFmtId="15" fontId="12" fillId="0" borderId="13" xfId="1" applyNumberFormat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164" fontId="12" fillId="0" borderId="14" xfId="1" applyNumberFormat="1" applyFont="1" applyBorder="1" applyAlignment="1">
      <alignment horizontal="center" vertical="center" wrapText="1"/>
    </xf>
    <xf numFmtId="164" fontId="12" fillId="0" borderId="13" xfId="1" applyNumberFormat="1" applyFont="1" applyBorder="1" applyAlignment="1">
      <alignment horizontal="center" vertical="center" wrapText="1"/>
    </xf>
    <xf numFmtId="0" fontId="11" fillId="0" borderId="6" xfId="1" quotePrefix="1" applyFont="1" applyBorder="1" applyAlignment="1">
      <alignment horizontal="center" vertical="center" wrapText="1"/>
    </xf>
    <xf numFmtId="0" fontId="11" fillId="0" borderId="5" xfId="1" quotePrefix="1" applyFont="1" applyBorder="1" applyAlignment="1">
      <alignment horizontal="center" vertical="center" wrapText="1"/>
    </xf>
    <xf numFmtId="16" fontId="10" fillId="0" borderId="6" xfId="1" quotePrefix="1" applyNumberFormat="1" applyFont="1" applyBorder="1" applyAlignment="1">
      <alignment horizontal="center" vertical="center" wrapText="1"/>
    </xf>
    <xf numFmtId="16" fontId="10" fillId="0" borderId="5" xfId="1" quotePrefix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1" fillId="0" borderId="35" xfId="1" applyFont="1" applyBorder="1" applyAlignment="1">
      <alignment horizontal="center" vertical="center"/>
    </xf>
    <xf numFmtId="0" fontId="11" fillId="0" borderId="37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41" fontId="10" fillId="0" borderId="6" xfId="1" applyNumberFormat="1" applyFont="1" applyFill="1" applyBorder="1" applyAlignment="1">
      <alignment horizontal="left" vertical="center" wrapText="1"/>
    </xf>
    <xf numFmtId="41" fontId="10" fillId="0" borderId="10" xfId="1" applyNumberFormat="1" applyFont="1" applyFill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41" fontId="10" fillId="0" borderId="14" xfId="1" applyNumberFormat="1" applyFont="1" applyBorder="1" applyAlignment="1">
      <alignment horizontal="center" vertical="center"/>
    </xf>
    <xf numFmtId="41" fontId="10" fillId="0" borderId="10" xfId="1" applyNumberFormat="1" applyFont="1" applyBorder="1" applyAlignment="1">
      <alignment horizontal="center" vertical="center"/>
    </xf>
    <xf numFmtId="41" fontId="10" fillId="0" borderId="5" xfId="1" applyNumberFormat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41" fontId="10" fillId="0" borderId="6" xfId="1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43" fontId="10" fillId="0" borderId="6" xfId="2" applyFont="1" applyFill="1" applyBorder="1" applyAlignment="1">
      <alignment horizontal="center" vertical="center"/>
    </xf>
    <xf numFmtId="43" fontId="10" fillId="0" borderId="10" xfId="2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43" fontId="10" fillId="0" borderId="5" xfId="2" applyFont="1" applyFill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/>
    </xf>
    <xf numFmtId="0" fontId="10" fillId="0" borderId="10" xfId="1" quotePrefix="1" applyFont="1" applyBorder="1" applyAlignment="1">
      <alignment horizontal="center" vertical="center"/>
    </xf>
    <xf numFmtId="0" fontId="10" fillId="0" borderId="5" xfId="1" quotePrefix="1" applyFont="1" applyBorder="1" applyAlignment="1">
      <alignment horizontal="center" vertical="center"/>
    </xf>
    <xf numFmtId="43" fontId="10" fillId="0" borderId="14" xfId="2" applyFont="1" applyFill="1" applyBorder="1" applyAlignment="1">
      <alignment horizontal="center" vertical="center"/>
    </xf>
    <xf numFmtId="164" fontId="12" fillId="0" borderId="19" xfId="1" applyNumberFormat="1" applyFont="1" applyBorder="1" applyAlignment="1">
      <alignment horizontal="center" vertical="center"/>
    </xf>
    <xf numFmtId="164" fontId="12" fillId="0" borderId="17" xfId="1" applyNumberFormat="1" applyFont="1" applyBorder="1" applyAlignment="1">
      <alignment horizontal="center" vertical="center"/>
    </xf>
    <xf numFmtId="166" fontId="12" fillId="0" borderId="1" xfId="1" applyNumberFormat="1" applyFont="1" applyFill="1" applyBorder="1" applyAlignment="1">
      <alignment horizontal="center" vertical="center" wrapText="1"/>
    </xf>
    <xf numFmtId="166" fontId="12" fillId="0" borderId="8" xfId="1" applyNumberFormat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 wrapText="1" shrinkToFit="1"/>
    </xf>
    <xf numFmtId="1" fontId="12" fillId="0" borderId="8" xfId="1" applyNumberFormat="1" applyFont="1" applyBorder="1" applyAlignment="1">
      <alignment horizontal="center" vertical="center" wrapText="1" shrinkToFit="1"/>
    </xf>
    <xf numFmtId="16" fontId="10" fillId="0" borderId="10" xfId="1" quotePrefix="1" applyNumberFormat="1" applyFont="1" applyBorder="1" applyAlignment="1">
      <alignment horizontal="center" vertical="center" wrapText="1"/>
    </xf>
    <xf numFmtId="0" fontId="10" fillId="0" borderId="6" xfId="1" quotePrefix="1" applyFont="1" applyBorder="1" applyAlignment="1">
      <alignment horizontal="center" vertical="center" wrapText="1"/>
    </xf>
    <xf numFmtId="0" fontId="10" fillId="0" borderId="5" xfId="1" quotePrefix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1" fontId="9" fillId="0" borderId="0" xfId="3" applyNumberFormat="1" applyFont="1" applyFill="1" applyBorder="1" applyAlignment="1">
      <alignment horizontal="center" vertical="center"/>
    </xf>
    <xf numFmtId="0" fontId="10" fillId="0" borderId="10" xfId="1" quotePrefix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10" fillId="0" borderId="3" xfId="1" quotePrefix="1" applyFont="1" applyBorder="1" applyAlignment="1">
      <alignment horizontal="center" vertical="center" wrapText="1"/>
    </xf>
    <xf numFmtId="43" fontId="19" fillId="0" borderId="6" xfId="2" applyFont="1" applyFill="1" applyBorder="1" applyAlignment="1">
      <alignment horizontal="center" vertical="center" wrapText="1"/>
    </xf>
    <xf numFmtId="43" fontId="19" fillId="0" borderId="10" xfId="2" applyFont="1" applyFill="1" applyBorder="1" applyAlignment="1">
      <alignment horizontal="center" vertical="center" wrapText="1"/>
    </xf>
    <xf numFmtId="43" fontId="19" fillId="0" borderId="5" xfId="2" applyFont="1" applyFill="1" applyBorder="1" applyAlignment="1">
      <alignment horizontal="center" vertical="center" wrapText="1"/>
    </xf>
    <xf numFmtId="41" fontId="9" fillId="0" borderId="6" xfId="1" applyNumberFormat="1" applyFont="1" applyBorder="1" applyAlignment="1">
      <alignment horizontal="center" vertical="center"/>
    </xf>
    <xf numFmtId="41" fontId="9" fillId="0" borderId="10" xfId="1" applyNumberFormat="1" applyFont="1" applyBorder="1" applyAlignment="1">
      <alignment horizontal="center" vertical="center"/>
    </xf>
    <xf numFmtId="41" fontId="9" fillId="0" borderId="5" xfId="1" applyNumberFormat="1" applyFont="1" applyBorder="1" applyAlignment="1">
      <alignment horizontal="center" vertical="center"/>
    </xf>
    <xf numFmtId="41" fontId="10" fillId="0" borderId="39" xfId="1" applyNumberFormat="1" applyFont="1" applyBorder="1" applyAlignment="1">
      <alignment horizontal="center" vertical="center"/>
    </xf>
    <xf numFmtId="41" fontId="10" fillId="0" borderId="38" xfId="1" applyNumberFormat="1" applyFont="1" applyBorder="1" applyAlignment="1">
      <alignment horizontal="center" vertical="center"/>
    </xf>
    <xf numFmtId="41" fontId="10" fillId="0" borderId="40" xfId="1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41" fontId="10" fillId="0" borderId="3" xfId="1" applyNumberFormat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12" fillId="0" borderId="44" xfId="1" applyNumberFormat="1" applyFont="1" applyBorder="1" applyAlignment="1">
      <alignment horizontal="center" vertical="center"/>
    </xf>
    <xf numFmtId="164" fontId="12" fillId="0" borderId="45" xfId="1" applyNumberFormat="1" applyFont="1" applyBorder="1" applyAlignment="1">
      <alignment horizontal="center" vertical="center"/>
    </xf>
    <xf numFmtId="41" fontId="10" fillId="2" borderId="6" xfId="1" applyNumberFormat="1" applyFont="1" applyFill="1" applyBorder="1" applyAlignment="1">
      <alignment horizontal="left" vertical="center" wrapText="1"/>
    </xf>
    <xf numFmtId="41" fontId="10" fillId="2" borderId="13" xfId="1" applyNumberFormat="1" applyFont="1" applyFill="1" applyBorder="1" applyAlignment="1">
      <alignment horizontal="left" vertical="center" wrapText="1"/>
    </xf>
    <xf numFmtId="0" fontId="9" fillId="0" borderId="34" xfId="1" applyFont="1" applyBorder="1" applyAlignment="1">
      <alignment horizontal="center" vertical="center"/>
    </xf>
  </cellXfs>
  <cellStyles count="4">
    <cellStyle name="Comma" xfId="3" builtinId="3"/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AF1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271991</xdr:colOff>
      <xdr:row>0</xdr:row>
      <xdr:rowOff>78317</xdr:rowOff>
    </xdr:from>
    <xdr:to>
      <xdr:col>1</xdr:col>
      <xdr:colOff>1700741</xdr:colOff>
      <xdr:row>3</xdr:row>
      <xdr:rowOff>4766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991" y="78317"/>
          <a:ext cx="1428750" cy="656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240742</xdr:colOff>
      <xdr:row>0</xdr:row>
      <xdr:rowOff>73269</xdr:rowOff>
    </xdr:from>
    <xdr:to>
      <xdr:col>1</xdr:col>
      <xdr:colOff>1288492</xdr:colOff>
      <xdr:row>2</xdr:row>
      <xdr:rowOff>243135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2" y="73269"/>
          <a:ext cx="1424563" cy="672284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240742</xdr:colOff>
      <xdr:row>0</xdr:row>
      <xdr:rowOff>73269</xdr:rowOff>
    </xdr:from>
    <xdr:to>
      <xdr:col>1</xdr:col>
      <xdr:colOff>1288492</xdr:colOff>
      <xdr:row>2</xdr:row>
      <xdr:rowOff>243135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2" y="73269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240742</xdr:colOff>
      <xdr:row>0</xdr:row>
      <xdr:rowOff>73269</xdr:rowOff>
    </xdr:from>
    <xdr:to>
      <xdr:col>1</xdr:col>
      <xdr:colOff>1288492</xdr:colOff>
      <xdr:row>2</xdr:row>
      <xdr:rowOff>243135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2" y="73269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240742</xdr:colOff>
      <xdr:row>0</xdr:row>
      <xdr:rowOff>73269</xdr:rowOff>
    </xdr:from>
    <xdr:to>
      <xdr:col>1</xdr:col>
      <xdr:colOff>1288492</xdr:colOff>
      <xdr:row>2</xdr:row>
      <xdr:rowOff>243135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2" y="73269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240742</xdr:colOff>
      <xdr:row>0</xdr:row>
      <xdr:rowOff>73269</xdr:rowOff>
    </xdr:from>
    <xdr:to>
      <xdr:col>1</xdr:col>
      <xdr:colOff>1288492</xdr:colOff>
      <xdr:row>2</xdr:row>
      <xdr:rowOff>243135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2" y="73269"/>
          <a:ext cx="1428750" cy="665166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57150</xdr:rowOff>
    </xdr:from>
    <xdr:to>
      <xdr:col>1</xdr:col>
      <xdr:colOff>1266825</xdr:colOff>
      <xdr:row>2</xdr:row>
      <xdr:rowOff>227016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7150"/>
          <a:ext cx="1428750" cy="665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1"/>
  <sheetViews>
    <sheetView tabSelected="1" zoomScale="90" zoomScaleNormal="90" workbookViewId="0">
      <pane xSplit="1" ySplit="6" topLeftCell="B178" activePane="bottomRight" state="frozen"/>
      <selection pane="topRight" activeCell="B1" sqref="B1"/>
      <selection pane="bottomLeft" activeCell="A7" sqref="A7"/>
      <selection pane="bottomRight" activeCell="D230" sqref="D230"/>
    </sheetView>
  </sheetViews>
  <sheetFormatPr defaultRowHeight="15.75" x14ac:dyDescent="0.25"/>
  <cols>
    <col min="1" max="1" width="5.7109375" customWidth="1"/>
    <col min="2" max="2" width="32.7109375" style="125" customWidth="1"/>
    <col min="3" max="3" width="4.7109375" customWidth="1"/>
    <col min="4" max="4" width="12" style="42" customWidth="1"/>
    <col min="5" max="5" width="14.140625" customWidth="1"/>
    <col min="6" max="6" width="13.140625" customWidth="1"/>
    <col min="7" max="7" width="9" customWidth="1"/>
    <col min="8" max="8" width="15.28515625" customWidth="1"/>
    <col min="9" max="13" width="14.42578125" style="97" customWidth="1"/>
    <col min="14" max="14" width="27.28515625" customWidth="1"/>
    <col min="15" max="15" width="32.28515625" customWidth="1"/>
    <col min="16" max="16" width="28" customWidth="1"/>
  </cols>
  <sheetData>
    <row r="1" spans="1:16" s="8" customFormat="1" ht="19.5" customHeight="1" x14ac:dyDescent="0.3">
      <c r="A1" s="377" t="s">
        <v>182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</row>
    <row r="2" spans="1:16" s="8" customFormat="1" ht="19.5" customHeight="1" x14ac:dyDescent="0.3">
      <c r="A2" s="377"/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</row>
    <row r="3" spans="1:16" s="8" customFormat="1" ht="19.5" customHeight="1" x14ac:dyDescent="0.3">
      <c r="A3" s="2"/>
      <c r="B3" s="115"/>
      <c r="C3" s="2"/>
      <c r="D3" s="40"/>
      <c r="E3" s="1"/>
      <c r="F3" s="9"/>
      <c r="G3" s="9"/>
      <c r="H3" s="9"/>
      <c r="I3" s="95"/>
      <c r="J3" s="95"/>
      <c r="K3" s="95"/>
      <c r="L3" s="95"/>
      <c r="M3" s="95"/>
      <c r="N3" s="9"/>
      <c r="O3" s="9"/>
      <c r="P3" s="9"/>
    </row>
    <row r="4" spans="1:16" s="8" customFormat="1" ht="19.5" customHeight="1" thickBot="1" x14ac:dyDescent="0.35">
      <c r="A4" s="3" t="s">
        <v>429</v>
      </c>
      <c r="B4" s="116"/>
      <c r="C4" s="12"/>
      <c r="D4" s="44"/>
      <c r="E4" s="13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s="8" customFormat="1" ht="19.5" customHeight="1" x14ac:dyDescent="0.3">
      <c r="A5" s="345" t="s">
        <v>0</v>
      </c>
      <c r="B5" s="391" t="s">
        <v>1</v>
      </c>
      <c r="C5" s="393" t="s">
        <v>2</v>
      </c>
      <c r="D5" s="393"/>
      <c r="E5" s="395" t="s">
        <v>3</v>
      </c>
      <c r="F5" s="341" t="s">
        <v>4</v>
      </c>
      <c r="G5" s="347" t="s">
        <v>252</v>
      </c>
      <c r="H5" s="341" t="s">
        <v>5</v>
      </c>
      <c r="I5" s="343">
        <v>46020</v>
      </c>
      <c r="J5" s="343">
        <v>46051</v>
      </c>
      <c r="K5" s="343">
        <v>46079</v>
      </c>
      <c r="L5" s="343">
        <v>46111</v>
      </c>
      <c r="M5" s="343">
        <v>46140</v>
      </c>
      <c r="N5" s="172" t="s">
        <v>346</v>
      </c>
      <c r="O5" s="341" t="s">
        <v>6</v>
      </c>
      <c r="P5" s="389" t="s">
        <v>7</v>
      </c>
    </row>
    <row r="6" spans="1:16" s="8" customFormat="1" ht="27" customHeight="1" thickBot="1" x14ac:dyDescent="0.35">
      <c r="A6" s="346"/>
      <c r="B6" s="392"/>
      <c r="C6" s="394"/>
      <c r="D6" s="394"/>
      <c r="E6" s="396"/>
      <c r="F6" s="342"/>
      <c r="G6" s="348"/>
      <c r="H6" s="342"/>
      <c r="I6" s="344"/>
      <c r="J6" s="344"/>
      <c r="K6" s="344"/>
      <c r="L6" s="344"/>
      <c r="M6" s="344"/>
      <c r="N6" s="173" t="s">
        <v>347</v>
      </c>
      <c r="O6" s="342"/>
      <c r="P6" s="390"/>
    </row>
    <row r="7" spans="1:16" s="8" customFormat="1" ht="39.950000000000003" customHeight="1" x14ac:dyDescent="0.3">
      <c r="A7" s="356">
        <v>1</v>
      </c>
      <c r="B7" s="158" t="s">
        <v>156</v>
      </c>
      <c r="C7" s="369" t="s">
        <v>8</v>
      </c>
      <c r="D7" s="372" t="s">
        <v>157</v>
      </c>
      <c r="E7" s="388" t="s">
        <v>158</v>
      </c>
      <c r="F7" s="378" t="s">
        <v>20</v>
      </c>
      <c r="G7" s="196"/>
      <c r="H7" s="378">
        <v>1015163133</v>
      </c>
      <c r="I7" s="53">
        <v>9292354.5999999996</v>
      </c>
      <c r="J7" s="53">
        <v>9355186.5999999996</v>
      </c>
      <c r="K7" s="53">
        <v>9412683.8000000007</v>
      </c>
      <c r="L7" s="53">
        <v>9478742.5999999996</v>
      </c>
      <c r="M7" s="53">
        <v>9539749.6999999993</v>
      </c>
      <c r="N7" s="16"/>
      <c r="O7" s="105"/>
      <c r="P7" s="17"/>
    </row>
    <row r="8" spans="1:16" s="8" customFormat="1" ht="39.950000000000003" customHeight="1" x14ac:dyDescent="0.3">
      <c r="A8" s="357"/>
      <c r="B8" s="126" t="s">
        <v>159</v>
      </c>
      <c r="C8" s="370"/>
      <c r="D8" s="373"/>
      <c r="E8" s="382"/>
      <c r="F8" s="379"/>
      <c r="G8" s="187"/>
      <c r="H8" s="379"/>
      <c r="I8" s="54">
        <v>7007089.2999999998</v>
      </c>
      <c r="J8" s="54">
        <v>7055092.7000000002</v>
      </c>
      <c r="K8" s="54">
        <v>7099052.2000000002</v>
      </c>
      <c r="L8" s="54">
        <v>7149405.2999999998</v>
      </c>
      <c r="M8" s="54">
        <v>7196164.9000000004</v>
      </c>
      <c r="N8" s="18"/>
      <c r="O8" s="106"/>
      <c r="P8" s="19"/>
    </row>
    <row r="9" spans="1:16" s="8" customFormat="1" ht="39.950000000000003" customHeight="1" x14ac:dyDescent="0.3">
      <c r="A9" s="357"/>
      <c r="B9" s="126" t="s">
        <v>160</v>
      </c>
      <c r="C9" s="370"/>
      <c r="D9" s="373"/>
      <c r="E9" s="382"/>
      <c r="F9" s="380"/>
      <c r="G9" s="199"/>
      <c r="H9" s="380"/>
      <c r="I9" s="54">
        <v>2284536.4</v>
      </c>
      <c r="J9" s="54">
        <v>2299364.6</v>
      </c>
      <c r="K9" s="54">
        <v>2312902.2999999998</v>
      </c>
      <c r="L9" s="54">
        <v>2328606.6</v>
      </c>
      <c r="M9" s="54">
        <v>2342854</v>
      </c>
      <c r="N9" s="18"/>
      <c r="O9" s="106"/>
      <c r="P9" s="19"/>
    </row>
    <row r="10" spans="1:16" s="8" customFormat="1" ht="39.950000000000003" customHeight="1" x14ac:dyDescent="0.3">
      <c r="A10" s="357"/>
      <c r="B10" s="126" t="s">
        <v>161</v>
      </c>
      <c r="C10" s="370"/>
      <c r="D10" s="373"/>
      <c r="E10" s="384"/>
      <c r="F10" s="189" t="s">
        <v>10</v>
      </c>
      <c r="G10" s="189" t="s">
        <v>322</v>
      </c>
      <c r="H10" s="189">
        <v>17282010063</v>
      </c>
      <c r="I10" s="131">
        <v>3324</v>
      </c>
      <c r="J10" s="131">
        <v>3382</v>
      </c>
      <c r="K10" s="131">
        <v>3382</v>
      </c>
      <c r="L10" s="131">
        <v>3383</v>
      </c>
      <c r="M10" s="131">
        <v>4010</v>
      </c>
      <c r="N10" s="18"/>
      <c r="O10" s="106"/>
      <c r="P10" s="19"/>
    </row>
    <row r="11" spans="1:16" s="8" customFormat="1" ht="39.950000000000003" customHeight="1" x14ac:dyDescent="0.3">
      <c r="A11" s="357"/>
      <c r="B11" s="159" t="s">
        <v>162</v>
      </c>
      <c r="C11" s="370"/>
      <c r="D11" s="373"/>
      <c r="E11" s="381" t="s">
        <v>163</v>
      </c>
      <c r="F11" s="383" t="s">
        <v>20</v>
      </c>
      <c r="G11" s="199"/>
      <c r="H11" s="383">
        <v>1915184007</v>
      </c>
      <c r="I11" s="54">
        <v>1897056.3</v>
      </c>
      <c r="J11" s="54">
        <v>1920016.6</v>
      </c>
      <c r="K11" s="54">
        <v>1935461.8</v>
      </c>
      <c r="L11" s="54">
        <v>1953692.4</v>
      </c>
      <c r="M11" s="54">
        <v>1975834.6</v>
      </c>
      <c r="N11" s="18"/>
      <c r="O11" s="106"/>
      <c r="P11" s="19"/>
    </row>
    <row r="12" spans="1:16" s="8" customFormat="1" ht="39.950000000000003" customHeight="1" x14ac:dyDescent="0.3">
      <c r="A12" s="357"/>
      <c r="B12" s="143" t="s">
        <v>164</v>
      </c>
      <c r="C12" s="370"/>
      <c r="D12" s="373"/>
      <c r="E12" s="382"/>
      <c r="F12" s="379"/>
      <c r="G12" s="188"/>
      <c r="H12" s="379"/>
      <c r="I12" s="54">
        <v>1158893.6000000001</v>
      </c>
      <c r="J12" s="54">
        <v>1173833.3</v>
      </c>
      <c r="K12" s="54">
        <v>1183802.2</v>
      </c>
      <c r="L12" s="54">
        <v>1195761</v>
      </c>
      <c r="M12" s="54">
        <v>1210089.2</v>
      </c>
      <c r="N12" s="18"/>
      <c r="O12" s="106"/>
      <c r="P12" s="19"/>
    </row>
    <row r="13" spans="1:16" s="8" customFormat="1" ht="39.950000000000003" customHeight="1" x14ac:dyDescent="0.3">
      <c r="A13" s="357"/>
      <c r="B13" s="143" t="s">
        <v>165</v>
      </c>
      <c r="C13" s="370"/>
      <c r="D13" s="373"/>
      <c r="E13" s="382"/>
      <c r="F13" s="380"/>
      <c r="G13" s="199"/>
      <c r="H13" s="380"/>
      <c r="I13" s="54">
        <v>738161.6</v>
      </c>
      <c r="J13" s="54">
        <v>746182.3</v>
      </c>
      <c r="K13" s="54">
        <v>751658.8</v>
      </c>
      <c r="L13" s="54">
        <v>757929.9</v>
      </c>
      <c r="M13" s="54">
        <v>765744.1</v>
      </c>
      <c r="N13" s="18"/>
      <c r="O13" s="106"/>
      <c r="P13" s="19"/>
    </row>
    <row r="14" spans="1:16" s="8" customFormat="1" ht="39.950000000000003" customHeight="1" x14ac:dyDescent="0.3">
      <c r="A14" s="357"/>
      <c r="B14" s="143" t="s">
        <v>166</v>
      </c>
      <c r="C14" s="370"/>
      <c r="D14" s="373"/>
      <c r="E14" s="382"/>
      <c r="F14" s="189" t="s">
        <v>10</v>
      </c>
      <c r="G14" s="189" t="s">
        <v>255</v>
      </c>
      <c r="H14" s="189">
        <v>18072010604</v>
      </c>
      <c r="I14" s="76">
        <v>671</v>
      </c>
      <c r="J14" s="76">
        <v>671</v>
      </c>
      <c r="K14" s="76">
        <v>672</v>
      </c>
      <c r="L14" s="76">
        <v>672</v>
      </c>
      <c r="M14" s="76">
        <v>672</v>
      </c>
      <c r="N14" s="18"/>
      <c r="O14" s="106"/>
      <c r="P14" s="19"/>
    </row>
    <row r="15" spans="1:16" s="8" customFormat="1" ht="39.950000000000003" customHeight="1" x14ac:dyDescent="0.3">
      <c r="A15" s="357"/>
      <c r="B15" s="337" t="s">
        <v>167</v>
      </c>
      <c r="C15" s="370"/>
      <c r="D15" s="373"/>
      <c r="E15" s="381" t="s">
        <v>22</v>
      </c>
      <c r="F15" s="383" t="s">
        <v>10</v>
      </c>
      <c r="G15" s="189" t="s">
        <v>261</v>
      </c>
      <c r="H15" s="385">
        <v>13132010735</v>
      </c>
      <c r="I15" s="54">
        <v>3975.5</v>
      </c>
      <c r="J15" s="54">
        <v>4018.8</v>
      </c>
      <c r="K15" s="54">
        <v>4059.6</v>
      </c>
      <c r="L15" s="54">
        <v>4105.7</v>
      </c>
      <c r="M15" s="54">
        <v>4146.3999999999996</v>
      </c>
      <c r="N15" s="18"/>
      <c r="O15" s="106"/>
      <c r="P15" s="19"/>
    </row>
    <row r="16" spans="1:16" s="8" customFormat="1" ht="39.950000000000003" customHeight="1" x14ac:dyDescent="0.3">
      <c r="A16" s="357"/>
      <c r="B16" s="338" t="s">
        <v>168</v>
      </c>
      <c r="C16" s="370"/>
      <c r="D16" s="373"/>
      <c r="E16" s="382"/>
      <c r="F16" s="379"/>
      <c r="G16" s="189" t="s">
        <v>261</v>
      </c>
      <c r="H16" s="386"/>
      <c r="I16" s="76">
        <v>1136.8</v>
      </c>
      <c r="J16" s="283">
        <v>1136.9000000000001</v>
      </c>
      <c r="K16" s="283">
        <v>1136.9000000000001</v>
      </c>
      <c r="L16" s="283">
        <v>1136.9000000000001</v>
      </c>
      <c r="M16" s="283">
        <v>1136.9000000000001</v>
      </c>
      <c r="N16" s="18"/>
      <c r="O16" s="106"/>
      <c r="P16" s="19"/>
    </row>
    <row r="17" spans="1:16" s="8" customFormat="1" ht="39.950000000000003" customHeight="1" x14ac:dyDescent="0.3">
      <c r="A17" s="357"/>
      <c r="B17" s="143" t="s">
        <v>169</v>
      </c>
      <c r="C17" s="370"/>
      <c r="D17" s="373"/>
      <c r="E17" s="382"/>
      <c r="F17" s="379"/>
      <c r="G17" s="189" t="s">
        <v>261</v>
      </c>
      <c r="H17" s="387"/>
      <c r="I17" s="54">
        <v>2838.7</v>
      </c>
      <c r="J17" s="54">
        <v>2882</v>
      </c>
      <c r="K17" s="54">
        <v>2922.7</v>
      </c>
      <c r="L17" s="54">
        <v>2968.9</v>
      </c>
      <c r="M17" s="54">
        <v>3009.6</v>
      </c>
      <c r="N17" s="18"/>
      <c r="O17" s="106"/>
      <c r="P17" s="19"/>
    </row>
    <row r="18" spans="1:16" s="8" customFormat="1" ht="39.950000000000003" customHeight="1" x14ac:dyDescent="0.3">
      <c r="A18" s="357"/>
      <c r="B18" s="144" t="s">
        <v>205</v>
      </c>
      <c r="C18" s="371"/>
      <c r="D18" s="374"/>
      <c r="E18" s="384"/>
      <c r="F18" s="380"/>
      <c r="G18" s="188" t="s">
        <v>261</v>
      </c>
      <c r="H18" s="187">
        <v>15342010953</v>
      </c>
      <c r="I18" s="54">
        <v>37.700000000000003</v>
      </c>
      <c r="J18" s="54">
        <v>37</v>
      </c>
      <c r="K18" s="54">
        <v>37</v>
      </c>
      <c r="L18" s="54">
        <v>37</v>
      </c>
      <c r="M18" s="54">
        <v>37.5</v>
      </c>
      <c r="N18" s="18"/>
      <c r="O18" s="106"/>
      <c r="P18" s="19"/>
    </row>
    <row r="19" spans="1:16" s="8" customFormat="1" ht="39.950000000000003" customHeight="1" x14ac:dyDescent="0.3">
      <c r="A19" s="20">
        <v>2</v>
      </c>
      <c r="B19" s="132" t="s">
        <v>299</v>
      </c>
      <c r="C19" s="166" t="s">
        <v>172</v>
      </c>
      <c r="D19" s="50" t="s">
        <v>292</v>
      </c>
      <c r="E19" s="21" t="s">
        <v>12</v>
      </c>
      <c r="F19" s="22" t="s">
        <v>10</v>
      </c>
      <c r="G19" s="22" t="s">
        <v>257</v>
      </c>
      <c r="H19" s="23" t="s">
        <v>297</v>
      </c>
      <c r="I19" s="130">
        <v>286318</v>
      </c>
      <c r="J19" s="130">
        <v>294189</v>
      </c>
      <c r="K19" s="130">
        <v>302448</v>
      </c>
      <c r="L19" s="130">
        <v>312443</v>
      </c>
      <c r="M19" s="130">
        <v>321442</v>
      </c>
      <c r="N19" s="18"/>
      <c r="O19" s="18"/>
      <c r="P19" s="19"/>
    </row>
    <row r="20" spans="1:16" s="8" customFormat="1" ht="39.950000000000003" customHeight="1" x14ac:dyDescent="0.3">
      <c r="A20" s="154">
        <v>3</v>
      </c>
      <c r="B20" s="160" t="s">
        <v>236</v>
      </c>
      <c r="C20" s="43" t="s">
        <v>8</v>
      </c>
      <c r="D20" s="45">
        <v>6</v>
      </c>
      <c r="E20" s="21" t="s">
        <v>237</v>
      </c>
      <c r="F20" s="22" t="s">
        <v>10</v>
      </c>
      <c r="G20" s="93" t="s">
        <v>251</v>
      </c>
      <c r="H20" s="94">
        <v>17202012200</v>
      </c>
      <c r="I20" s="100">
        <v>303787</v>
      </c>
      <c r="J20" s="100">
        <v>311721</v>
      </c>
      <c r="K20" s="100">
        <v>318447</v>
      </c>
      <c r="L20" s="100">
        <v>326256</v>
      </c>
      <c r="M20" s="100">
        <v>332897</v>
      </c>
      <c r="N20" s="202"/>
      <c r="O20" s="195"/>
      <c r="P20" s="110"/>
    </row>
    <row r="21" spans="1:16" s="8" customFormat="1" ht="39.950000000000003" customHeight="1" thickBot="1" x14ac:dyDescent="0.35">
      <c r="A21" s="358">
        <v>4</v>
      </c>
      <c r="B21" s="339" t="s">
        <v>329</v>
      </c>
      <c r="C21" s="166" t="s">
        <v>8</v>
      </c>
      <c r="D21" s="151" t="s">
        <v>328</v>
      </c>
      <c r="E21" s="21" t="s">
        <v>19</v>
      </c>
      <c r="F21" s="22" t="s">
        <v>10</v>
      </c>
      <c r="G21" s="93" t="s">
        <v>251</v>
      </c>
      <c r="H21" s="94"/>
      <c r="I21" s="100">
        <v>60586</v>
      </c>
      <c r="J21" s="100">
        <v>65115</v>
      </c>
      <c r="K21" s="100">
        <v>69215</v>
      </c>
      <c r="L21" s="100">
        <v>74083</v>
      </c>
      <c r="M21" s="100">
        <v>78255</v>
      </c>
      <c r="N21" s="202"/>
      <c r="O21" s="195"/>
      <c r="P21" s="110"/>
    </row>
    <row r="22" spans="1:16" s="8" customFormat="1" ht="39.950000000000003" customHeight="1" x14ac:dyDescent="0.3">
      <c r="A22" s="359"/>
      <c r="B22" s="297" t="s">
        <v>341</v>
      </c>
      <c r="C22" s="43" t="s">
        <v>21</v>
      </c>
      <c r="D22" s="151" t="s">
        <v>401</v>
      </c>
      <c r="E22" s="21" t="s">
        <v>19</v>
      </c>
      <c r="F22" s="22" t="s">
        <v>10</v>
      </c>
      <c r="G22" s="93" t="s">
        <v>251</v>
      </c>
      <c r="H22" s="94"/>
      <c r="I22" s="100">
        <v>65326.9</v>
      </c>
      <c r="J22" s="100">
        <v>69455.600000000006</v>
      </c>
      <c r="K22" s="100">
        <v>73421.2</v>
      </c>
      <c r="L22" s="100">
        <v>78825.2</v>
      </c>
      <c r="M22" s="100">
        <v>83352.600000000006</v>
      </c>
      <c r="N22" s="202"/>
      <c r="O22" s="195"/>
      <c r="P22" s="110"/>
    </row>
    <row r="23" spans="1:16" s="8" customFormat="1" ht="39.950000000000003" customHeight="1" x14ac:dyDescent="0.3">
      <c r="A23" s="168">
        <v>5</v>
      </c>
      <c r="B23" s="147" t="s">
        <v>268</v>
      </c>
      <c r="C23" s="43" t="s">
        <v>8</v>
      </c>
      <c r="D23" s="45">
        <v>27</v>
      </c>
      <c r="E23" s="21" t="s">
        <v>14</v>
      </c>
      <c r="F23" s="93" t="s">
        <v>10</v>
      </c>
      <c r="G23" s="93" t="s">
        <v>255</v>
      </c>
      <c r="H23" s="94" t="s">
        <v>272</v>
      </c>
      <c r="I23" s="284">
        <v>7684.9</v>
      </c>
      <c r="J23" s="284">
        <v>15470.8</v>
      </c>
      <c r="K23" s="284">
        <v>23198.400000000001</v>
      </c>
      <c r="L23" s="284">
        <v>31840.799999999999</v>
      </c>
      <c r="M23" s="284">
        <v>39189.1</v>
      </c>
      <c r="N23" s="202"/>
      <c r="O23" s="195"/>
      <c r="P23" s="110"/>
    </row>
    <row r="24" spans="1:16" s="8" customFormat="1" ht="39.950000000000003" customHeight="1" x14ac:dyDescent="0.3">
      <c r="A24" s="150">
        <v>6</v>
      </c>
      <c r="B24" s="272" t="s">
        <v>295</v>
      </c>
      <c r="C24" s="43" t="s">
        <v>8</v>
      </c>
      <c r="D24" s="45">
        <v>24</v>
      </c>
      <c r="E24" s="21" t="s">
        <v>9</v>
      </c>
      <c r="F24" s="93" t="s">
        <v>10</v>
      </c>
      <c r="G24" s="93" t="s">
        <v>251</v>
      </c>
      <c r="H24" s="45"/>
      <c r="I24" s="100">
        <v>61319</v>
      </c>
      <c r="J24" s="100">
        <v>63107</v>
      </c>
      <c r="K24" s="100">
        <v>64783</v>
      </c>
      <c r="L24" s="100">
        <v>66755</v>
      </c>
      <c r="M24" s="100">
        <v>68580</v>
      </c>
      <c r="N24" s="202"/>
      <c r="O24" s="195"/>
      <c r="P24" s="110"/>
    </row>
    <row r="25" spans="1:16" s="8" customFormat="1" ht="39.950000000000003" customHeight="1" x14ac:dyDescent="0.3">
      <c r="A25" s="360">
        <v>7</v>
      </c>
      <c r="B25" s="147" t="s">
        <v>301</v>
      </c>
      <c r="C25" s="43" t="s">
        <v>8</v>
      </c>
      <c r="D25" s="45" t="s">
        <v>304</v>
      </c>
      <c r="E25" s="21" t="s">
        <v>9</v>
      </c>
      <c r="F25" s="93" t="s">
        <v>10</v>
      </c>
      <c r="G25" s="93" t="s">
        <v>251</v>
      </c>
      <c r="H25" s="94" t="s">
        <v>306</v>
      </c>
      <c r="I25" s="140">
        <v>211392.9</v>
      </c>
      <c r="J25" s="140">
        <v>219890.5</v>
      </c>
      <c r="K25" s="140">
        <v>227668.4</v>
      </c>
      <c r="L25" s="140">
        <v>236792.7</v>
      </c>
      <c r="M25" s="238">
        <v>236792.7</v>
      </c>
      <c r="N25" s="202"/>
      <c r="O25" s="195"/>
      <c r="P25" s="110"/>
    </row>
    <row r="26" spans="1:16" s="8" customFormat="1" ht="39.950000000000003" customHeight="1" x14ac:dyDescent="0.3">
      <c r="A26" s="361"/>
      <c r="B26" s="147" t="s">
        <v>301</v>
      </c>
      <c r="C26" s="333" t="s">
        <v>8</v>
      </c>
      <c r="D26" s="334" t="s">
        <v>304</v>
      </c>
      <c r="E26" s="21" t="s">
        <v>9</v>
      </c>
      <c r="F26" s="332" t="s">
        <v>20</v>
      </c>
      <c r="G26" s="93"/>
      <c r="H26" s="94"/>
      <c r="I26" s="140"/>
      <c r="J26" s="140"/>
      <c r="K26" s="140"/>
      <c r="L26" s="140">
        <v>0.6</v>
      </c>
      <c r="M26" s="140">
        <v>2580.6999999999998</v>
      </c>
      <c r="N26" s="233" t="s">
        <v>428</v>
      </c>
      <c r="O26" s="232"/>
      <c r="P26" s="110"/>
    </row>
    <row r="27" spans="1:16" s="8" customFormat="1" ht="39.950000000000003" customHeight="1" x14ac:dyDescent="0.3">
      <c r="A27" s="360">
        <v>8</v>
      </c>
      <c r="B27" s="147" t="s">
        <v>324</v>
      </c>
      <c r="C27" s="367" t="s">
        <v>8</v>
      </c>
      <c r="D27" s="349" t="s">
        <v>402</v>
      </c>
      <c r="E27" s="111"/>
      <c r="F27" s="199" t="s">
        <v>20</v>
      </c>
      <c r="G27" s="93"/>
      <c r="H27" s="94">
        <v>214152054</v>
      </c>
      <c r="I27" s="140">
        <v>36197</v>
      </c>
      <c r="J27" s="140">
        <v>37124.1</v>
      </c>
      <c r="K27" s="140">
        <v>37885.300000000003</v>
      </c>
      <c r="L27" s="140">
        <v>38811</v>
      </c>
      <c r="M27" s="140">
        <v>39659.9</v>
      </c>
      <c r="N27" s="202"/>
      <c r="O27" s="195"/>
      <c r="P27" s="110"/>
    </row>
    <row r="28" spans="1:16" s="8" customFormat="1" ht="39.950000000000003" customHeight="1" x14ac:dyDescent="0.3">
      <c r="A28" s="362"/>
      <c r="B28" s="272" t="s">
        <v>325</v>
      </c>
      <c r="C28" s="368"/>
      <c r="D28" s="350"/>
      <c r="E28" s="111"/>
      <c r="F28" s="189"/>
      <c r="G28" s="93"/>
      <c r="H28" s="94"/>
      <c r="I28" s="146">
        <v>172938</v>
      </c>
      <c r="J28" s="146">
        <v>173210</v>
      </c>
      <c r="K28" s="146">
        <v>173452</v>
      </c>
      <c r="L28" s="146">
        <v>173673</v>
      </c>
      <c r="M28" s="146">
        <v>174030</v>
      </c>
      <c r="N28" s="202"/>
      <c r="O28" s="195"/>
      <c r="P28" s="110"/>
    </row>
    <row r="29" spans="1:16" s="8" customFormat="1" ht="39.950000000000003" customHeight="1" x14ac:dyDescent="0.3">
      <c r="A29" s="360">
        <v>9</v>
      </c>
      <c r="B29" s="272" t="s">
        <v>361</v>
      </c>
      <c r="C29" s="43" t="s">
        <v>8</v>
      </c>
      <c r="D29" s="45"/>
      <c r="E29" s="111"/>
      <c r="F29" s="189"/>
      <c r="G29" s="93"/>
      <c r="H29" s="94"/>
      <c r="I29" s="146">
        <v>133674</v>
      </c>
      <c r="J29" s="146">
        <v>134831</v>
      </c>
      <c r="K29" s="146">
        <v>135850</v>
      </c>
      <c r="L29" s="146">
        <v>137072</v>
      </c>
      <c r="M29" s="146">
        <v>138151</v>
      </c>
      <c r="N29" s="202"/>
      <c r="O29" s="195"/>
      <c r="P29" s="110"/>
    </row>
    <row r="30" spans="1:16" s="8" customFormat="1" ht="39.950000000000003" customHeight="1" x14ac:dyDescent="0.3">
      <c r="A30" s="361"/>
      <c r="B30" s="272" t="s">
        <v>366</v>
      </c>
      <c r="C30" s="43"/>
      <c r="D30" s="45"/>
      <c r="E30" s="111"/>
      <c r="F30" s="189"/>
      <c r="G30" s="93"/>
      <c r="H30" s="94"/>
      <c r="I30" s="140">
        <v>4108.7</v>
      </c>
      <c r="J30" s="140">
        <v>4725.1000000000004</v>
      </c>
      <c r="K30" s="140">
        <v>5278.7</v>
      </c>
      <c r="L30" s="140">
        <v>5931.3</v>
      </c>
      <c r="M30" s="140">
        <v>6494.1</v>
      </c>
      <c r="N30" s="202"/>
      <c r="O30" s="195"/>
      <c r="P30" s="110"/>
    </row>
    <row r="31" spans="1:16" s="8" customFormat="1" ht="39.950000000000003" customHeight="1" x14ac:dyDescent="0.3">
      <c r="A31" s="353">
        <v>10</v>
      </c>
      <c r="B31" s="126" t="s">
        <v>84</v>
      </c>
      <c r="C31" s="175" t="s">
        <v>8</v>
      </c>
      <c r="D31" s="192" t="s">
        <v>11</v>
      </c>
      <c r="E31" s="186" t="s">
        <v>12</v>
      </c>
      <c r="F31" s="189" t="s">
        <v>10</v>
      </c>
      <c r="G31" s="189" t="s">
        <v>257</v>
      </c>
      <c r="H31" s="189">
        <v>13262012720</v>
      </c>
      <c r="I31" s="209">
        <v>327327</v>
      </c>
      <c r="J31" s="212">
        <v>330908</v>
      </c>
      <c r="K31" s="236">
        <v>334006</v>
      </c>
      <c r="L31" s="236">
        <v>337898</v>
      </c>
      <c r="M31" s="236">
        <v>341081</v>
      </c>
      <c r="N31" s="202"/>
      <c r="O31" s="195"/>
      <c r="P31" s="27"/>
    </row>
    <row r="32" spans="1:16" s="8" customFormat="1" ht="39.950000000000003" customHeight="1" x14ac:dyDescent="0.3">
      <c r="A32" s="354"/>
      <c r="B32" s="126" t="s">
        <v>286</v>
      </c>
      <c r="C32" s="174" t="s">
        <v>287</v>
      </c>
      <c r="D32" s="192"/>
      <c r="E32" s="186" t="s">
        <v>16</v>
      </c>
      <c r="F32" s="189" t="s">
        <v>10</v>
      </c>
      <c r="G32" s="189" t="s">
        <v>258</v>
      </c>
      <c r="H32" s="189" t="s">
        <v>177</v>
      </c>
      <c r="I32" s="56">
        <v>14570.5</v>
      </c>
      <c r="J32" s="56">
        <v>15225.1</v>
      </c>
      <c r="K32" s="56">
        <v>15819.9</v>
      </c>
      <c r="L32" s="56">
        <v>16495.7</v>
      </c>
      <c r="M32" s="56">
        <v>17095.3</v>
      </c>
      <c r="N32" s="18"/>
      <c r="O32" s="195"/>
      <c r="P32" s="204"/>
    </row>
    <row r="33" spans="1:17" s="8" customFormat="1" ht="39.950000000000003" customHeight="1" x14ac:dyDescent="0.3">
      <c r="A33" s="355">
        <v>11</v>
      </c>
      <c r="B33" s="272" t="s">
        <v>85</v>
      </c>
      <c r="C33" s="178" t="s">
        <v>8</v>
      </c>
      <c r="D33" s="192" t="s">
        <v>13</v>
      </c>
      <c r="E33" s="186" t="s">
        <v>367</v>
      </c>
      <c r="F33" s="189" t="s">
        <v>20</v>
      </c>
      <c r="G33" s="189"/>
      <c r="H33" s="182" t="s">
        <v>368</v>
      </c>
      <c r="I33" s="152">
        <v>18810.7</v>
      </c>
      <c r="J33" s="152">
        <v>26413.9</v>
      </c>
      <c r="K33" s="134">
        <v>32788</v>
      </c>
      <c r="L33" s="134">
        <v>40797.1</v>
      </c>
      <c r="M33" s="134">
        <v>47527.5</v>
      </c>
      <c r="N33" s="202"/>
      <c r="O33" s="195"/>
      <c r="P33" s="204"/>
    </row>
    <row r="34" spans="1:17" s="8" customFormat="1" ht="39.950000000000003" customHeight="1" x14ac:dyDescent="0.3">
      <c r="A34" s="354"/>
      <c r="B34" s="340" t="s">
        <v>342</v>
      </c>
      <c r="C34" s="200" t="s">
        <v>91</v>
      </c>
      <c r="D34" s="192" t="s">
        <v>92</v>
      </c>
      <c r="E34" s="186" t="s">
        <v>16</v>
      </c>
      <c r="F34" s="189" t="s">
        <v>10</v>
      </c>
      <c r="G34" s="189" t="s">
        <v>258</v>
      </c>
      <c r="H34" s="182">
        <v>11123311334</v>
      </c>
      <c r="I34" s="141">
        <v>39684.9</v>
      </c>
      <c r="J34" s="141">
        <v>40603.4</v>
      </c>
      <c r="K34" s="141">
        <v>41419.599999999999</v>
      </c>
      <c r="L34" s="141">
        <v>42358.6</v>
      </c>
      <c r="M34" s="141">
        <v>43186.7</v>
      </c>
      <c r="N34" s="195"/>
      <c r="O34" s="195"/>
      <c r="P34" s="204"/>
    </row>
    <row r="35" spans="1:17" s="8" customFormat="1" ht="39.950000000000003" customHeight="1" x14ac:dyDescent="0.3">
      <c r="A35" s="171">
        <v>12</v>
      </c>
      <c r="B35" s="272" t="s">
        <v>216</v>
      </c>
      <c r="C35" s="200" t="s">
        <v>8</v>
      </c>
      <c r="D35" s="192">
        <v>9</v>
      </c>
      <c r="E35" s="197" t="s">
        <v>17</v>
      </c>
      <c r="F35" s="189" t="s">
        <v>10</v>
      </c>
      <c r="G35" s="189" t="s">
        <v>251</v>
      </c>
      <c r="H35" s="182"/>
      <c r="I35" s="75">
        <v>142861</v>
      </c>
      <c r="J35" s="75">
        <v>145485</v>
      </c>
      <c r="K35" s="75">
        <v>147898</v>
      </c>
      <c r="L35" s="75">
        <v>150632</v>
      </c>
      <c r="M35" s="75">
        <v>153068</v>
      </c>
      <c r="N35" s="202"/>
      <c r="O35" s="195"/>
      <c r="P35" s="180"/>
    </row>
    <row r="36" spans="1:17" s="8" customFormat="1" ht="39.950000000000003" customHeight="1" x14ac:dyDescent="0.3">
      <c r="A36" s="82">
        <v>13</v>
      </c>
      <c r="B36" s="272" t="s">
        <v>86</v>
      </c>
      <c r="C36" s="200" t="s">
        <v>8</v>
      </c>
      <c r="D36" s="48" t="s">
        <v>147</v>
      </c>
      <c r="E36" s="197" t="s">
        <v>17</v>
      </c>
      <c r="F36" s="24" t="s">
        <v>10</v>
      </c>
      <c r="G36" s="189" t="s">
        <v>251</v>
      </c>
      <c r="H36" s="199">
        <v>17272011265</v>
      </c>
      <c r="I36" s="75">
        <v>217202</v>
      </c>
      <c r="J36" s="75">
        <v>220171</v>
      </c>
      <c r="K36" s="75">
        <v>222854</v>
      </c>
      <c r="L36" s="75">
        <v>226041</v>
      </c>
      <c r="M36" s="75">
        <v>228995</v>
      </c>
      <c r="N36" s="202"/>
      <c r="O36" s="195"/>
      <c r="P36" s="204"/>
    </row>
    <row r="37" spans="1:17" s="8" customFormat="1" ht="39.950000000000003" customHeight="1" x14ac:dyDescent="0.3">
      <c r="A37" s="260">
        <v>14</v>
      </c>
      <c r="B37" s="336" t="s">
        <v>106</v>
      </c>
      <c r="C37" s="178" t="s">
        <v>8</v>
      </c>
      <c r="D37" s="183">
        <v>11</v>
      </c>
      <c r="E37" s="184" t="s">
        <v>71</v>
      </c>
      <c r="F37" s="187" t="s">
        <v>20</v>
      </c>
      <c r="G37" s="199"/>
      <c r="H37" s="182" t="s">
        <v>202</v>
      </c>
      <c r="I37" s="53">
        <v>81533</v>
      </c>
      <c r="J37" s="53">
        <v>82885.3</v>
      </c>
      <c r="K37" s="53">
        <v>84078.3</v>
      </c>
      <c r="L37" s="53">
        <v>85428.1</v>
      </c>
      <c r="M37" s="53">
        <v>86702.3</v>
      </c>
      <c r="N37" s="202"/>
      <c r="O37" s="194"/>
      <c r="P37" s="25"/>
    </row>
    <row r="38" spans="1:17" s="8" customFormat="1" ht="39.950000000000003" customHeight="1" x14ac:dyDescent="0.3">
      <c r="A38" s="262">
        <v>15</v>
      </c>
      <c r="B38" s="143" t="s">
        <v>87</v>
      </c>
      <c r="C38" s="200" t="s">
        <v>8</v>
      </c>
      <c r="D38" s="198" t="s">
        <v>18</v>
      </c>
      <c r="E38" s="197" t="s">
        <v>19</v>
      </c>
      <c r="F38" s="199" t="s">
        <v>10</v>
      </c>
      <c r="G38" s="199" t="s">
        <v>254</v>
      </c>
      <c r="H38" s="189">
        <v>13152011170</v>
      </c>
      <c r="I38" s="209">
        <v>348190</v>
      </c>
      <c r="J38" s="212">
        <v>353678</v>
      </c>
      <c r="K38" s="236">
        <v>358685</v>
      </c>
      <c r="L38" s="236">
        <v>364723</v>
      </c>
      <c r="M38" s="236">
        <v>369967</v>
      </c>
      <c r="N38" s="202"/>
      <c r="O38" s="31"/>
      <c r="P38" s="27"/>
    </row>
    <row r="39" spans="1:17" s="8" customFormat="1" ht="39.950000000000003" customHeight="1" x14ac:dyDescent="0.3">
      <c r="A39" s="353">
        <v>16</v>
      </c>
      <c r="B39" s="143" t="s">
        <v>318</v>
      </c>
      <c r="C39" s="200" t="s">
        <v>8</v>
      </c>
      <c r="D39" s="198">
        <v>13</v>
      </c>
      <c r="E39" s="197" t="s">
        <v>17</v>
      </c>
      <c r="F39" s="187" t="s">
        <v>20</v>
      </c>
      <c r="G39" s="189"/>
      <c r="H39" s="148" t="s">
        <v>326</v>
      </c>
      <c r="I39" s="56">
        <v>94969.9</v>
      </c>
      <c r="J39" s="56">
        <v>98370.8</v>
      </c>
      <c r="K39" s="56">
        <v>101394.3</v>
      </c>
      <c r="L39" s="56">
        <v>104702.3</v>
      </c>
      <c r="M39" s="56">
        <v>107570.5</v>
      </c>
      <c r="N39" s="202"/>
      <c r="O39" s="195"/>
      <c r="P39" s="204"/>
    </row>
    <row r="40" spans="1:17" s="8" customFormat="1" ht="39.950000000000003" customHeight="1" x14ac:dyDescent="0.3">
      <c r="A40" s="354"/>
      <c r="B40" s="300" t="s">
        <v>358</v>
      </c>
      <c r="C40" s="200"/>
      <c r="D40" s="198"/>
      <c r="E40" s="197"/>
      <c r="F40" s="187"/>
      <c r="G40" s="189"/>
      <c r="H40" s="148"/>
      <c r="I40" s="155">
        <v>171727</v>
      </c>
      <c r="J40" s="155">
        <v>172815</v>
      </c>
      <c r="K40" s="155">
        <v>173716</v>
      </c>
      <c r="L40" s="155">
        <v>175040</v>
      </c>
      <c r="M40" s="155">
        <v>176022</v>
      </c>
      <c r="N40" s="202"/>
      <c r="O40" s="195"/>
      <c r="P40" s="204"/>
    </row>
    <row r="41" spans="1:17" s="8" customFormat="1" ht="39.950000000000003" customHeight="1" x14ac:dyDescent="0.3">
      <c r="A41" s="169">
        <v>17</v>
      </c>
      <c r="B41" s="143" t="s">
        <v>220</v>
      </c>
      <c r="C41" s="200" t="s">
        <v>8</v>
      </c>
      <c r="D41" s="198">
        <v>16</v>
      </c>
      <c r="E41" s="197" t="s">
        <v>9</v>
      </c>
      <c r="F41" s="199" t="s">
        <v>10</v>
      </c>
      <c r="G41" s="189" t="s">
        <v>251</v>
      </c>
      <c r="H41" s="189"/>
      <c r="I41" s="209">
        <v>64404</v>
      </c>
      <c r="J41" s="212">
        <v>65815</v>
      </c>
      <c r="K41" s="236">
        <v>67054</v>
      </c>
      <c r="L41" s="236">
        <v>68487</v>
      </c>
      <c r="M41" s="236">
        <v>69733</v>
      </c>
      <c r="N41" s="202"/>
      <c r="O41" s="195"/>
      <c r="P41" s="110"/>
      <c r="Q41" s="81"/>
    </row>
    <row r="42" spans="1:17" s="8" customFormat="1" ht="39.950000000000003" customHeight="1" x14ac:dyDescent="0.3">
      <c r="A42" s="353">
        <v>18</v>
      </c>
      <c r="B42" s="143" t="s">
        <v>88</v>
      </c>
      <c r="C42" s="200" t="s">
        <v>8</v>
      </c>
      <c r="D42" s="24" t="s">
        <v>90</v>
      </c>
      <c r="E42" s="197" t="s">
        <v>14</v>
      </c>
      <c r="F42" s="199" t="s">
        <v>20</v>
      </c>
      <c r="G42" s="189"/>
      <c r="H42" s="182">
        <v>717441052</v>
      </c>
      <c r="I42" s="53">
        <v>428969.1</v>
      </c>
      <c r="J42" s="53">
        <v>431216</v>
      </c>
      <c r="K42" s="53">
        <v>433148.4</v>
      </c>
      <c r="L42" s="53">
        <v>435190.1</v>
      </c>
      <c r="M42" s="53">
        <v>437211.4</v>
      </c>
      <c r="N42" s="202"/>
      <c r="O42" s="195"/>
      <c r="P42" s="28"/>
    </row>
    <row r="43" spans="1:17" s="8" customFormat="1" ht="39.950000000000003" customHeight="1" x14ac:dyDescent="0.3">
      <c r="A43" s="354"/>
      <c r="B43" s="126" t="s">
        <v>89</v>
      </c>
      <c r="C43" s="175" t="s">
        <v>120</v>
      </c>
      <c r="D43" s="177" t="s">
        <v>120</v>
      </c>
      <c r="E43" s="186" t="s">
        <v>22</v>
      </c>
      <c r="F43" s="189" t="s">
        <v>10</v>
      </c>
      <c r="G43" s="189" t="s">
        <v>258</v>
      </c>
      <c r="H43" s="189">
        <v>11183313009</v>
      </c>
      <c r="I43" s="53">
        <v>1496.8</v>
      </c>
      <c r="J43" s="53">
        <v>1508.3</v>
      </c>
      <c r="K43" s="53">
        <v>1519</v>
      </c>
      <c r="L43" s="53">
        <v>1531.1</v>
      </c>
      <c r="M43" s="53">
        <v>1542.1</v>
      </c>
      <c r="N43" s="202"/>
      <c r="O43" s="195"/>
      <c r="P43" s="204"/>
    </row>
    <row r="44" spans="1:17" s="8" customFormat="1" ht="39.950000000000003" customHeight="1" x14ac:dyDescent="0.3">
      <c r="A44" s="353">
        <v>19</v>
      </c>
      <c r="B44" s="143" t="s">
        <v>170</v>
      </c>
      <c r="C44" s="178" t="s">
        <v>8</v>
      </c>
      <c r="D44" s="183">
        <v>20</v>
      </c>
      <c r="E44" s="185" t="s">
        <v>171</v>
      </c>
      <c r="F44" s="187" t="s">
        <v>10</v>
      </c>
      <c r="G44" s="199" t="s">
        <v>251</v>
      </c>
      <c r="H44" s="189">
        <v>17272011868</v>
      </c>
      <c r="I44" s="75">
        <v>167213</v>
      </c>
      <c r="J44" s="75">
        <v>170110</v>
      </c>
      <c r="K44" s="75">
        <v>172675</v>
      </c>
      <c r="L44" s="75">
        <v>175630</v>
      </c>
      <c r="M44" s="75">
        <v>178089</v>
      </c>
      <c r="N44" s="202"/>
      <c r="O44" s="195"/>
      <c r="P44" s="204"/>
    </row>
    <row r="45" spans="1:17" s="8" customFormat="1" ht="39.950000000000003" customHeight="1" x14ac:dyDescent="0.3">
      <c r="A45" s="354"/>
      <c r="B45" s="143" t="s">
        <v>173</v>
      </c>
      <c r="C45" s="178" t="s">
        <v>120</v>
      </c>
      <c r="D45" s="183" t="s">
        <v>120</v>
      </c>
      <c r="E45" s="197" t="s">
        <v>22</v>
      </c>
      <c r="F45" s="187" t="s">
        <v>10</v>
      </c>
      <c r="G45" s="188" t="s">
        <v>258</v>
      </c>
      <c r="H45" s="189" t="s">
        <v>177</v>
      </c>
      <c r="I45" s="56">
        <v>2200.1</v>
      </c>
      <c r="J45" s="56">
        <v>2219</v>
      </c>
      <c r="K45" s="56">
        <v>2237.6999999999998</v>
      </c>
      <c r="L45" s="56">
        <v>2258</v>
      </c>
      <c r="M45" s="56">
        <v>2276.4</v>
      </c>
      <c r="N45" s="202"/>
      <c r="O45" s="195"/>
      <c r="P45" s="204"/>
    </row>
    <row r="46" spans="1:17" s="8" customFormat="1" ht="39.950000000000003" customHeight="1" x14ac:dyDescent="0.3">
      <c r="A46" s="353">
        <v>20</v>
      </c>
      <c r="B46" s="144" t="s">
        <v>227</v>
      </c>
      <c r="C46" s="32" t="s">
        <v>8</v>
      </c>
      <c r="D46" s="183">
        <v>21</v>
      </c>
      <c r="E46" s="185" t="s">
        <v>171</v>
      </c>
      <c r="F46" s="187" t="s">
        <v>10</v>
      </c>
      <c r="G46" s="187" t="s">
        <v>251</v>
      </c>
      <c r="H46" s="199"/>
      <c r="I46" s="96">
        <v>207234</v>
      </c>
      <c r="J46" s="96">
        <v>212820</v>
      </c>
      <c r="K46" s="96">
        <v>217744</v>
      </c>
      <c r="L46" s="96">
        <v>223308</v>
      </c>
      <c r="M46" s="96">
        <v>228495</v>
      </c>
      <c r="N46" s="31"/>
      <c r="O46" s="77"/>
      <c r="P46" s="27"/>
    </row>
    <row r="47" spans="1:17" s="8" customFormat="1" ht="39.950000000000003" customHeight="1" x14ac:dyDescent="0.3">
      <c r="A47" s="355"/>
      <c r="B47" s="144" t="s">
        <v>229</v>
      </c>
      <c r="C47" s="178" t="s">
        <v>120</v>
      </c>
      <c r="D47" s="183" t="s">
        <v>120</v>
      </c>
      <c r="E47" s="197" t="s">
        <v>22</v>
      </c>
      <c r="F47" s="187" t="s">
        <v>10</v>
      </c>
      <c r="G47" s="199" t="s">
        <v>258</v>
      </c>
      <c r="H47" s="199"/>
      <c r="I47" s="89">
        <v>605.79999999999995</v>
      </c>
      <c r="J47" s="89">
        <v>617.1</v>
      </c>
      <c r="K47" s="89">
        <v>627.29999999999995</v>
      </c>
      <c r="L47" s="89">
        <v>638.70000000000005</v>
      </c>
      <c r="M47" s="89">
        <v>648.79999999999995</v>
      </c>
      <c r="N47" s="31"/>
      <c r="O47" s="31"/>
      <c r="P47" s="90"/>
    </row>
    <row r="48" spans="1:17" s="8" customFormat="1" ht="39.950000000000003" customHeight="1" x14ac:dyDescent="0.3">
      <c r="A48" s="82">
        <v>21</v>
      </c>
      <c r="B48" s="144" t="s">
        <v>105</v>
      </c>
      <c r="C48" s="178" t="s">
        <v>8</v>
      </c>
      <c r="D48" s="190" t="s">
        <v>97</v>
      </c>
      <c r="E48" s="184" t="s">
        <v>12</v>
      </c>
      <c r="F48" s="187" t="s">
        <v>10</v>
      </c>
      <c r="G48" s="187" t="s">
        <v>263</v>
      </c>
      <c r="H48" s="187">
        <v>13362010868</v>
      </c>
      <c r="I48" s="208">
        <v>296420</v>
      </c>
      <c r="J48" s="211">
        <v>302235</v>
      </c>
      <c r="K48" s="235">
        <v>307557</v>
      </c>
      <c r="L48" s="273">
        <v>313169</v>
      </c>
      <c r="M48" s="273">
        <v>316201</v>
      </c>
      <c r="N48" s="201"/>
      <c r="O48" s="193"/>
      <c r="P48" s="29"/>
    </row>
    <row r="49" spans="1:16" s="8" customFormat="1" ht="39.950000000000003" customHeight="1" x14ac:dyDescent="0.3">
      <c r="A49" s="353">
        <v>22</v>
      </c>
      <c r="B49" s="144" t="s">
        <v>271</v>
      </c>
      <c r="C49" s="200"/>
      <c r="D49" s="190"/>
      <c r="E49" s="184" t="s">
        <v>17</v>
      </c>
      <c r="F49" s="187" t="s">
        <v>10</v>
      </c>
      <c r="G49" s="187" t="s">
        <v>251</v>
      </c>
      <c r="H49" s="187"/>
      <c r="I49" s="208">
        <v>217681</v>
      </c>
      <c r="J49" s="211">
        <v>222430</v>
      </c>
      <c r="K49" s="235">
        <v>226481</v>
      </c>
      <c r="L49" s="273">
        <v>231045</v>
      </c>
      <c r="M49" s="273">
        <v>234541</v>
      </c>
      <c r="N49" s="201"/>
      <c r="O49" s="193"/>
      <c r="P49" s="103"/>
    </row>
    <row r="50" spans="1:16" s="8" customFormat="1" ht="39.950000000000003" customHeight="1" x14ac:dyDescent="0.3">
      <c r="A50" s="354"/>
      <c r="B50" s="162" t="s">
        <v>219</v>
      </c>
      <c r="C50" s="174" t="s">
        <v>40</v>
      </c>
      <c r="D50" s="190"/>
      <c r="E50" s="184" t="s">
        <v>71</v>
      </c>
      <c r="F50" s="187" t="s">
        <v>10</v>
      </c>
      <c r="G50" s="187" t="s">
        <v>251</v>
      </c>
      <c r="H50" s="187"/>
      <c r="I50" s="208">
        <v>66407</v>
      </c>
      <c r="J50" s="211">
        <v>68033</v>
      </c>
      <c r="K50" s="235">
        <v>69352</v>
      </c>
      <c r="L50" s="273">
        <v>71151</v>
      </c>
      <c r="M50" s="273">
        <v>72576</v>
      </c>
      <c r="N50" s="201"/>
      <c r="O50" s="193"/>
      <c r="P50" s="103"/>
    </row>
    <row r="51" spans="1:16" s="8" customFormat="1" ht="39.950000000000003" customHeight="1" x14ac:dyDescent="0.3">
      <c r="A51" s="355">
        <v>23</v>
      </c>
      <c r="B51" s="162" t="s">
        <v>323</v>
      </c>
      <c r="C51" s="375" t="s">
        <v>8</v>
      </c>
      <c r="D51" s="24" t="s">
        <v>117</v>
      </c>
      <c r="E51" s="197" t="s">
        <v>22</v>
      </c>
      <c r="F51" s="199" t="s">
        <v>10</v>
      </c>
      <c r="G51" s="199" t="s">
        <v>253</v>
      </c>
      <c r="H51" s="199">
        <v>18102010099</v>
      </c>
      <c r="I51" s="55">
        <v>17125.599999999999</v>
      </c>
      <c r="J51" s="55">
        <v>17256.7</v>
      </c>
      <c r="K51" s="55">
        <v>17389.599999999999</v>
      </c>
      <c r="L51" s="55">
        <v>17540.7</v>
      </c>
      <c r="M51" s="55">
        <v>17676</v>
      </c>
      <c r="N51" s="201"/>
      <c r="O51" s="201"/>
      <c r="P51" s="103"/>
    </row>
    <row r="52" spans="1:16" s="8" customFormat="1" ht="39.950000000000003" customHeight="1" x14ac:dyDescent="0.3">
      <c r="A52" s="355"/>
      <c r="B52" s="162" t="s">
        <v>114</v>
      </c>
      <c r="C52" s="370"/>
      <c r="D52" s="24" t="s">
        <v>117</v>
      </c>
      <c r="E52" s="197" t="s">
        <v>22</v>
      </c>
      <c r="F52" s="199" t="s">
        <v>10</v>
      </c>
      <c r="G52" s="199" t="s">
        <v>253</v>
      </c>
      <c r="H52" s="199"/>
      <c r="I52" s="55">
        <v>9770.6</v>
      </c>
      <c r="J52" s="55">
        <v>9909.9</v>
      </c>
      <c r="K52" s="55">
        <v>10035.9</v>
      </c>
      <c r="L52" s="55">
        <v>10179.6</v>
      </c>
      <c r="M52" s="55">
        <v>10318.200000000001</v>
      </c>
      <c r="N52" s="201"/>
      <c r="O52" s="201"/>
      <c r="P52" s="103"/>
    </row>
    <row r="53" spans="1:16" s="8" customFormat="1" ht="39.950000000000003" customHeight="1" x14ac:dyDescent="0.3">
      <c r="A53" s="355"/>
      <c r="B53" s="162" t="s">
        <v>423</v>
      </c>
      <c r="C53" s="370"/>
      <c r="D53" s="24" t="s">
        <v>118</v>
      </c>
      <c r="E53" s="197" t="s">
        <v>22</v>
      </c>
      <c r="F53" s="199" t="s">
        <v>10</v>
      </c>
      <c r="G53" s="199" t="s">
        <v>253</v>
      </c>
      <c r="H53" s="199">
        <v>18102010106</v>
      </c>
      <c r="I53" s="55">
        <v>10369.1</v>
      </c>
      <c r="J53" s="55">
        <v>10443</v>
      </c>
      <c r="K53" s="55">
        <v>10509.1</v>
      </c>
      <c r="L53" s="55">
        <v>10585</v>
      </c>
      <c r="M53" s="55">
        <v>10653.1</v>
      </c>
      <c r="N53" s="201"/>
      <c r="O53" s="31"/>
      <c r="P53" s="103"/>
    </row>
    <row r="54" spans="1:16" s="8" customFormat="1" ht="39.950000000000003" customHeight="1" x14ac:dyDescent="0.3">
      <c r="A54" s="354"/>
      <c r="B54" s="162" t="s">
        <v>116</v>
      </c>
      <c r="C54" s="371"/>
      <c r="D54" s="24" t="s">
        <v>119</v>
      </c>
      <c r="E54" s="197" t="s">
        <v>22</v>
      </c>
      <c r="F54" s="199" t="s">
        <v>10</v>
      </c>
      <c r="G54" s="199" t="s">
        <v>253</v>
      </c>
      <c r="H54" s="199">
        <v>18102010111</v>
      </c>
      <c r="I54" s="55">
        <v>19385.099999999999</v>
      </c>
      <c r="J54" s="55">
        <v>19583.599999999999</v>
      </c>
      <c r="K54" s="55">
        <v>19783.2</v>
      </c>
      <c r="L54" s="55">
        <v>19999.099999999999</v>
      </c>
      <c r="M54" s="55">
        <v>20186.7</v>
      </c>
      <c r="N54" s="201"/>
      <c r="O54" s="201"/>
      <c r="P54" s="103"/>
    </row>
    <row r="55" spans="1:16" s="8" customFormat="1" ht="39.950000000000003" customHeight="1" x14ac:dyDescent="0.3">
      <c r="A55" s="353">
        <v>24</v>
      </c>
      <c r="B55" s="143" t="s">
        <v>47</v>
      </c>
      <c r="C55" s="375" t="s">
        <v>40</v>
      </c>
      <c r="D55" s="351" t="s">
        <v>64</v>
      </c>
      <c r="E55" s="197" t="s">
        <v>14</v>
      </c>
      <c r="F55" s="199" t="s">
        <v>20</v>
      </c>
      <c r="G55" s="199"/>
      <c r="H55" s="199">
        <v>715105171</v>
      </c>
      <c r="I55" s="54">
        <v>102906.5</v>
      </c>
      <c r="J55" s="54">
        <v>106831.4</v>
      </c>
      <c r="K55" s="54">
        <v>110197.6</v>
      </c>
      <c r="L55" s="54">
        <v>113977.1</v>
      </c>
      <c r="M55" s="54">
        <v>117528.4</v>
      </c>
      <c r="N55" s="31"/>
      <c r="O55" s="31"/>
      <c r="P55" s="204"/>
    </row>
    <row r="56" spans="1:16" s="8" customFormat="1" ht="39.950000000000003" customHeight="1" x14ac:dyDescent="0.3">
      <c r="A56" s="354"/>
      <c r="B56" s="126" t="s">
        <v>179</v>
      </c>
      <c r="C56" s="371"/>
      <c r="D56" s="352"/>
      <c r="E56" s="186" t="s">
        <v>16</v>
      </c>
      <c r="F56" s="189" t="s">
        <v>10</v>
      </c>
      <c r="G56" s="189" t="s">
        <v>261</v>
      </c>
      <c r="H56" s="189">
        <v>15472011072</v>
      </c>
      <c r="I56" s="53">
        <v>3485.9</v>
      </c>
      <c r="J56" s="53">
        <v>3494.2</v>
      </c>
      <c r="K56" s="53">
        <v>3501.7</v>
      </c>
      <c r="L56" s="53">
        <v>3510.3</v>
      </c>
      <c r="M56" s="53">
        <v>3518</v>
      </c>
      <c r="N56" s="202"/>
      <c r="O56" s="195"/>
      <c r="P56" s="204"/>
    </row>
    <row r="57" spans="1:16" s="8" customFormat="1" ht="39.950000000000003" customHeight="1" x14ac:dyDescent="0.3">
      <c r="A57" s="353">
        <v>25</v>
      </c>
      <c r="B57" s="126" t="s">
        <v>48</v>
      </c>
      <c r="C57" s="375" t="s">
        <v>40</v>
      </c>
      <c r="D57" s="192" t="s">
        <v>65</v>
      </c>
      <c r="E57" s="186" t="s">
        <v>17</v>
      </c>
      <c r="F57" s="189" t="s">
        <v>10</v>
      </c>
      <c r="G57" s="189" t="s">
        <v>257</v>
      </c>
      <c r="H57" s="189">
        <v>13262012741</v>
      </c>
      <c r="I57" s="209">
        <v>159910</v>
      </c>
      <c r="J57" s="212">
        <v>161967</v>
      </c>
      <c r="K57" s="236">
        <v>163828</v>
      </c>
      <c r="L57" s="236">
        <v>165860</v>
      </c>
      <c r="M57" s="236">
        <v>167714</v>
      </c>
      <c r="N57" s="202"/>
      <c r="O57" s="195"/>
      <c r="P57" s="204"/>
    </row>
    <row r="58" spans="1:16" s="8" customFormat="1" ht="39.950000000000003" customHeight="1" x14ac:dyDescent="0.3">
      <c r="A58" s="354"/>
      <c r="B58" s="299" t="s">
        <v>178</v>
      </c>
      <c r="C58" s="371"/>
      <c r="D58" s="239" t="s">
        <v>21</v>
      </c>
      <c r="E58" s="240" t="s">
        <v>16</v>
      </c>
      <c r="F58" s="241" t="s">
        <v>10</v>
      </c>
      <c r="G58" s="241" t="s">
        <v>258</v>
      </c>
      <c r="H58" s="241">
        <v>11183312188</v>
      </c>
      <c r="I58" s="238">
        <v>3726.8</v>
      </c>
      <c r="J58" s="238">
        <v>3726.8</v>
      </c>
      <c r="K58" s="238">
        <v>3726.9</v>
      </c>
      <c r="L58" s="238">
        <v>3726.8</v>
      </c>
      <c r="M58" s="238">
        <v>3726.8</v>
      </c>
      <c r="N58" s="202"/>
      <c r="O58" s="195"/>
      <c r="P58" s="204"/>
    </row>
    <row r="59" spans="1:16" s="8" customFormat="1" ht="39.950000000000003" customHeight="1" x14ac:dyDescent="0.3">
      <c r="A59" s="171">
        <v>26</v>
      </c>
      <c r="B59" s="126" t="s">
        <v>49</v>
      </c>
      <c r="C59" s="200" t="s">
        <v>40</v>
      </c>
      <c r="D59" s="198" t="s">
        <v>15</v>
      </c>
      <c r="E59" s="186" t="s">
        <v>71</v>
      </c>
      <c r="F59" s="189" t="s">
        <v>20</v>
      </c>
      <c r="G59" s="189"/>
      <c r="H59" s="189">
        <v>215141052</v>
      </c>
      <c r="I59" s="53">
        <v>110114</v>
      </c>
      <c r="J59" s="53">
        <v>111031.6</v>
      </c>
      <c r="K59" s="53">
        <v>111309.4</v>
      </c>
      <c r="L59" s="53">
        <v>113124.4</v>
      </c>
      <c r="M59" s="53">
        <v>114853.6</v>
      </c>
      <c r="N59" s="202"/>
      <c r="O59" s="195"/>
      <c r="P59" s="204"/>
    </row>
    <row r="60" spans="1:16" s="8" customFormat="1" ht="39.950000000000003" customHeight="1" x14ac:dyDescent="0.3">
      <c r="A60" s="171">
        <v>27</v>
      </c>
      <c r="B60" s="126" t="s">
        <v>50</v>
      </c>
      <c r="C60" s="175" t="s">
        <v>40</v>
      </c>
      <c r="D60" s="192" t="s">
        <v>66</v>
      </c>
      <c r="E60" s="186" t="s">
        <v>71</v>
      </c>
      <c r="F60" s="189" t="s">
        <v>10</v>
      </c>
      <c r="G60" s="189" t="s">
        <v>251</v>
      </c>
      <c r="H60" s="189">
        <v>13152011173</v>
      </c>
      <c r="I60" s="209">
        <v>174124</v>
      </c>
      <c r="J60" s="212">
        <v>175177</v>
      </c>
      <c r="K60" s="236">
        <v>175345</v>
      </c>
      <c r="L60" s="236">
        <v>177193</v>
      </c>
      <c r="M60" s="236">
        <v>178954</v>
      </c>
      <c r="N60" s="202"/>
      <c r="O60" s="195"/>
      <c r="P60" s="204"/>
    </row>
    <row r="61" spans="1:16" s="8" customFormat="1" ht="39.950000000000003" customHeight="1" x14ac:dyDescent="0.3">
      <c r="A61" s="353">
        <v>28</v>
      </c>
      <c r="B61" s="126" t="s">
        <v>51</v>
      </c>
      <c r="C61" s="375" t="s">
        <v>40</v>
      </c>
      <c r="D61" s="398" t="s">
        <v>67</v>
      </c>
      <c r="E61" s="186" t="s">
        <v>72</v>
      </c>
      <c r="F61" s="189" t="s">
        <v>20</v>
      </c>
      <c r="G61" s="189"/>
      <c r="H61" s="189">
        <v>1015463046</v>
      </c>
      <c r="I61" s="53">
        <v>7103.3</v>
      </c>
      <c r="J61" s="53">
        <v>13924.4</v>
      </c>
      <c r="K61" s="53">
        <v>17251.8</v>
      </c>
      <c r="L61" s="53">
        <v>21538.9</v>
      </c>
      <c r="M61" s="53">
        <v>25298.400000000001</v>
      </c>
      <c r="N61" s="202"/>
      <c r="O61" s="195"/>
      <c r="P61" s="204"/>
    </row>
    <row r="62" spans="1:16" s="8" customFormat="1" ht="39.950000000000003" customHeight="1" x14ac:dyDescent="0.3">
      <c r="A62" s="354"/>
      <c r="B62" s="126" t="s">
        <v>101</v>
      </c>
      <c r="C62" s="371"/>
      <c r="D62" s="399"/>
      <c r="E62" s="186" t="s">
        <v>63</v>
      </c>
      <c r="F62" s="189" t="s">
        <v>10</v>
      </c>
      <c r="G62" s="189" t="s">
        <v>254</v>
      </c>
      <c r="H62" s="189">
        <v>13152011177</v>
      </c>
      <c r="I62" s="155">
        <v>290755</v>
      </c>
      <c r="J62" s="155">
        <v>290811</v>
      </c>
      <c r="K62" s="155">
        <v>290858</v>
      </c>
      <c r="L62" s="155">
        <v>290912</v>
      </c>
      <c r="M62" s="155">
        <v>290957</v>
      </c>
      <c r="N62" s="202"/>
      <c r="O62" s="195"/>
      <c r="P62" s="204"/>
    </row>
    <row r="63" spans="1:16" s="8" customFormat="1" ht="39.950000000000003" customHeight="1" x14ac:dyDescent="0.3">
      <c r="A63" s="171">
        <v>29</v>
      </c>
      <c r="B63" s="126" t="s">
        <v>52</v>
      </c>
      <c r="C63" s="175" t="s">
        <v>40</v>
      </c>
      <c r="D63" s="192" t="s">
        <v>68</v>
      </c>
      <c r="E63" s="186" t="s">
        <v>71</v>
      </c>
      <c r="F63" s="189" t="s">
        <v>10</v>
      </c>
      <c r="G63" s="189" t="s">
        <v>257</v>
      </c>
      <c r="H63" s="189">
        <v>13262012708</v>
      </c>
      <c r="I63" s="209">
        <v>142371</v>
      </c>
      <c r="J63" s="212">
        <v>144803</v>
      </c>
      <c r="K63" s="236">
        <v>147038</v>
      </c>
      <c r="L63" s="236">
        <v>149585</v>
      </c>
      <c r="M63" s="236">
        <v>151863</v>
      </c>
      <c r="N63" s="202"/>
      <c r="O63" s="202"/>
      <c r="P63" s="204"/>
    </row>
    <row r="64" spans="1:16" s="8" customFormat="1" ht="39.950000000000003" customHeight="1" x14ac:dyDescent="0.3">
      <c r="A64" s="353">
        <v>30</v>
      </c>
      <c r="B64" s="126" t="s">
        <v>228</v>
      </c>
      <c r="C64" s="175" t="s">
        <v>40</v>
      </c>
      <c r="D64" s="192" t="s">
        <v>30</v>
      </c>
      <c r="E64" s="186" t="s">
        <v>230</v>
      </c>
      <c r="F64" s="189" t="s">
        <v>10</v>
      </c>
      <c r="G64" s="189" t="s">
        <v>256</v>
      </c>
      <c r="H64" s="189">
        <v>18342010865</v>
      </c>
      <c r="I64" s="209">
        <v>745036</v>
      </c>
      <c r="J64" s="212">
        <v>764148</v>
      </c>
      <c r="K64" s="236">
        <v>781334</v>
      </c>
      <c r="L64" s="236">
        <v>801293</v>
      </c>
      <c r="M64" s="236">
        <v>818806</v>
      </c>
      <c r="N64" s="202"/>
      <c r="O64" s="195"/>
      <c r="P64" s="204"/>
    </row>
    <row r="65" spans="1:16" s="8" customFormat="1" ht="39.950000000000003" customHeight="1" x14ac:dyDescent="0.3">
      <c r="A65" s="354"/>
      <c r="B65" s="126" t="s">
        <v>232</v>
      </c>
      <c r="C65" s="175" t="s">
        <v>40</v>
      </c>
      <c r="D65" s="192" t="s">
        <v>233</v>
      </c>
      <c r="E65" s="186" t="s">
        <v>22</v>
      </c>
      <c r="F65" s="189" t="s">
        <v>10</v>
      </c>
      <c r="G65" s="189" t="s">
        <v>258</v>
      </c>
      <c r="H65" s="189"/>
      <c r="I65" s="56">
        <v>3180</v>
      </c>
      <c r="J65" s="56">
        <v>3261</v>
      </c>
      <c r="K65" s="56">
        <v>3334.1</v>
      </c>
      <c r="L65" s="56">
        <v>3417</v>
      </c>
      <c r="M65" s="56">
        <v>3443.1</v>
      </c>
      <c r="N65" s="202"/>
      <c r="O65" s="195"/>
      <c r="P65" s="204"/>
    </row>
    <row r="66" spans="1:16" s="8" customFormat="1" ht="39.950000000000003" customHeight="1" x14ac:dyDescent="0.3">
      <c r="A66" s="171">
        <v>31</v>
      </c>
      <c r="B66" s="126" t="s">
        <v>53</v>
      </c>
      <c r="C66" s="175" t="s">
        <v>40</v>
      </c>
      <c r="D66" s="192" t="s">
        <v>69</v>
      </c>
      <c r="E66" s="186" t="s">
        <v>71</v>
      </c>
      <c r="F66" s="189" t="s">
        <v>10</v>
      </c>
      <c r="G66" s="189" t="s">
        <v>257</v>
      </c>
      <c r="H66" s="189">
        <v>13262012738</v>
      </c>
      <c r="I66" s="209">
        <v>273426</v>
      </c>
      <c r="J66" s="212">
        <v>275701</v>
      </c>
      <c r="K66" s="236">
        <v>277811</v>
      </c>
      <c r="L66" s="236">
        <v>280188</v>
      </c>
      <c r="M66" s="236">
        <v>282281</v>
      </c>
      <c r="N66" s="202"/>
      <c r="O66" s="195"/>
      <c r="P66" s="204"/>
    </row>
    <row r="67" spans="1:16" s="8" customFormat="1" ht="39.950000000000003" customHeight="1" x14ac:dyDescent="0.3">
      <c r="A67" s="171">
        <v>32</v>
      </c>
      <c r="B67" s="126" t="s">
        <v>226</v>
      </c>
      <c r="C67" s="175" t="s">
        <v>40</v>
      </c>
      <c r="D67" s="192" t="s">
        <v>213</v>
      </c>
      <c r="E67" s="186" t="s">
        <v>71</v>
      </c>
      <c r="F67" s="189" t="s">
        <v>10</v>
      </c>
      <c r="G67" s="189" t="s">
        <v>251</v>
      </c>
      <c r="H67" s="189"/>
      <c r="I67" s="96">
        <v>74453</v>
      </c>
      <c r="J67" s="96">
        <v>76265</v>
      </c>
      <c r="K67" s="96">
        <v>77890</v>
      </c>
      <c r="L67" s="96">
        <v>79728</v>
      </c>
      <c r="M67" s="96">
        <v>81364</v>
      </c>
      <c r="N67" s="31"/>
      <c r="O67" s="195"/>
      <c r="P67" s="204"/>
    </row>
    <row r="68" spans="1:16" s="8" customFormat="1" ht="39.950000000000003" customHeight="1" x14ac:dyDescent="0.3">
      <c r="A68" s="260">
        <v>33</v>
      </c>
      <c r="B68" s="126" t="s">
        <v>315</v>
      </c>
      <c r="C68" s="175" t="s">
        <v>40</v>
      </c>
      <c r="D68" s="192" t="s">
        <v>148</v>
      </c>
      <c r="E68" s="186" t="s">
        <v>63</v>
      </c>
      <c r="F68" s="189" t="s">
        <v>20</v>
      </c>
      <c r="G68" s="189"/>
      <c r="H68" s="189">
        <v>724106165</v>
      </c>
      <c r="I68" s="56">
        <v>16403</v>
      </c>
      <c r="J68" s="56">
        <v>17428.099999999999</v>
      </c>
      <c r="K68" s="56">
        <v>18326.8</v>
      </c>
      <c r="L68" s="56">
        <v>19347</v>
      </c>
      <c r="M68" s="56">
        <v>20255.900000000001</v>
      </c>
      <c r="N68" s="202"/>
      <c r="O68" s="195"/>
      <c r="P68" s="204"/>
    </row>
    <row r="69" spans="1:16" s="8" customFormat="1" ht="39.950000000000003" customHeight="1" x14ac:dyDescent="0.3">
      <c r="A69" s="260">
        <v>34</v>
      </c>
      <c r="B69" s="126" t="s">
        <v>380</v>
      </c>
      <c r="C69" s="175" t="s">
        <v>40</v>
      </c>
      <c r="D69" s="192" t="s">
        <v>316</v>
      </c>
      <c r="E69" s="186" t="s">
        <v>63</v>
      </c>
      <c r="F69" s="189" t="s">
        <v>20</v>
      </c>
      <c r="G69" s="188"/>
      <c r="H69" s="189">
        <v>724106142</v>
      </c>
      <c r="I69" s="134">
        <v>28619.5</v>
      </c>
      <c r="J69" s="134">
        <v>30372.5</v>
      </c>
      <c r="K69" s="134">
        <v>32012.400000000001</v>
      </c>
      <c r="L69" s="134">
        <v>33890.300000000003</v>
      </c>
      <c r="M69" s="134">
        <v>35572.400000000001</v>
      </c>
      <c r="N69" s="202"/>
      <c r="O69" s="31"/>
      <c r="P69" s="204"/>
    </row>
    <row r="70" spans="1:16" s="8" customFormat="1" ht="39.950000000000003" customHeight="1" x14ac:dyDescent="0.3">
      <c r="A70" s="260">
        <v>35</v>
      </c>
      <c r="B70" s="126" t="s">
        <v>362</v>
      </c>
      <c r="C70" s="178" t="s">
        <v>40</v>
      </c>
      <c r="D70" s="190">
        <v>21</v>
      </c>
      <c r="E70" s="197" t="s">
        <v>23</v>
      </c>
      <c r="F70" s="189" t="s">
        <v>20</v>
      </c>
      <c r="G70" s="205"/>
      <c r="H70" s="199">
        <v>224025181</v>
      </c>
      <c r="I70" s="56">
        <v>8364.4</v>
      </c>
      <c r="J70" s="56">
        <v>10185.200000000001</v>
      </c>
      <c r="K70" s="56">
        <v>11851.9</v>
      </c>
      <c r="L70" s="56">
        <v>13739.4</v>
      </c>
      <c r="M70" s="56">
        <v>15437.4</v>
      </c>
      <c r="N70" s="202"/>
      <c r="O70" s="195"/>
      <c r="P70" s="204"/>
    </row>
    <row r="71" spans="1:16" s="8" customFormat="1" ht="39.950000000000003" customHeight="1" x14ac:dyDescent="0.3">
      <c r="A71" s="260">
        <v>36</v>
      </c>
      <c r="B71" s="126" t="s">
        <v>244</v>
      </c>
      <c r="C71" s="178" t="s">
        <v>40</v>
      </c>
      <c r="D71" s="190">
        <v>20</v>
      </c>
      <c r="E71" s="197" t="s">
        <v>23</v>
      </c>
      <c r="F71" s="187" t="s">
        <v>10</v>
      </c>
      <c r="G71" s="187" t="s">
        <v>251</v>
      </c>
      <c r="H71" s="199"/>
      <c r="I71" s="96">
        <v>67188</v>
      </c>
      <c r="J71" s="96">
        <v>68257</v>
      </c>
      <c r="K71" s="96">
        <v>69199</v>
      </c>
      <c r="L71" s="96">
        <v>70405</v>
      </c>
      <c r="M71" s="96">
        <v>71719</v>
      </c>
      <c r="N71" s="31"/>
      <c r="O71" s="195"/>
      <c r="P71" s="204"/>
    </row>
    <row r="72" spans="1:16" s="8" customFormat="1" ht="39.950000000000003" customHeight="1" x14ac:dyDescent="0.3">
      <c r="A72" s="260">
        <v>37</v>
      </c>
      <c r="B72" s="126" t="s">
        <v>231</v>
      </c>
      <c r="C72" s="178" t="s">
        <v>40</v>
      </c>
      <c r="D72" s="190">
        <v>18</v>
      </c>
      <c r="E72" s="197" t="s">
        <v>23</v>
      </c>
      <c r="F72" s="199" t="s">
        <v>10</v>
      </c>
      <c r="G72" s="199" t="s">
        <v>251</v>
      </c>
      <c r="H72" s="199"/>
      <c r="I72" s="209">
        <v>97333</v>
      </c>
      <c r="J72" s="212">
        <v>100098</v>
      </c>
      <c r="K72" s="236">
        <v>102754</v>
      </c>
      <c r="L72" s="236">
        <v>105769</v>
      </c>
      <c r="M72" s="236">
        <v>108202</v>
      </c>
      <c r="N72" s="202"/>
      <c r="O72" s="195"/>
      <c r="P72" s="204"/>
    </row>
    <row r="73" spans="1:16" s="8" customFormat="1" ht="39.950000000000003" customHeight="1" x14ac:dyDescent="0.3">
      <c r="A73" s="353">
        <v>38</v>
      </c>
      <c r="B73" s="159" t="s">
        <v>54</v>
      </c>
      <c r="C73" s="375" t="s">
        <v>40</v>
      </c>
      <c r="D73" s="398" t="s">
        <v>70</v>
      </c>
      <c r="E73" s="381" t="s">
        <v>73</v>
      </c>
      <c r="F73" s="383" t="s">
        <v>20</v>
      </c>
      <c r="G73" s="187"/>
      <c r="H73" s="383">
        <v>1015422130</v>
      </c>
      <c r="I73" s="53">
        <v>2878597.8</v>
      </c>
      <c r="J73" s="53">
        <v>2902418.5</v>
      </c>
      <c r="K73" s="53">
        <v>2918052</v>
      </c>
      <c r="L73" s="53">
        <v>2931268.3</v>
      </c>
      <c r="M73" s="53">
        <v>2943312.2</v>
      </c>
      <c r="N73" s="202"/>
      <c r="O73" s="195"/>
      <c r="P73" s="204"/>
    </row>
    <row r="74" spans="1:16" s="8" customFormat="1" ht="39.950000000000003" customHeight="1" x14ac:dyDescent="0.3">
      <c r="A74" s="355"/>
      <c r="B74" s="126" t="s">
        <v>55</v>
      </c>
      <c r="C74" s="370"/>
      <c r="D74" s="402"/>
      <c r="E74" s="382"/>
      <c r="F74" s="379"/>
      <c r="G74" s="199"/>
      <c r="H74" s="379"/>
      <c r="I74" s="53">
        <v>1938913.1</v>
      </c>
      <c r="J74" s="53">
        <v>1955966.1</v>
      </c>
      <c r="K74" s="53">
        <v>1967736.5</v>
      </c>
      <c r="L74" s="53">
        <v>1976736.6</v>
      </c>
      <c r="M74" s="53">
        <v>1985083.1</v>
      </c>
      <c r="N74" s="202"/>
      <c r="O74" s="195"/>
      <c r="P74" s="204"/>
    </row>
    <row r="75" spans="1:16" s="8" customFormat="1" ht="39.950000000000003" customHeight="1" x14ac:dyDescent="0.3">
      <c r="A75" s="355"/>
      <c r="B75" s="126" t="s">
        <v>206</v>
      </c>
      <c r="C75" s="370"/>
      <c r="D75" s="402"/>
      <c r="E75" s="382"/>
      <c r="F75" s="379"/>
      <c r="G75" s="199"/>
      <c r="H75" s="380"/>
      <c r="I75" s="53">
        <v>939683.4</v>
      </c>
      <c r="J75" s="53">
        <v>946451.1</v>
      </c>
      <c r="K75" s="53">
        <v>950314.2</v>
      </c>
      <c r="L75" s="53">
        <v>954530.5</v>
      </c>
      <c r="M75" s="53">
        <v>958227.4</v>
      </c>
      <c r="N75" s="202"/>
      <c r="O75" s="195"/>
      <c r="P75" s="204"/>
    </row>
    <row r="76" spans="1:16" s="8" customFormat="1" ht="39.950000000000003" customHeight="1" x14ac:dyDescent="0.3">
      <c r="A76" s="355"/>
      <c r="B76" s="126" t="s">
        <v>56</v>
      </c>
      <c r="C76" s="370"/>
      <c r="D76" s="402"/>
      <c r="E76" s="384"/>
      <c r="F76" s="380"/>
      <c r="G76" s="189"/>
      <c r="H76" s="189">
        <v>715103052</v>
      </c>
      <c r="I76" s="53">
        <v>445.9</v>
      </c>
      <c r="J76" s="53">
        <v>446.7</v>
      </c>
      <c r="K76" s="53">
        <v>446.7</v>
      </c>
      <c r="L76" s="53">
        <v>446.7</v>
      </c>
      <c r="M76" s="53">
        <v>448.2</v>
      </c>
      <c r="N76" s="202"/>
      <c r="O76" s="195"/>
      <c r="P76" s="204"/>
    </row>
    <row r="77" spans="1:16" s="8" customFormat="1" ht="39.950000000000003" customHeight="1" x14ac:dyDescent="0.3">
      <c r="A77" s="355"/>
      <c r="B77" s="162" t="s">
        <v>57</v>
      </c>
      <c r="C77" s="370"/>
      <c r="D77" s="402"/>
      <c r="E77" s="381" t="s">
        <v>16</v>
      </c>
      <c r="F77" s="383" t="s">
        <v>10</v>
      </c>
      <c r="G77" s="189" t="s">
        <v>261</v>
      </c>
      <c r="H77" s="383">
        <v>1313201073</v>
      </c>
      <c r="I77" s="54">
        <v>2444.6999999999998</v>
      </c>
      <c r="J77" s="54">
        <v>2499.3000000000002</v>
      </c>
      <c r="K77" s="54">
        <v>2560</v>
      </c>
      <c r="L77" s="54">
        <v>2601.9</v>
      </c>
      <c r="M77" s="54">
        <v>2660.9</v>
      </c>
      <c r="N77" s="31"/>
      <c r="O77" s="77"/>
      <c r="P77" s="27"/>
    </row>
    <row r="78" spans="1:16" s="8" customFormat="1" ht="39.950000000000003" customHeight="1" x14ac:dyDescent="0.3">
      <c r="A78" s="355"/>
      <c r="B78" s="143" t="s">
        <v>58</v>
      </c>
      <c r="C78" s="370"/>
      <c r="D78" s="402"/>
      <c r="E78" s="382"/>
      <c r="F78" s="379"/>
      <c r="G78" s="189" t="s">
        <v>261</v>
      </c>
      <c r="H78" s="379"/>
      <c r="I78" s="54">
        <v>734.8</v>
      </c>
      <c r="J78" s="54">
        <v>777.1</v>
      </c>
      <c r="K78" s="54">
        <v>824</v>
      </c>
      <c r="L78" s="54">
        <v>856.5</v>
      </c>
      <c r="M78" s="54">
        <v>901.9</v>
      </c>
      <c r="N78" s="31"/>
      <c r="O78" s="77"/>
      <c r="P78" s="27"/>
    </row>
    <row r="79" spans="1:16" s="8" customFormat="1" ht="39.950000000000003" customHeight="1" x14ac:dyDescent="0.3">
      <c r="A79" s="355"/>
      <c r="B79" s="143" t="s">
        <v>59</v>
      </c>
      <c r="C79" s="370"/>
      <c r="D79" s="402"/>
      <c r="E79" s="382"/>
      <c r="F79" s="379"/>
      <c r="G79" s="189" t="s">
        <v>261</v>
      </c>
      <c r="H79" s="380"/>
      <c r="I79" s="54">
        <v>1709.9</v>
      </c>
      <c r="J79" s="54">
        <v>1722.2</v>
      </c>
      <c r="K79" s="54">
        <v>1736</v>
      </c>
      <c r="L79" s="54">
        <v>1745.4</v>
      </c>
      <c r="M79" s="54">
        <v>1759</v>
      </c>
      <c r="N79" s="31"/>
      <c r="O79" s="77"/>
      <c r="P79" s="27"/>
    </row>
    <row r="80" spans="1:16" s="8" customFormat="1" ht="39.950000000000003" customHeight="1" x14ac:dyDescent="0.3">
      <c r="A80" s="355"/>
      <c r="B80" s="143" t="s">
        <v>60</v>
      </c>
      <c r="C80" s="370"/>
      <c r="D80" s="399"/>
      <c r="E80" s="384"/>
      <c r="F80" s="380"/>
      <c r="G80" s="189" t="s">
        <v>261</v>
      </c>
      <c r="H80" s="26">
        <v>15342010945</v>
      </c>
      <c r="I80" s="76">
        <v>50.7</v>
      </c>
      <c r="J80" s="76">
        <v>50.8</v>
      </c>
      <c r="K80" s="76">
        <v>50.8</v>
      </c>
      <c r="L80" s="76">
        <v>50.8</v>
      </c>
      <c r="M80" s="76">
        <v>51.6</v>
      </c>
      <c r="N80" s="31"/>
      <c r="O80" s="77"/>
      <c r="P80" s="27"/>
    </row>
    <row r="81" spans="1:16" s="8" customFormat="1" ht="39.950000000000003" customHeight="1" x14ac:dyDescent="0.3">
      <c r="A81" s="354"/>
      <c r="B81" s="144" t="s">
        <v>240</v>
      </c>
      <c r="C81" s="371"/>
      <c r="D81" s="192" t="s">
        <v>233</v>
      </c>
      <c r="E81" s="184" t="s">
        <v>22</v>
      </c>
      <c r="F81" s="24" t="s">
        <v>10</v>
      </c>
      <c r="G81" s="188" t="s">
        <v>253</v>
      </c>
      <c r="H81" s="181"/>
      <c r="I81" s="54">
        <v>1710.1</v>
      </c>
      <c r="J81" s="54">
        <v>1779.8</v>
      </c>
      <c r="K81" s="54">
        <v>1843.2</v>
      </c>
      <c r="L81" s="54">
        <v>1915.7</v>
      </c>
      <c r="M81" s="54">
        <v>1979.5</v>
      </c>
      <c r="N81" s="31"/>
      <c r="O81" s="193"/>
      <c r="P81" s="203"/>
    </row>
    <row r="82" spans="1:16" s="8" customFormat="1" ht="39.950000000000003" customHeight="1" x14ac:dyDescent="0.3">
      <c r="A82" s="171">
        <v>39</v>
      </c>
      <c r="B82" s="144" t="s">
        <v>317</v>
      </c>
      <c r="C82" s="174" t="s">
        <v>40</v>
      </c>
      <c r="D82" s="198">
        <v>30</v>
      </c>
      <c r="E82" s="184"/>
      <c r="F82" s="183"/>
      <c r="G82" s="199"/>
      <c r="H82" s="181"/>
      <c r="I82" s="55">
        <v>11248.4</v>
      </c>
      <c r="J82" s="55">
        <v>11934.6</v>
      </c>
      <c r="K82" s="55">
        <v>12564.4</v>
      </c>
      <c r="L82" s="55">
        <v>13289.5</v>
      </c>
      <c r="M82" s="55">
        <v>13957.3</v>
      </c>
      <c r="N82" s="31"/>
      <c r="O82" s="193"/>
      <c r="P82" s="203"/>
    </row>
    <row r="83" spans="1:16" s="8" customFormat="1" ht="39.950000000000003" customHeight="1" x14ac:dyDescent="0.3">
      <c r="A83" s="171">
        <v>40</v>
      </c>
      <c r="B83" s="144" t="s">
        <v>214</v>
      </c>
      <c r="C83" s="200" t="s">
        <v>40</v>
      </c>
      <c r="D83" s="191">
        <v>31</v>
      </c>
      <c r="E83" s="184" t="s">
        <v>23</v>
      </c>
      <c r="F83" s="183" t="s">
        <v>10</v>
      </c>
      <c r="G83" s="183" t="s">
        <v>251</v>
      </c>
      <c r="H83" s="181"/>
      <c r="I83" s="30">
        <v>98697</v>
      </c>
      <c r="J83" s="30">
        <v>101029</v>
      </c>
      <c r="K83" s="30">
        <v>103011</v>
      </c>
      <c r="L83" s="331">
        <v>105401</v>
      </c>
      <c r="M83" s="331">
        <v>107496</v>
      </c>
      <c r="N83" s="201"/>
      <c r="O83" s="193"/>
      <c r="P83" s="203"/>
    </row>
    <row r="84" spans="1:16" s="8" customFormat="1" ht="39.950000000000003" customHeight="1" x14ac:dyDescent="0.3">
      <c r="A84" s="169">
        <v>41</v>
      </c>
      <c r="B84" s="336" t="s">
        <v>61</v>
      </c>
      <c r="C84" s="178" t="s">
        <v>40</v>
      </c>
      <c r="D84" s="206" t="s">
        <v>62</v>
      </c>
      <c r="E84" s="184" t="s">
        <v>63</v>
      </c>
      <c r="F84" s="187" t="s">
        <v>10</v>
      </c>
      <c r="G84" s="187" t="s">
        <v>257</v>
      </c>
      <c r="H84" s="181">
        <v>13262012772</v>
      </c>
      <c r="I84" s="208">
        <v>382612</v>
      </c>
      <c r="J84" s="211">
        <v>386426</v>
      </c>
      <c r="K84" s="235">
        <v>389780</v>
      </c>
      <c r="L84" s="273">
        <v>393487</v>
      </c>
      <c r="M84" s="273">
        <v>396768</v>
      </c>
      <c r="N84" s="201"/>
      <c r="O84" s="201"/>
      <c r="P84" s="203"/>
    </row>
    <row r="85" spans="1:16" s="8" customFormat="1" ht="39.950000000000003" customHeight="1" x14ac:dyDescent="0.3">
      <c r="A85" s="353">
        <v>42</v>
      </c>
      <c r="B85" s="144" t="s">
        <v>207</v>
      </c>
      <c r="C85" s="178" t="s">
        <v>40</v>
      </c>
      <c r="D85" s="206" t="s">
        <v>208</v>
      </c>
      <c r="E85" s="184" t="s">
        <v>19</v>
      </c>
      <c r="F85" s="187" t="s">
        <v>20</v>
      </c>
      <c r="G85" s="199"/>
      <c r="H85" s="181" t="s">
        <v>209</v>
      </c>
      <c r="I85" s="79">
        <v>142195.4</v>
      </c>
      <c r="J85" s="79">
        <v>144759.20000000001</v>
      </c>
      <c r="K85" s="79">
        <v>147016.29999999999</v>
      </c>
      <c r="L85" s="79">
        <v>149609.20000000001</v>
      </c>
      <c r="M85" s="79">
        <v>151986.6</v>
      </c>
      <c r="N85" s="201"/>
      <c r="O85" s="193"/>
      <c r="P85" s="203"/>
    </row>
    <row r="86" spans="1:16" s="8" customFormat="1" ht="39.950000000000003" customHeight="1" x14ac:dyDescent="0.3">
      <c r="A86" s="354"/>
      <c r="B86" s="144" t="s">
        <v>343</v>
      </c>
      <c r="C86" s="178" t="s">
        <v>21</v>
      </c>
      <c r="D86" s="206" t="s">
        <v>401</v>
      </c>
      <c r="E86" s="184" t="s">
        <v>16</v>
      </c>
      <c r="F86" s="187" t="s">
        <v>10</v>
      </c>
      <c r="G86" s="199" t="s">
        <v>253</v>
      </c>
      <c r="H86" s="181">
        <v>48503058</v>
      </c>
      <c r="I86" s="79">
        <v>1823.8</v>
      </c>
      <c r="J86" s="79">
        <v>1992.4</v>
      </c>
      <c r="K86" s="79">
        <v>2141.5</v>
      </c>
      <c r="L86" s="79">
        <v>23140</v>
      </c>
      <c r="M86" s="79">
        <v>2468.3000000000002</v>
      </c>
      <c r="N86" s="31"/>
      <c r="O86" s="193"/>
      <c r="P86" s="203"/>
    </row>
    <row r="87" spans="1:16" s="8" customFormat="1" ht="39.950000000000003" customHeight="1" x14ac:dyDescent="0.3">
      <c r="A87" s="169">
        <v>43</v>
      </c>
      <c r="B87" s="144" t="s">
        <v>370</v>
      </c>
      <c r="C87" s="178" t="s">
        <v>40</v>
      </c>
      <c r="D87" s="275" t="s">
        <v>400</v>
      </c>
      <c r="E87" s="184" t="s">
        <v>23</v>
      </c>
      <c r="F87" s="187" t="s">
        <v>20</v>
      </c>
      <c r="G87" s="188"/>
      <c r="H87" s="190" t="s">
        <v>371</v>
      </c>
      <c r="I87" s="79">
        <v>2966.3</v>
      </c>
      <c r="J87" s="79">
        <v>4102.2</v>
      </c>
      <c r="K87" s="79">
        <v>5131.6000000000004</v>
      </c>
      <c r="L87" s="79">
        <v>5308</v>
      </c>
      <c r="M87" s="79">
        <v>7387.7</v>
      </c>
      <c r="N87" s="201"/>
      <c r="O87" s="193"/>
      <c r="P87" s="203"/>
    </row>
    <row r="88" spans="1:16" s="8" customFormat="1" ht="39.950000000000003" customHeight="1" x14ac:dyDescent="0.3">
      <c r="A88" s="353">
        <v>44</v>
      </c>
      <c r="B88" s="300" t="s">
        <v>373</v>
      </c>
      <c r="C88" s="178" t="s">
        <v>40</v>
      </c>
      <c r="D88" s="206" t="s">
        <v>398</v>
      </c>
      <c r="E88" s="184"/>
      <c r="F88" s="187"/>
      <c r="G88" s="187"/>
      <c r="H88" s="181"/>
      <c r="I88" s="30">
        <v>15189.4</v>
      </c>
      <c r="J88" s="30">
        <v>24101.599999999999</v>
      </c>
      <c r="K88" s="30">
        <v>32081.9</v>
      </c>
      <c r="L88" s="30">
        <v>41403.1</v>
      </c>
      <c r="M88" s="30">
        <v>49740.5</v>
      </c>
      <c r="N88" s="201"/>
      <c r="O88" s="193"/>
      <c r="P88" s="203"/>
    </row>
    <row r="89" spans="1:16" s="8" customFormat="1" ht="39.950000000000003" customHeight="1" x14ac:dyDescent="0.3">
      <c r="A89" s="354"/>
      <c r="B89" s="300" t="s">
        <v>378</v>
      </c>
      <c r="C89" s="221" t="s">
        <v>40</v>
      </c>
      <c r="D89" s="229" t="s">
        <v>399</v>
      </c>
      <c r="E89" s="216"/>
      <c r="F89" s="213"/>
      <c r="G89" s="213"/>
      <c r="H89" s="218"/>
      <c r="I89" s="30"/>
      <c r="J89" s="30">
        <v>3707.4</v>
      </c>
      <c r="K89" s="30">
        <v>3758.1</v>
      </c>
      <c r="L89" s="30">
        <v>3816.2</v>
      </c>
      <c r="M89" s="30">
        <v>3867.4</v>
      </c>
      <c r="N89" s="226"/>
      <c r="O89" s="224"/>
      <c r="P89" s="228"/>
    </row>
    <row r="90" spans="1:16" s="8" customFormat="1" ht="39.950000000000003" customHeight="1" x14ac:dyDescent="0.3">
      <c r="A90" s="171">
        <v>45</v>
      </c>
      <c r="B90" s="296" t="s">
        <v>372</v>
      </c>
      <c r="C90" s="178" t="s">
        <v>40</v>
      </c>
      <c r="D90" s="198" t="s">
        <v>397</v>
      </c>
      <c r="E90" s="197"/>
      <c r="F90" s="199"/>
      <c r="G90" s="199"/>
      <c r="H90" s="181"/>
      <c r="I90" s="54">
        <v>1477</v>
      </c>
      <c r="J90" s="54">
        <v>2393.3000000000002</v>
      </c>
      <c r="K90" s="54">
        <v>3122.5</v>
      </c>
      <c r="L90" s="54">
        <v>3973.8</v>
      </c>
      <c r="M90" s="54">
        <v>4748.8999999999996</v>
      </c>
      <c r="N90" s="31"/>
      <c r="O90" s="193"/>
      <c r="P90" s="203"/>
    </row>
    <row r="91" spans="1:16" s="8" customFormat="1" ht="39.950000000000003" customHeight="1" x14ac:dyDescent="0.3">
      <c r="A91" s="171">
        <v>46</v>
      </c>
      <c r="B91" s="164" t="s">
        <v>222</v>
      </c>
      <c r="C91" s="200" t="s">
        <v>40</v>
      </c>
      <c r="D91" s="198" t="s">
        <v>223</v>
      </c>
      <c r="E91" s="197" t="s">
        <v>71</v>
      </c>
      <c r="F91" s="199" t="s">
        <v>10</v>
      </c>
      <c r="G91" s="187" t="s">
        <v>251</v>
      </c>
      <c r="H91" s="187"/>
      <c r="I91" s="96">
        <v>34694</v>
      </c>
      <c r="J91" s="96">
        <v>35517</v>
      </c>
      <c r="K91" s="96">
        <v>36248</v>
      </c>
      <c r="L91" s="96">
        <v>37049</v>
      </c>
      <c r="M91" s="96">
        <v>37778</v>
      </c>
      <c r="N91" s="31"/>
      <c r="O91" s="193"/>
      <c r="P91" s="203"/>
    </row>
    <row r="92" spans="1:16" s="8" customFormat="1" ht="39.950000000000003" customHeight="1" x14ac:dyDescent="0.3">
      <c r="A92" s="260">
        <v>47</v>
      </c>
      <c r="B92" s="143" t="s">
        <v>210</v>
      </c>
      <c r="C92" s="200" t="s">
        <v>40</v>
      </c>
      <c r="D92" s="198" t="s">
        <v>212</v>
      </c>
      <c r="E92" s="197" t="s">
        <v>46</v>
      </c>
      <c r="F92" s="199" t="s">
        <v>10</v>
      </c>
      <c r="G92" s="187" t="s">
        <v>251</v>
      </c>
      <c r="H92" s="187"/>
      <c r="I92" s="96">
        <v>39730</v>
      </c>
      <c r="J92" s="96">
        <v>40577</v>
      </c>
      <c r="K92" s="96">
        <v>41344</v>
      </c>
      <c r="L92" s="96">
        <v>42202</v>
      </c>
      <c r="M92" s="96">
        <v>42974</v>
      </c>
      <c r="N92" s="31"/>
      <c r="O92" s="193"/>
      <c r="P92" s="203"/>
    </row>
    <row r="93" spans="1:16" s="8" customFormat="1" ht="39.950000000000003" customHeight="1" x14ac:dyDescent="0.3">
      <c r="A93" s="260">
        <v>48</v>
      </c>
      <c r="B93" s="144" t="s">
        <v>190</v>
      </c>
      <c r="C93" s="370"/>
      <c r="D93" s="73"/>
      <c r="E93" s="197"/>
      <c r="F93" s="183"/>
      <c r="G93" s="183"/>
      <c r="H93" s="181"/>
      <c r="I93" s="30">
        <v>34298</v>
      </c>
      <c r="J93" s="30">
        <v>35487</v>
      </c>
      <c r="K93" s="30">
        <v>36478</v>
      </c>
      <c r="L93" s="30">
        <v>37743</v>
      </c>
      <c r="M93" s="30">
        <v>38597</v>
      </c>
      <c r="N93" s="201"/>
      <c r="O93" s="193"/>
      <c r="P93" s="203"/>
    </row>
    <row r="94" spans="1:16" s="8" customFormat="1" ht="50.25" customHeight="1" x14ac:dyDescent="0.3">
      <c r="A94" s="260">
        <v>49</v>
      </c>
      <c r="B94" s="144" t="s">
        <v>192</v>
      </c>
      <c r="C94" s="371"/>
      <c r="D94" s="73" t="s">
        <v>191</v>
      </c>
      <c r="E94" s="197" t="s">
        <v>19</v>
      </c>
      <c r="F94" s="183" t="s">
        <v>10</v>
      </c>
      <c r="G94" s="183" t="s">
        <v>251</v>
      </c>
      <c r="H94" s="181">
        <v>13482010639</v>
      </c>
      <c r="I94" s="30">
        <v>165870</v>
      </c>
      <c r="J94" s="30">
        <v>167158</v>
      </c>
      <c r="K94" s="30">
        <v>168152</v>
      </c>
      <c r="L94" s="30">
        <v>169415</v>
      </c>
      <c r="M94" s="30">
        <v>170559</v>
      </c>
      <c r="N94" s="201"/>
      <c r="O94" s="193"/>
      <c r="P94" s="203"/>
    </row>
    <row r="95" spans="1:16" s="8" customFormat="1" ht="39.950000000000003" customHeight="1" x14ac:dyDescent="0.3">
      <c r="A95" s="353">
        <v>50</v>
      </c>
      <c r="B95" s="162" t="s">
        <v>369</v>
      </c>
      <c r="C95" s="375" t="s">
        <v>40</v>
      </c>
      <c r="D95" s="73" t="s">
        <v>242</v>
      </c>
      <c r="E95" s="186" t="s">
        <v>23</v>
      </c>
      <c r="F95" s="183" t="s">
        <v>10</v>
      </c>
      <c r="G95" s="183" t="s">
        <v>251</v>
      </c>
      <c r="H95" s="181">
        <v>17312010468</v>
      </c>
      <c r="I95" s="74">
        <v>88193</v>
      </c>
      <c r="J95" s="74">
        <v>90167</v>
      </c>
      <c r="K95" s="74">
        <v>92402</v>
      </c>
      <c r="L95" s="74">
        <v>95914</v>
      </c>
      <c r="M95" s="74">
        <v>96590</v>
      </c>
      <c r="N95" s="77"/>
      <c r="O95" s="77"/>
      <c r="P95" s="27"/>
    </row>
    <row r="96" spans="1:16" s="8" customFormat="1" ht="39.950000000000003" customHeight="1" x14ac:dyDescent="0.3">
      <c r="A96" s="355"/>
      <c r="B96" s="159" t="s">
        <v>276</v>
      </c>
      <c r="C96" s="370"/>
      <c r="D96" s="112"/>
      <c r="E96" s="186" t="s">
        <v>17</v>
      </c>
      <c r="F96" s="183" t="s">
        <v>10</v>
      </c>
      <c r="G96" s="183" t="s">
        <v>251</v>
      </c>
      <c r="H96" s="181"/>
      <c r="I96" s="101">
        <v>6632</v>
      </c>
      <c r="J96" s="101">
        <v>6822</v>
      </c>
      <c r="K96" s="101">
        <v>6994</v>
      </c>
      <c r="L96" s="101">
        <v>7201</v>
      </c>
      <c r="M96" s="101">
        <v>7365</v>
      </c>
      <c r="N96" s="77"/>
      <c r="O96" s="195"/>
      <c r="P96" s="204"/>
    </row>
    <row r="97" spans="1:17" s="8" customFormat="1" ht="39.950000000000003" customHeight="1" x14ac:dyDescent="0.3">
      <c r="A97" s="354"/>
      <c r="B97" s="159" t="s">
        <v>277</v>
      </c>
      <c r="C97" s="371"/>
      <c r="D97" s="112"/>
      <c r="E97" s="197" t="s">
        <v>16</v>
      </c>
      <c r="F97" s="183" t="s">
        <v>10</v>
      </c>
      <c r="G97" s="183" t="s">
        <v>253</v>
      </c>
      <c r="H97" s="181" t="s">
        <v>278</v>
      </c>
      <c r="I97" s="141">
        <v>495.5</v>
      </c>
      <c r="J97" s="141">
        <v>514.6</v>
      </c>
      <c r="K97" s="141">
        <v>519.9</v>
      </c>
      <c r="L97" s="141">
        <v>545.1</v>
      </c>
      <c r="M97" s="141">
        <v>567.1</v>
      </c>
      <c r="N97" s="77"/>
      <c r="O97" s="195"/>
      <c r="P97" s="204"/>
    </row>
    <row r="98" spans="1:17" s="8" customFormat="1" ht="39.950000000000003" customHeight="1" x14ac:dyDescent="0.3">
      <c r="A98" s="171">
        <v>51</v>
      </c>
      <c r="B98" s="126" t="s">
        <v>245</v>
      </c>
      <c r="C98" s="175" t="s">
        <v>41</v>
      </c>
      <c r="D98" s="192" t="s">
        <v>246</v>
      </c>
      <c r="E98" s="197" t="s">
        <v>23</v>
      </c>
      <c r="F98" s="183" t="s">
        <v>10</v>
      </c>
      <c r="G98" s="24" t="s">
        <v>257</v>
      </c>
      <c r="H98" s="26"/>
      <c r="I98" s="101">
        <v>90029</v>
      </c>
      <c r="J98" s="101">
        <v>91220</v>
      </c>
      <c r="K98" s="101">
        <v>92386</v>
      </c>
      <c r="L98" s="101">
        <v>93716</v>
      </c>
      <c r="M98" s="101">
        <v>94901</v>
      </c>
      <c r="N98" s="195"/>
      <c r="O98" s="195"/>
      <c r="P98" s="204"/>
    </row>
    <row r="99" spans="1:17" s="8" customFormat="1" ht="39.950000000000003" customHeight="1" x14ac:dyDescent="0.3">
      <c r="A99" s="82">
        <v>52</v>
      </c>
      <c r="B99" s="126" t="s">
        <v>74</v>
      </c>
      <c r="C99" s="175" t="s">
        <v>41</v>
      </c>
      <c r="D99" s="192" t="s">
        <v>80</v>
      </c>
      <c r="E99" s="186" t="s">
        <v>23</v>
      </c>
      <c r="F99" s="199" t="s">
        <v>10</v>
      </c>
      <c r="G99" s="189" t="s">
        <v>254</v>
      </c>
      <c r="H99" s="189">
        <v>13152011224</v>
      </c>
      <c r="I99" s="139">
        <v>128281</v>
      </c>
      <c r="J99" s="139">
        <v>129054</v>
      </c>
      <c r="K99" s="139">
        <v>129751</v>
      </c>
      <c r="L99" s="139">
        <v>130545</v>
      </c>
      <c r="M99" s="139">
        <v>131267</v>
      </c>
      <c r="N99" s="77"/>
      <c r="O99" s="195"/>
      <c r="P99" s="204"/>
    </row>
    <row r="100" spans="1:17" s="8" customFormat="1" ht="39.950000000000003" customHeight="1" x14ac:dyDescent="0.3">
      <c r="A100" s="260">
        <v>53</v>
      </c>
      <c r="B100" s="126" t="s">
        <v>379</v>
      </c>
      <c r="C100" s="175" t="s">
        <v>41</v>
      </c>
      <c r="D100" s="192" t="s">
        <v>291</v>
      </c>
      <c r="E100" s="186" t="s">
        <v>46</v>
      </c>
      <c r="F100" s="189" t="s">
        <v>20</v>
      </c>
      <c r="G100" s="199" t="s">
        <v>251</v>
      </c>
      <c r="H100" s="182"/>
      <c r="I100" s="80">
        <v>29962</v>
      </c>
      <c r="J100" s="80">
        <v>31135</v>
      </c>
      <c r="K100" s="80">
        <v>32171</v>
      </c>
      <c r="L100" s="80">
        <v>33336</v>
      </c>
      <c r="M100" s="80">
        <v>34394</v>
      </c>
      <c r="N100" s="202"/>
      <c r="O100" s="195"/>
      <c r="P100" s="180"/>
      <c r="Q100" s="81"/>
    </row>
    <row r="101" spans="1:17" s="8" customFormat="1" ht="39.950000000000003" customHeight="1" x14ac:dyDescent="0.3">
      <c r="A101" s="262">
        <v>54</v>
      </c>
      <c r="B101" s="126" t="s">
        <v>290</v>
      </c>
      <c r="C101" s="175" t="s">
        <v>41</v>
      </c>
      <c r="D101" s="192" t="s">
        <v>291</v>
      </c>
      <c r="E101" s="186" t="s">
        <v>46</v>
      </c>
      <c r="F101" s="189" t="s">
        <v>20</v>
      </c>
      <c r="G101" s="199" t="s">
        <v>251</v>
      </c>
      <c r="H101" s="182"/>
      <c r="I101" s="80">
        <v>16424</v>
      </c>
      <c r="J101" s="80">
        <v>17014</v>
      </c>
      <c r="K101" s="80">
        <v>17547</v>
      </c>
      <c r="L101" s="80">
        <v>18145</v>
      </c>
      <c r="M101" s="80">
        <v>18687</v>
      </c>
      <c r="N101" s="202"/>
      <c r="O101" s="195"/>
      <c r="P101" s="180"/>
      <c r="Q101" s="81"/>
    </row>
    <row r="102" spans="1:17" s="8" customFormat="1" ht="39.950000000000003" customHeight="1" x14ac:dyDescent="0.3">
      <c r="A102" s="260">
        <v>55</v>
      </c>
      <c r="B102" s="126" t="s">
        <v>311</v>
      </c>
      <c r="C102" s="175" t="s">
        <v>41</v>
      </c>
      <c r="D102" s="192" t="s">
        <v>291</v>
      </c>
      <c r="E102" s="186"/>
      <c r="F102" s="189"/>
      <c r="G102" s="199"/>
      <c r="H102" s="182"/>
      <c r="I102" s="53">
        <v>2766.5</v>
      </c>
      <c r="J102" s="53">
        <v>2964.6</v>
      </c>
      <c r="K102" s="53">
        <v>3152</v>
      </c>
      <c r="L102" s="53">
        <v>3360.8</v>
      </c>
      <c r="M102" s="53">
        <v>3545.9</v>
      </c>
      <c r="N102" s="202"/>
      <c r="O102" s="195"/>
      <c r="P102" s="180"/>
      <c r="Q102" s="81"/>
    </row>
    <row r="103" spans="1:17" s="8" customFormat="1" ht="39.950000000000003" customHeight="1" x14ac:dyDescent="0.3">
      <c r="A103" s="262">
        <v>56</v>
      </c>
      <c r="B103" s="126" t="s">
        <v>357</v>
      </c>
      <c r="C103" s="175" t="s">
        <v>41</v>
      </c>
      <c r="D103" s="192">
        <v>11</v>
      </c>
      <c r="E103" s="186" t="s">
        <v>23</v>
      </c>
      <c r="F103" s="199" t="s">
        <v>10</v>
      </c>
      <c r="G103" s="199" t="s">
        <v>251</v>
      </c>
      <c r="H103" s="182"/>
      <c r="I103" s="80">
        <v>88677</v>
      </c>
      <c r="J103" s="80">
        <v>92083</v>
      </c>
      <c r="K103" s="80">
        <v>95106</v>
      </c>
      <c r="L103" s="80">
        <v>98562</v>
      </c>
      <c r="M103" s="80">
        <v>101659</v>
      </c>
      <c r="N103" s="202"/>
      <c r="O103" s="195"/>
      <c r="P103" s="180"/>
      <c r="Q103" s="81"/>
    </row>
    <row r="104" spans="1:17" s="8" customFormat="1" ht="39.950000000000003" customHeight="1" x14ac:dyDescent="0.3">
      <c r="A104" s="260">
        <v>57</v>
      </c>
      <c r="B104" s="126" t="s">
        <v>266</v>
      </c>
      <c r="C104" s="175" t="s">
        <v>41</v>
      </c>
      <c r="D104" s="192" t="s">
        <v>267</v>
      </c>
      <c r="E104" s="186" t="s">
        <v>23</v>
      </c>
      <c r="F104" s="199" t="s">
        <v>10</v>
      </c>
      <c r="G104" s="199" t="s">
        <v>251</v>
      </c>
      <c r="H104" s="182"/>
      <c r="I104" s="80">
        <v>35605</v>
      </c>
      <c r="J104" s="80">
        <v>36895</v>
      </c>
      <c r="K104" s="80">
        <v>38065</v>
      </c>
      <c r="L104" s="80">
        <v>39416</v>
      </c>
      <c r="M104" s="80">
        <v>40609</v>
      </c>
      <c r="N104" s="202"/>
      <c r="O104" s="195"/>
      <c r="P104" s="180"/>
      <c r="Q104" s="81"/>
    </row>
    <row r="105" spans="1:17" s="8" customFormat="1" ht="39.950000000000003" customHeight="1" x14ac:dyDescent="0.3">
      <c r="A105" s="262">
        <v>58</v>
      </c>
      <c r="B105" s="272" t="s">
        <v>283</v>
      </c>
      <c r="C105" s="175" t="s">
        <v>41</v>
      </c>
      <c r="D105" s="192">
        <v>8</v>
      </c>
      <c r="E105" s="197" t="s">
        <v>71</v>
      </c>
      <c r="F105" s="199" t="s">
        <v>10</v>
      </c>
      <c r="G105" s="199" t="s">
        <v>251</v>
      </c>
      <c r="H105" s="182"/>
      <c r="I105" s="80">
        <v>45135</v>
      </c>
      <c r="J105" s="80">
        <v>46821</v>
      </c>
      <c r="K105" s="80">
        <v>48340</v>
      </c>
      <c r="L105" s="80">
        <v>50081</v>
      </c>
      <c r="M105" s="80">
        <v>51629</v>
      </c>
      <c r="N105" s="202"/>
      <c r="O105" s="195"/>
      <c r="P105" s="180"/>
      <c r="Q105" s="81"/>
    </row>
    <row r="106" spans="1:17" s="8" customFormat="1" ht="39.950000000000003" customHeight="1" x14ac:dyDescent="0.3">
      <c r="A106" s="260">
        <v>59</v>
      </c>
      <c r="B106" s="272" t="s">
        <v>284</v>
      </c>
      <c r="C106" s="175" t="s">
        <v>41</v>
      </c>
      <c r="D106" s="192">
        <v>3</v>
      </c>
      <c r="E106" s="197" t="s">
        <v>9</v>
      </c>
      <c r="F106" s="199" t="s">
        <v>10</v>
      </c>
      <c r="G106" s="199" t="s">
        <v>251</v>
      </c>
      <c r="H106" s="182" t="s">
        <v>289</v>
      </c>
      <c r="I106" s="80">
        <v>37214</v>
      </c>
      <c r="J106" s="80">
        <v>38683</v>
      </c>
      <c r="K106" s="80">
        <v>39942</v>
      </c>
      <c r="L106" s="80">
        <v>41354</v>
      </c>
      <c r="M106" s="80">
        <v>42620</v>
      </c>
      <c r="N106" s="202"/>
      <c r="O106" s="195"/>
      <c r="P106" s="180"/>
      <c r="Q106" s="81"/>
    </row>
    <row r="107" spans="1:17" s="8" customFormat="1" ht="39.950000000000003" customHeight="1" x14ac:dyDescent="0.3">
      <c r="A107" s="262">
        <v>60</v>
      </c>
      <c r="B107" s="272" t="s">
        <v>285</v>
      </c>
      <c r="C107" s="175" t="s">
        <v>41</v>
      </c>
      <c r="D107" s="192">
        <v>2</v>
      </c>
      <c r="E107" s="197" t="s">
        <v>23</v>
      </c>
      <c r="F107" s="199" t="s">
        <v>10</v>
      </c>
      <c r="G107" s="199" t="s">
        <v>251</v>
      </c>
      <c r="H107" s="182" t="s">
        <v>288</v>
      </c>
      <c r="I107" s="80">
        <v>26855</v>
      </c>
      <c r="J107" s="80">
        <v>27829</v>
      </c>
      <c r="K107" s="80">
        <v>28714</v>
      </c>
      <c r="L107" s="80">
        <v>29888</v>
      </c>
      <c r="M107" s="80">
        <v>30834</v>
      </c>
      <c r="N107" s="202"/>
      <c r="O107" s="195"/>
      <c r="P107" s="180"/>
      <c r="Q107" s="81"/>
    </row>
    <row r="108" spans="1:17" s="8" customFormat="1" ht="39.950000000000003" customHeight="1" x14ac:dyDescent="0.3">
      <c r="A108" s="260">
        <v>61</v>
      </c>
      <c r="B108" s="126" t="s">
        <v>374</v>
      </c>
      <c r="C108" s="222" t="s">
        <v>41</v>
      </c>
      <c r="D108" s="215">
        <v>10</v>
      </c>
      <c r="E108" s="217" t="s">
        <v>23</v>
      </c>
      <c r="F108" s="220" t="s">
        <v>10</v>
      </c>
      <c r="G108" s="214" t="s">
        <v>251</v>
      </c>
      <c r="H108" s="219"/>
      <c r="I108" s="80">
        <v>33689</v>
      </c>
      <c r="J108" s="80">
        <v>34692</v>
      </c>
      <c r="K108" s="80">
        <v>35586</v>
      </c>
      <c r="L108" s="80">
        <v>36629</v>
      </c>
      <c r="M108" s="80">
        <v>37577</v>
      </c>
      <c r="N108" s="227"/>
      <c r="O108" s="225"/>
      <c r="P108" s="223"/>
      <c r="Q108" s="81"/>
    </row>
    <row r="109" spans="1:17" s="8" customFormat="1" ht="39.950000000000003" customHeight="1" x14ac:dyDescent="0.3">
      <c r="A109" s="262">
        <v>62</v>
      </c>
      <c r="B109" s="126" t="s">
        <v>377</v>
      </c>
      <c r="C109" s="175" t="s">
        <v>41</v>
      </c>
      <c r="D109" s="192">
        <v>10</v>
      </c>
      <c r="E109" s="186" t="s">
        <v>46</v>
      </c>
      <c r="F109" s="199" t="s">
        <v>20</v>
      </c>
      <c r="G109" s="189"/>
      <c r="H109" s="182"/>
      <c r="I109" s="80"/>
      <c r="J109" s="53">
        <v>1632.3</v>
      </c>
      <c r="K109" s="53">
        <v>2983.2</v>
      </c>
      <c r="L109" s="53">
        <v>4544.2</v>
      </c>
      <c r="M109" s="53">
        <v>5947.8</v>
      </c>
      <c r="N109" s="202"/>
      <c r="O109" s="195"/>
      <c r="P109" s="180"/>
      <c r="Q109" s="81"/>
    </row>
    <row r="110" spans="1:17" s="8" customFormat="1" ht="39.950000000000003" customHeight="1" x14ac:dyDescent="0.3">
      <c r="A110" s="260">
        <v>63</v>
      </c>
      <c r="B110" s="126" t="s">
        <v>211</v>
      </c>
      <c r="C110" s="200" t="s">
        <v>41</v>
      </c>
      <c r="D110" s="46" t="s">
        <v>213</v>
      </c>
      <c r="E110" s="197" t="s">
        <v>23</v>
      </c>
      <c r="F110" s="199" t="s">
        <v>10</v>
      </c>
      <c r="G110" s="199" t="s">
        <v>251</v>
      </c>
      <c r="H110" s="26" t="s">
        <v>275</v>
      </c>
      <c r="I110" s="209">
        <v>98220</v>
      </c>
      <c r="J110" s="212">
        <v>100582</v>
      </c>
      <c r="K110" s="236">
        <v>102720</v>
      </c>
      <c r="L110" s="236">
        <v>105133</v>
      </c>
      <c r="M110" s="236">
        <v>107353</v>
      </c>
      <c r="N110" s="202"/>
      <c r="O110" s="195"/>
      <c r="P110" s="180"/>
    </row>
    <row r="111" spans="1:17" s="8" customFormat="1" ht="39.950000000000003" customHeight="1" x14ac:dyDescent="0.3">
      <c r="A111" s="262">
        <v>64</v>
      </c>
      <c r="B111" s="132" t="s">
        <v>300</v>
      </c>
      <c r="C111" s="200" t="s">
        <v>41</v>
      </c>
      <c r="D111" s="177">
        <v>15</v>
      </c>
      <c r="E111" s="197" t="s">
        <v>9</v>
      </c>
      <c r="F111" s="199" t="s">
        <v>20</v>
      </c>
      <c r="G111" s="199"/>
      <c r="H111" s="26" t="s">
        <v>99</v>
      </c>
      <c r="I111" s="207">
        <v>113020</v>
      </c>
      <c r="J111" s="210">
        <v>114336</v>
      </c>
      <c r="K111" s="233">
        <v>115504</v>
      </c>
      <c r="L111" s="233">
        <v>116963</v>
      </c>
      <c r="M111" s="233">
        <v>118275</v>
      </c>
      <c r="N111" s="202"/>
      <c r="O111" s="195"/>
      <c r="P111" s="204"/>
    </row>
    <row r="112" spans="1:17" s="8" customFormat="1" ht="39.950000000000003" customHeight="1" x14ac:dyDescent="0.3">
      <c r="A112" s="260">
        <v>65</v>
      </c>
      <c r="B112" s="132" t="s">
        <v>238</v>
      </c>
      <c r="C112" s="200" t="s">
        <v>41</v>
      </c>
      <c r="D112" s="177" t="s">
        <v>239</v>
      </c>
      <c r="E112" s="184" t="s">
        <v>23</v>
      </c>
      <c r="F112" s="199" t="s">
        <v>10</v>
      </c>
      <c r="G112" s="189" t="s">
        <v>251</v>
      </c>
      <c r="H112" s="182" t="s">
        <v>273</v>
      </c>
      <c r="I112" s="209">
        <v>30546</v>
      </c>
      <c r="J112" s="212">
        <v>31324</v>
      </c>
      <c r="K112" s="236">
        <v>32001</v>
      </c>
      <c r="L112" s="236">
        <v>32796</v>
      </c>
      <c r="M112" s="236">
        <v>33500</v>
      </c>
      <c r="N112" s="202"/>
      <c r="O112" s="195"/>
      <c r="P112" s="110"/>
      <c r="Q112" s="81"/>
    </row>
    <row r="113" spans="1:16" s="8" customFormat="1" ht="39.950000000000003" customHeight="1" x14ac:dyDescent="0.3">
      <c r="A113" s="262">
        <v>66</v>
      </c>
      <c r="B113" s="143" t="s">
        <v>79</v>
      </c>
      <c r="C113" s="200" t="s">
        <v>41</v>
      </c>
      <c r="D113" s="198">
        <v>16</v>
      </c>
      <c r="E113" s="184" t="s">
        <v>23</v>
      </c>
      <c r="F113" s="199" t="s">
        <v>10</v>
      </c>
      <c r="G113" s="189" t="s">
        <v>251</v>
      </c>
      <c r="H113" s="182"/>
      <c r="I113" s="209">
        <v>60539</v>
      </c>
      <c r="J113" s="212">
        <v>61777</v>
      </c>
      <c r="K113" s="236">
        <v>63046</v>
      </c>
      <c r="L113" s="236">
        <v>64456</v>
      </c>
      <c r="M113" s="236">
        <v>65749</v>
      </c>
      <c r="N113" s="202"/>
      <c r="O113" s="195"/>
      <c r="P113" s="27"/>
    </row>
    <row r="114" spans="1:16" s="8" customFormat="1" ht="39.950000000000003" customHeight="1" x14ac:dyDescent="0.3">
      <c r="A114" s="260">
        <v>67</v>
      </c>
      <c r="B114" s="126" t="s">
        <v>75</v>
      </c>
      <c r="C114" s="175" t="s">
        <v>41</v>
      </c>
      <c r="D114" s="177">
        <v>17</v>
      </c>
      <c r="E114" s="197" t="s">
        <v>23</v>
      </c>
      <c r="F114" s="189" t="s">
        <v>10</v>
      </c>
      <c r="G114" s="189" t="s">
        <v>254</v>
      </c>
      <c r="H114" s="189">
        <v>13152011229</v>
      </c>
      <c r="I114" s="96">
        <v>125426</v>
      </c>
      <c r="J114" s="96">
        <v>126881</v>
      </c>
      <c r="K114" s="96">
        <v>128199</v>
      </c>
      <c r="L114" s="96">
        <v>129734</v>
      </c>
      <c r="M114" s="96">
        <v>131087</v>
      </c>
      <c r="N114" s="31"/>
      <c r="O114" s="195"/>
      <c r="P114" s="204"/>
    </row>
    <row r="115" spans="1:16" s="8" customFormat="1" ht="39.950000000000003" customHeight="1" x14ac:dyDescent="0.3">
      <c r="A115" s="262">
        <v>68</v>
      </c>
      <c r="B115" s="143" t="s">
        <v>76</v>
      </c>
      <c r="C115" s="200" t="s">
        <v>41</v>
      </c>
      <c r="D115" s="183" t="s">
        <v>45</v>
      </c>
      <c r="E115" s="184" t="s">
        <v>71</v>
      </c>
      <c r="F115" s="187" t="s">
        <v>10</v>
      </c>
      <c r="G115" s="199" t="s">
        <v>254</v>
      </c>
      <c r="H115" s="199">
        <v>13152011175</v>
      </c>
      <c r="I115" s="155">
        <v>154227</v>
      </c>
      <c r="J115" s="155">
        <v>156880</v>
      </c>
      <c r="K115" s="155">
        <v>159310</v>
      </c>
      <c r="L115" s="155">
        <v>162744</v>
      </c>
      <c r="M115" s="155">
        <v>165775</v>
      </c>
      <c r="N115" s="202"/>
      <c r="O115" s="195"/>
      <c r="P115" s="204"/>
    </row>
    <row r="116" spans="1:16" s="8" customFormat="1" ht="39.950000000000003" customHeight="1" x14ac:dyDescent="0.3">
      <c r="A116" s="260">
        <v>69</v>
      </c>
      <c r="B116" s="126" t="s">
        <v>77</v>
      </c>
      <c r="C116" s="175" t="s">
        <v>41</v>
      </c>
      <c r="D116" s="24">
        <v>20</v>
      </c>
      <c r="E116" s="197" t="s">
        <v>23</v>
      </c>
      <c r="F116" s="199" t="s">
        <v>10</v>
      </c>
      <c r="G116" s="189" t="s">
        <v>251</v>
      </c>
      <c r="H116" s="182" t="s">
        <v>83</v>
      </c>
      <c r="I116" s="209">
        <v>73511</v>
      </c>
      <c r="J116" s="212">
        <v>74661</v>
      </c>
      <c r="K116" s="236">
        <v>75718</v>
      </c>
      <c r="L116" s="236">
        <v>76949</v>
      </c>
      <c r="M116" s="236">
        <v>78035</v>
      </c>
      <c r="N116" s="202"/>
      <c r="O116" s="195"/>
      <c r="P116" s="204"/>
    </row>
    <row r="117" spans="1:16" s="8" customFormat="1" ht="39.950000000000003" customHeight="1" x14ac:dyDescent="0.3">
      <c r="A117" s="353">
        <v>70</v>
      </c>
      <c r="B117" s="126" t="s">
        <v>194</v>
      </c>
      <c r="C117" s="175" t="s">
        <v>41</v>
      </c>
      <c r="D117" s="177">
        <v>21</v>
      </c>
      <c r="E117" s="186" t="s">
        <v>71</v>
      </c>
      <c r="F117" s="199" t="s">
        <v>10</v>
      </c>
      <c r="G117" s="189" t="s">
        <v>254</v>
      </c>
      <c r="H117" s="182">
        <v>17222010887</v>
      </c>
      <c r="I117" s="209">
        <v>116079</v>
      </c>
      <c r="J117" s="212">
        <v>117297</v>
      </c>
      <c r="K117" s="236">
        <v>118397</v>
      </c>
      <c r="L117" s="236">
        <v>119731</v>
      </c>
      <c r="M117" s="236">
        <v>120794</v>
      </c>
      <c r="N117" s="71"/>
      <c r="O117" s="107"/>
      <c r="P117" s="28"/>
    </row>
    <row r="118" spans="1:16" s="8" customFormat="1" ht="39.950000000000003" customHeight="1" x14ac:dyDescent="0.3">
      <c r="A118" s="355"/>
      <c r="B118" s="126" t="s">
        <v>215</v>
      </c>
      <c r="C118" s="175" t="s">
        <v>41</v>
      </c>
      <c r="D118" s="177">
        <v>21</v>
      </c>
      <c r="E118" s="186" t="s">
        <v>16</v>
      </c>
      <c r="F118" s="189" t="s">
        <v>10</v>
      </c>
      <c r="G118" s="189" t="s">
        <v>258</v>
      </c>
      <c r="H118" s="182"/>
      <c r="I118" s="56">
        <v>38410.1</v>
      </c>
      <c r="J118" s="56">
        <v>38462.400000000001</v>
      </c>
      <c r="K118" s="56">
        <v>38534.5</v>
      </c>
      <c r="L118" s="56">
        <v>38615.9</v>
      </c>
      <c r="M118" s="56">
        <v>38689</v>
      </c>
      <c r="N118" s="202"/>
      <c r="O118" s="195"/>
      <c r="P118" s="86"/>
    </row>
    <row r="119" spans="1:16" s="8" customFormat="1" ht="39.950000000000003" customHeight="1" x14ac:dyDescent="0.3">
      <c r="A119" s="355"/>
      <c r="B119" s="126" t="s">
        <v>217</v>
      </c>
      <c r="C119" s="175" t="s">
        <v>8</v>
      </c>
      <c r="D119" s="177" t="s">
        <v>218</v>
      </c>
      <c r="E119" s="186" t="s">
        <v>23</v>
      </c>
      <c r="F119" s="189" t="s">
        <v>10</v>
      </c>
      <c r="G119" s="189" t="s">
        <v>254</v>
      </c>
      <c r="H119" s="182"/>
      <c r="I119" s="209">
        <v>123408</v>
      </c>
      <c r="J119" s="212">
        <v>125054</v>
      </c>
      <c r="K119" s="236">
        <v>126431</v>
      </c>
      <c r="L119" s="236">
        <v>127828</v>
      </c>
      <c r="M119" s="236">
        <v>129256</v>
      </c>
      <c r="N119" s="233"/>
      <c r="O119" s="195"/>
      <c r="P119" s="86"/>
    </row>
    <row r="120" spans="1:16" s="8" customFormat="1" ht="39.950000000000003" customHeight="1" x14ac:dyDescent="0.3">
      <c r="A120" s="354"/>
      <c r="B120" s="143" t="s">
        <v>195</v>
      </c>
      <c r="C120" s="175" t="s">
        <v>41</v>
      </c>
      <c r="D120" s="198" t="s">
        <v>103</v>
      </c>
      <c r="E120" s="197" t="s">
        <v>46</v>
      </c>
      <c r="F120" s="199" t="s">
        <v>20</v>
      </c>
      <c r="G120" s="199" t="s">
        <v>251</v>
      </c>
      <c r="H120" s="26">
        <v>17261010151</v>
      </c>
      <c r="I120" s="80">
        <v>9996</v>
      </c>
      <c r="J120" s="80">
        <v>10401</v>
      </c>
      <c r="K120" s="80">
        <v>10761</v>
      </c>
      <c r="L120" s="80">
        <v>11193</v>
      </c>
      <c r="M120" s="80">
        <v>11589</v>
      </c>
      <c r="N120" s="202"/>
      <c r="O120" s="195"/>
      <c r="P120" s="27"/>
    </row>
    <row r="121" spans="1:16" s="8" customFormat="1" ht="39.950000000000003" customHeight="1" x14ac:dyDescent="0.3">
      <c r="A121" s="82">
        <v>71</v>
      </c>
      <c r="B121" s="126" t="s">
        <v>247</v>
      </c>
      <c r="C121" s="175" t="s">
        <v>41</v>
      </c>
      <c r="D121" s="177">
        <v>22</v>
      </c>
      <c r="E121" s="197" t="s">
        <v>9</v>
      </c>
      <c r="F121" s="189" t="s">
        <v>10</v>
      </c>
      <c r="G121" s="189" t="s">
        <v>251</v>
      </c>
      <c r="H121" s="182"/>
      <c r="I121" s="80">
        <v>48400</v>
      </c>
      <c r="J121" s="80">
        <v>50181</v>
      </c>
      <c r="K121" s="80">
        <v>51801</v>
      </c>
      <c r="L121" s="80">
        <v>53638</v>
      </c>
      <c r="M121" s="80">
        <v>55294</v>
      </c>
      <c r="N121" s="202"/>
      <c r="O121" s="195"/>
      <c r="P121" s="204"/>
    </row>
    <row r="122" spans="1:16" s="8" customFormat="1" ht="39.950000000000003" customHeight="1" x14ac:dyDescent="0.3">
      <c r="A122" s="82">
        <v>72</v>
      </c>
      <c r="B122" s="126" t="s">
        <v>108</v>
      </c>
      <c r="C122" s="175" t="s">
        <v>41</v>
      </c>
      <c r="D122" s="177" t="s">
        <v>109</v>
      </c>
      <c r="E122" s="186" t="s">
        <v>46</v>
      </c>
      <c r="F122" s="189" t="s">
        <v>10</v>
      </c>
      <c r="G122" s="189" t="s">
        <v>251</v>
      </c>
      <c r="H122" s="182">
        <v>18072010563</v>
      </c>
      <c r="I122" s="75">
        <v>70041</v>
      </c>
      <c r="J122" s="75">
        <v>70971</v>
      </c>
      <c r="K122" s="75">
        <v>71811</v>
      </c>
      <c r="L122" s="75">
        <v>72752</v>
      </c>
      <c r="M122" s="75">
        <v>73561</v>
      </c>
      <c r="N122" s="202"/>
      <c r="O122" s="195"/>
      <c r="P122" s="204"/>
    </row>
    <row r="123" spans="1:16" s="8" customFormat="1" ht="39.950000000000003" customHeight="1" x14ac:dyDescent="0.3">
      <c r="A123" s="262">
        <v>73</v>
      </c>
      <c r="B123" s="126" t="s">
        <v>193</v>
      </c>
      <c r="C123" s="175" t="s">
        <v>41</v>
      </c>
      <c r="D123" s="177">
        <v>26</v>
      </c>
      <c r="E123" s="186" t="s">
        <v>46</v>
      </c>
      <c r="F123" s="189" t="s">
        <v>20</v>
      </c>
      <c r="G123" s="189"/>
      <c r="H123" s="182">
        <v>224016017</v>
      </c>
      <c r="I123" s="53">
        <v>6626.4</v>
      </c>
      <c r="J123" s="53">
        <v>7150.6</v>
      </c>
      <c r="K123" s="53">
        <v>7628.6</v>
      </c>
      <c r="L123" s="53">
        <v>8152.9</v>
      </c>
      <c r="M123" s="53">
        <v>8622.1</v>
      </c>
      <c r="N123" s="202"/>
      <c r="O123" s="195"/>
      <c r="P123" s="204"/>
    </row>
    <row r="124" spans="1:16" s="8" customFormat="1" ht="39.950000000000003" customHeight="1" x14ac:dyDescent="0.3">
      <c r="A124" s="262">
        <v>74</v>
      </c>
      <c r="B124" s="126" t="s">
        <v>356</v>
      </c>
      <c r="C124" s="175" t="s">
        <v>41</v>
      </c>
      <c r="D124" s="177">
        <v>23</v>
      </c>
      <c r="E124" s="186" t="s">
        <v>71</v>
      </c>
      <c r="F124" s="189" t="s">
        <v>20</v>
      </c>
      <c r="G124" s="189"/>
      <c r="H124" s="182">
        <v>214496036</v>
      </c>
      <c r="I124" s="53">
        <v>32080.1</v>
      </c>
      <c r="J124" s="53">
        <v>33143.199999999997</v>
      </c>
      <c r="K124" s="53">
        <v>34107.199999999997</v>
      </c>
      <c r="L124" s="53">
        <v>35220.400000000001</v>
      </c>
      <c r="M124" s="53">
        <v>36180.199999999997</v>
      </c>
      <c r="N124" s="202"/>
      <c r="O124" s="195"/>
      <c r="P124" s="204"/>
    </row>
    <row r="125" spans="1:16" s="8" customFormat="1" ht="39.950000000000003" customHeight="1" x14ac:dyDescent="0.3">
      <c r="A125" s="262">
        <v>75</v>
      </c>
      <c r="B125" s="126" t="s">
        <v>337</v>
      </c>
      <c r="C125" s="175" t="s">
        <v>41</v>
      </c>
      <c r="D125" s="177" t="s">
        <v>338</v>
      </c>
      <c r="E125" s="186" t="s">
        <v>46</v>
      </c>
      <c r="F125" s="189" t="s">
        <v>20</v>
      </c>
      <c r="G125" s="189"/>
      <c r="H125" s="182" t="s">
        <v>339</v>
      </c>
      <c r="I125" s="53">
        <v>4270.2</v>
      </c>
      <c r="J125" s="53">
        <v>4550.7</v>
      </c>
      <c r="K125" s="53">
        <v>4797.1000000000004</v>
      </c>
      <c r="L125" s="53">
        <v>5075.3999999999996</v>
      </c>
      <c r="M125" s="53">
        <v>5329.9</v>
      </c>
      <c r="N125" s="202"/>
      <c r="O125" s="195"/>
      <c r="P125" s="204"/>
    </row>
    <row r="126" spans="1:16" s="8" customFormat="1" ht="39.950000000000003" customHeight="1" x14ac:dyDescent="0.3">
      <c r="A126" s="353">
        <v>76</v>
      </c>
      <c r="B126" s="126" t="s">
        <v>331</v>
      </c>
      <c r="C126" s="175" t="s">
        <v>41</v>
      </c>
      <c r="D126" s="177" t="s">
        <v>81</v>
      </c>
      <c r="E126" s="186" t="s">
        <v>19</v>
      </c>
      <c r="F126" s="189" t="s">
        <v>20</v>
      </c>
      <c r="G126" s="189"/>
      <c r="H126" s="182">
        <v>223431023</v>
      </c>
      <c r="I126" s="53">
        <v>20487.8</v>
      </c>
      <c r="J126" s="53">
        <v>22294.799999999999</v>
      </c>
      <c r="K126" s="53">
        <v>23875.200000000001</v>
      </c>
      <c r="L126" s="53">
        <v>25940</v>
      </c>
      <c r="M126" s="53">
        <v>27592.7</v>
      </c>
      <c r="N126" s="202"/>
      <c r="O126" s="195"/>
      <c r="P126" s="204"/>
    </row>
    <row r="127" spans="1:16" s="8" customFormat="1" ht="39.950000000000003" customHeight="1" x14ac:dyDescent="0.3">
      <c r="A127" s="354"/>
      <c r="B127" s="126" t="s">
        <v>348</v>
      </c>
      <c r="C127" s="175" t="s">
        <v>21</v>
      </c>
      <c r="D127" s="177" t="s">
        <v>396</v>
      </c>
      <c r="E127" s="186"/>
      <c r="F127" s="189"/>
      <c r="G127" s="189"/>
      <c r="H127" s="182"/>
      <c r="I127" s="53">
        <v>3923.4</v>
      </c>
      <c r="J127" s="53">
        <v>4233.8</v>
      </c>
      <c r="K127" s="53">
        <v>4504.8</v>
      </c>
      <c r="L127" s="53">
        <v>4819.5</v>
      </c>
      <c r="M127" s="53">
        <v>5046.7</v>
      </c>
      <c r="N127" s="202"/>
      <c r="O127" s="195"/>
      <c r="P127" s="204"/>
    </row>
    <row r="128" spans="1:16" s="8" customFormat="1" ht="39.950000000000003" customHeight="1" x14ac:dyDescent="0.3">
      <c r="A128" s="169">
        <v>77</v>
      </c>
      <c r="B128" s="126" t="s">
        <v>262</v>
      </c>
      <c r="C128" s="174" t="s">
        <v>41</v>
      </c>
      <c r="D128" s="192" t="s">
        <v>336</v>
      </c>
      <c r="E128" s="186" t="s">
        <v>16</v>
      </c>
      <c r="F128" s="189" t="s">
        <v>10</v>
      </c>
      <c r="G128" s="189" t="s">
        <v>253</v>
      </c>
      <c r="H128" s="182"/>
      <c r="I128" s="75">
        <v>37477</v>
      </c>
      <c r="J128" s="75">
        <v>38413</v>
      </c>
      <c r="K128" s="75">
        <v>39148</v>
      </c>
      <c r="L128" s="75">
        <v>39148</v>
      </c>
      <c r="M128" s="75">
        <v>39148</v>
      </c>
      <c r="N128" s="202" t="s">
        <v>427</v>
      </c>
      <c r="O128" s="195"/>
      <c r="P128" s="37"/>
    </row>
    <row r="129" spans="1:16" s="8" customFormat="1" ht="39.950000000000003" customHeight="1" x14ac:dyDescent="0.3">
      <c r="A129" s="353">
        <v>78</v>
      </c>
      <c r="B129" s="143" t="s">
        <v>224</v>
      </c>
      <c r="C129" s="32" t="s">
        <v>41</v>
      </c>
      <c r="D129" s="177">
        <v>29</v>
      </c>
      <c r="E129" s="186" t="s">
        <v>17</v>
      </c>
      <c r="F129" s="189" t="s">
        <v>10</v>
      </c>
      <c r="G129" s="189" t="s">
        <v>251</v>
      </c>
      <c r="H129" s="182"/>
      <c r="I129" s="75">
        <v>100028</v>
      </c>
      <c r="J129" s="75">
        <v>102738</v>
      </c>
      <c r="K129" s="75">
        <v>105045</v>
      </c>
      <c r="L129" s="75">
        <v>108212</v>
      </c>
      <c r="M129" s="75">
        <v>110688</v>
      </c>
      <c r="N129" s="202"/>
      <c r="O129" s="195"/>
      <c r="P129" s="204"/>
    </row>
    <row r="130" spans="1:16" s="8" customFormat="1" ht="39.950000000000003" customHeight="1" x14ac:dyDescent="0.3">
      <c r="A130" s="354"/>
      <c r="B130" s="126" t="s">
        <v>225</v>
      </c>
      <c r="C130" s="88" t="s">
        <v>120</v>
      </c>
      <c r="D130" s="177" t="s">
        <v>120</v>
      </c>
      <c r="E130" s="186" t="s">
        <v>46</v>
      </c>
      <c r="F130" s="189" t="s">
        <v>10</v>
      </c>
      <c r="G130" s="189" t="s">
        <v>251</v>
      </c>
      <c r="H130" s="182">
        <v>19242010070</v>
      </c>
      <c r="I130" s="75">
        <v>41905</v>
      </c>
      <c r="J130" s="75">
        <v>42872</v>
      </c>
      <c r="K130" s="75">
        <v>43621</v>
      </c>
      <c r="L130" s="75">
        <v>44564</v>
      </c>
      <c r="M130" s="75">
        <v>45367</v>
      </c>
      <c r="N130" s="202"/>
      <c r="O130" s="195"/>
      <c r="P130" s="204"/>
    </row>
    <row r="131" spans="1:16" s="8" customFormat="1" ht="39.950000000000003" customHeight="1" x14ac:dyDescent="0.3">
      <c r="A131" s="82">
        <v>79</v>
      </c>
      <c r="B131" s="143" t="s">
        <v>332</v>
      </c>
      <c r="C131" s="32" t="s">
        <v>41</v>
      </c>
      <c r="D131" s="190" t="s">
        <v>94</v>
      </c>
      <c r="E131" s="197" t="s">
        <v>23</v>
      </c>
      <c r="F131" s="199" t="s">
        <v>20</v>
      </c>
      <c r="G131" s="199"/>
      <c r="H131" s="26" t="s">
        <v>333</v>
      </c>
      <c r="I131" s="53">
        <v>7614.5</v>
      </c>
      <c r="J131" s="53">
        <v>8110.9</v>
      </c>
      <c r="K131" s="53">
        <v>8730.5</v>
      </c>
      <c r="L131" s="53">
        <v>0</v>
      </c>
      <c r="M131" s="53">
        <v>0</v>
      </c>
      <c r="N131" s="202" t="s">
        <v>430</v>
      </c>
      <c r="O131" s="195"/>
      <c r="P131" s="27"/>
    </row>
    <row r="132" spans="1:16" s="8" customFormat="1" ht="39.950000000000003" customHeight="1" x14ac:dyDescent="0.3">
      <c r="A132" s="82">
        <v>80</v>
      </c>
      <c r="B132" s="143" t="s">
        <v>155</v>
      </c>
      <c r="C132" s="178" t="s">
        <v>41</v>
      </c>
      <c r="D132" s="190">
        <v>38</v>
      </c>
      <c r="E132" s="184" t="s">
        <v>46</v>
      </c>
      <c r="F132" s="187" t="s">
        <v>20</v>
      </c>
      <c r="G132" s="187"/>
      <c r="H132" s="181" t="s">
        <v>100</v>
      </c>
      <c r="I132" s="53">
        <v>75487.199999999997</v>
      </c>
      <c r="J132" s="53">
        <v>76016.600000000006</v>
      </c>
      <c r="K132" s="53">
        <v>76493</v>
      </c>
      <c r="L132" s="53">
        <v>77044.7</v>
      </c>
      <c r="M132" s="53">
        <v>77529.8</v>
      </c>
      <c r="N132" s="202"/>
      <c r="O132" s="195"/>
      <c r="P132" s="27"/>
    </row>
    <row r="133" spans="1:16" s="8" customFormat="1" ht="39.950000000000003" customHeight="1" x14ac:dyDescent="0.3">
      <c r="A133" s="262">
        <v>81</v>
      </c>
      <c r="B133" s="143" t="s">
        <v>352</v>
      </c>
      <c r="C133" s="200" t="s">
        <v>41</v>
      </c>
      <c r="D133" s="190">
        <v>39</v>
      </c>
      <c r="E133" s="184" t="s">
        <v>46</v>
      </c>
      <c r="F133" s="187" t="s">
        <v>20</v>
      </c>
      <c r="G133" s="187"/>
      <c r="H133" s="181">
        <v>224026177</v>
      </c>
      <c r="I133" s="53">
        <v>1862.6</v>
      </c>
      <c r="J133" s="53">
        <v>2039.6</v>
      </c>
      <c r="K133" s="53">
        <v>2197.9</v>
      </c>
      <c r="L133" s="53">
        <v>2380.5</v>
      </c>
      <c r="M133" s="53">
        <v>2543</v>
      </c>
      <c r="N133" s="202"/>
      <c r="O133" s="195"/>
      <c r="P133" s="27"/>
    </row>
    <row r="134" spans="1:16" s="8" customFormat="1" ht="39.950000000000003" customHeight="1" x14ac:dyDescent="0.3">
      <c r="A134" s="262">
        <v>82</v>
      </c>
      <c r="B134" s="143" t="s">
        <v>243</v>
      </c>
      <c r="C134" s="175" t="s">
        <v>41</v>
      </c>
      <c r="D134" s="190"/>
      <c r="E134" s="184" t="s">
        <v>16</v>
      </c>
      <c r="F134" s="187" t="s">
        <v>10</v>
      </c>
      <c r="G134" s="187" t="s">
        <v>258</v>
      </c>
      <c r="H134" s="181"/>
      <c r="I134" s="53">
        <v>9167.9</v>
      </c>
      <c r="J134" s="53">
        <v>9346.9</v>
      </c>
      <c r="K134" s="53">
        <v>9492.5</v>
      </c>
      <c r="L134" s="53">
        <v>9715.7000000000007</v>
      </c>
      <c r="M134" s="53">
        <v>9879.7999999999993</v>
      </c>
      <c r="N134" s="202"/>
      <c r="O134" s="195"/>
      <c r="P134" s="27"/>
    </row>
    <row r="135" spans="1:16" s="78" customFormat="1" ht="39.950000000000003" customHeight="1" x14ac:dyDescent="0.3">
      <c r="A135" s="262">
        <v>83</v>
      </c>
      <c r="B135" s="143" t="s">
        <v>353</v>
      </c>
      <c r="C135" s="175" t="s">
        <v>41</v>
      </c>
      <c r="D135" s="198">
        <v>43</v>
      </c>
      <c r="E135" s="197" t="s">
        <v>71</v>
      </c>
      <c r="F135" s="199" t="s">
        <v>20</v>
      </c>
      <c r="G135" s="199"/>
      <c r="H135" s="26">
        <v>223144017</v>
      </c>
      <c r="I135" s="75">
        <v>21169.200000000001</v>
      </c>
      <c r="J135" s="75">
        <v>23277.5</v>
      </c>
      <c r="K135" s="75">
        <v>25163.3</v>
      </c>
      <c r="L135" s="53">
        <v>27310</v>
      </c>
      <c r="M135" s="53">
        <v>29276.3</v>
      </c>
      <c r="N135" s="202"/>
      <c r="O135" s="195"/>
      <c r="P135" s="27"/>
    </row>
    <row r="136" spans="1:16" s="8" customFormat="1" ht="39.950000000000003" customHeight="1" x14ac:dyDescent="0.3">
      <c r="A136" s="262">
        <v>84</v>
      </c>
      <c r="B136" s="143" t="s">
        <v>78</v>
      </c>
      <c r="C136" s="175" t="s">
        <v>41</v>
      </c>
      <c r="D136" s="24" t="s">
        <v>82</v>
      </c>
      <c r="E136" s="197" t="s">
        <v>17</v>
      </c>
      <c r="F136" s="199" t="s">
        <v>10</v>
      </c>
      <c r="G136" s="199" t="s">
        <v>254</v>
      </c>
      <c r="H136" s="199">
        <v>13152011172</v>
      </c>
      <c r="I136" s="31">
        <v>162688</v>
      </c>
      <c r="J136" s="31">
        <v>164329</v>
      </c>
      <c r="K136" s="31">
        <v>165795</v>
      </c>
      <c r="L136" s="31">
        <v>167481</v>
      </c>
      <c r="M136" s="31">
        <v>168996</v>
      </c>
      <c r="N136" s="33"/>
      <c r="O136" s="108"/>
      <c r="P136" s="34"/>
    </row>
    <row r="137" spans="1:16" s="8" customFormat="1" ht="39.950000000000003" customHeight="1" x14ac:dyDescent="0.3">
      <c r="A137" s="262">
        <v>85</v>
      </c>
      <c r="B137" s="143" t="s">
        <v>302</v>
      </c>
      <c r="C137" s="175" t="s">
        <v>41</v>
      </c>
      <c r="D137" s="177">
        <v>45</v>
      </c>
      <c r="E137" s="197" t="s">
        <v>17</v>
      </c>
      <c r="F137" s="199" t="s">
        <v>10</v>
      </c>
      <c r="G137" s="199" t="s">
        <v>251</v>
      </c>
      <c r="H137" s="26"/>
      <c r="I137" s="91">
        <v>80222</v>
      </c>
      <c r="J137" s="91">
        <v>83544</v>
      </c>
      <c r="K137" s="91">
        <v>86264</v>
      </c>
      <c r="L137" s="91">
        <v>89320</v>
      </c>
      <c r="M137" s="91">
        <v>92086</v>
      </c>
      <c r="N137" s="31"/>
      <c r="O137" s="108"/>
      <c r="P137" s="34"/>
    </row>
    <row r="138" spans="1:16" s="8" customFormat="1" ht="39.950000000000003" customHeight="1" x14ac:dyDescent="0.3">
      <c r="A138" s="262">
        <v>86</v>
      </c>
      <c r="B138" s="143" t="s">
        <v>270</v>
      </c>
      <c r="C138" s="175" t="s">
        <v>41</v>
      </c>
      <c r="D138" s="177">
        <v>46</v>
      </c>
      <c r="E138" s="197" t="s">
        <v>17</v>
      </c>
      <c r="F138" s="199" t="s">
        <v>10</v>
      </c>
      <c r="G138" s="199" t="s">
        <v>251</v>
      </c>
      <c r="H138" s="26"/>
      <c r="I138" s="91">
        <v>118839</v>
      </c>
      <c r="J138" s="91">
        <v>122578</v>
      </c>
      <c r="K138" s="91">
        <v>125811</v>
      </c>
      <c r="L138" s="91">
        <v>129370</v>
      </c>
      <c r="M138" s="91">
        <v>132488</v>
      </c>
      <c r="N138" s="31"/>
      <c r="O138" s="77"/>
      <c r="P138" s="34"/>
    </row>
    <row r="139" spans="1:16" s="78" customFormat="1" ht="39.950000000000003" customHeight="1" x14ac:dyDescent="0.3">
      <c r="A139" s="262">
        <v>87</v>
      </c>
      <c r="B139" s="143" t="s">
        <v>93</v>
      </c>
      <c r="C139" s="200" t="s">
        <v>41</v>
      </c>
      <c r="D139" s="24">
        <v>47</v>
      </c>
      <c r="E139" s="197" t="s">
        <v>23</v>
      </c>
      <c r="F139" s="199" t="s">
        <v>20</v>
      </c>
      <c r="G139" s="199"/>
      <c r="H139" s="26" t="s">
        <v>274</v>
      </c>
      <c r="I139" s="91">
        <v>45223</v>
      </c>
      <c r="J139" s="91">
        <v>46572</v>
      </c>
      <c r="K139" s="91">
        <v>47766</v>
      </c>
      <c r="L139" s="91">
        <v>49137</v>
      </c>
      <c r="M139" s="91">
        <v>50317</v>
      </c>
      <c r="N139" s="31"/>
      <c r="O139" s="77"/>
      <c r="P139" s="34"/>
    </row>
    <row r="140" spans="1:16" s="8" customFormat="1" ht="39.950000000000003" customHeight="1" x14ac:dyDescent="0.3">
      <c r="A140" s="262">
        <v>88</v>
      </c>
      <c r="B140" s="144" t="s">
        <v>104</v>
      </c>
      <c r="C140" s="200" t="s">
        <v>41</v>
      </c>
      <c r="D140" s="24">
        <v>48</v>
      </c>
      <c r="E140" s="197" t="s">
        <v>19</v>
      </c>
      <c r="F140" s="199" t="s">
        <v>20</v>
      </c>
      <c r="G140" s="199"/>
      <c r="H140" s="26" t="s">
        <v>102</v>
      </c>
      <c r="I140" s="54">
        <v>188087.6</v>
      </c>
      <c r="J140" s="54">
        <v>190341.7</v>
      </c>
      <c r="K140" s="54">
        <v>192372.3</v>
      </c>
      <c r="L140" s="54">
        <v>194714.2</v>
      </c>
      <c r="M140" s="54">
        <v>196936.4</v>
      </c>
      <c r="N140" s="33"/>
      <c r="O140" s="108"/>
      <c r="P140" s="34"/>
    </row>
    <row r="141" spans="1:16" s="8" customFormat="1" ht="39.950000000000003" customHeight="1" x14ac:dyDescent="0.3">
      <c r="A141" s="262">
        <v>89</v>
      </c>
      <c r="B141" s="144" t="s">
        <v>248</v>
      </c>
      <c r="C141" s="178" t="s">
        <v>41</v>
      </c>
      <c r="D141" s="183">
        <v>49</v>
      </c>
      <c r="E141" s="197" t="s">
        <v>23</v>
      </c>
      <c r="F141" s="187" t="s">
        <v>10</v>
      </c>
      <c r="G141" s="187" t="s">
        <v>251</v>
      </c>
      <c r="H141" s="181"/>
      <c r="I141" s="31">
        <v>34125</v>
      </c>
      <c r="J141" s="31">
        <v>35167</v>
      </c>
      <c r="K141" s="31">
        <v>36110</v>
      </c>
      <c r="L141" s="31">
        <v>37180</v>
      </c>
      <c r="M141" s="31">
        <v>38154</v>
      </c>
      <c r="N141" s="31"/>
      <c r="O141" s="193"/>
      <c r="P141" s="29"/>
    </row>
    <row r="142" spans="1:16" s="8" customFormat="1" ht="39.950000000000003" customHeight="1" x14ac:dyDescent="0.3">
      <c r="A142" s="376">
        <v>90</v>
      </c>
      <c r="B142" s="144" t="s">
        <v>344</v>
      </c>
      <c r="C142" s="178" t="s">
        <v>41</v>
      </c>
      <c r="D142" s="183" t="s">
        <v>395</v>
      </c>
      <c r="E142" s="197" t="s">
        <v>14</v>
      </c>
      <c r="F142" s="199" t="s">
        <v>10</v>
      </c>
      <c r="G142" s="187" t="s">
        <v>256</v>
      </c>
      <c r="H142" s="181"/>
      <c r="I142" s="76">
        <v>643764</v>
      </c>
      <c r="J142" s="76">
        <v>664571</v>
      </c>
      <c r="K142" s="76">
        <v>683156</v>
      </c>
      <c r="L142" s="76">
        <v>704097</v>
      </c>
      <c r="M142" s="76">
        <v>722867</v>
      </c>
      <c r="N142" s="31"/>
      <c r="O142" s="193"/>
      <c r="P142" s="29"/>
    </row>
    <row r="143" spans="1:16" s="8" customFormat="1" ht="39.950000000000003" customHeight="1" x14ac:dyDescent="0.3">
      <c r="A143" s="376"/>
      <c r="B143" s="144" t="s">
        <v>345</v>
      </c>
      <c r="C143" s="178" t="s">
        <v>42</v>
      </c>
      <c r="D143" s="183" t="s">
        <v>394</v>
      </c>
      <c r="E143" s="184" t="s">
        <v>16</v>
      </c>
      <c r="F143" s="199" t="s">
        <v>10</v>
      </c>
      <c r="G143" s="187" t="s">
        <v>258</v>
      </c>
      <c r="H143" s="181"/>
      <c r="I143" s="54">
        <v>20759.8</v>
      </c>
      <c r="J143" s="54">
        <v>20786.099999999999</v>
      </c>
      <c r="K143" s="54">
        <v>20809.3</v>
      </c>
      <c r="L143" s="54">
        <v>20835.8</v>
      </c>
      <c r="M143" s="54">
        <v>20857.900000000001</v>
      </c>
      <c r="N143" s="31"/>
      <c r="O143" s="193"/>
      <c r="P143" s="29"/>
    </row>
    <row r="144" spans="1:16" s="8" customFormat="1" ht="39.950000000000003" customHeight="1" x14ac:dyDescent="0.3">
      <c r="A144" s="170">
        <v>91</v>
      </c>
      <c r="B144" s="144" t="s">
        <v>264</v>
      </c>
      <c r="C144" s="178" t="s">
        <v>41</v>
      </c>
      <c r="D144" s="190" t="s">
        <v>265</v>
      </c>
      <c r="E144" s="184"/>
      <c r="F144" s="187" t="s">
        <v>20</v>
      </c>
      <c r="G144" s="187"/>
      <c r="H144" s="181" t="s">
        <v>327</v>
      </c>
      <c r="I144" s="54">
        <v>147783.6</v>
      </c>
      <c r="J144" s="54">
        <v>153452.29999999999</v>
      </c>
      <c r="K144" s="54">
        <v>158581.1</v>
      </c>
      <c r="L144" s="54">
        <v>165536.4</v>
      </c>
      <c r="M144" s="54">
        <v>171153.1</v>
      </c>
      <c r="N144" s="31"/>
      <c r="O144" s="193"/>
      <c r="P144" s="29"/>
    </row>
    <row r="145" spans="1:16" s="8" customFormat="1" ht="39.950000000000003" customHeight="1" x14ac:dyDescent="0.3">
      <c r="A145" s="169">
        <v>92</v>
      </c>
      <c r="B145" s="144" t="s">
        <v>95</v>
      </c>
      <c r="C145" s="178" t="s">
        <v>41</v>
      </c>
      <c r="D145" s="183" t="s">
        <v>96</v>
      </c>
      <c r="E145" s="184" t="s">
        <v>71</v>
      </c>
      <c r="F145" s="187" t="s">
        <v>20</v>
      </c>
      <c r="G145" s="187"/>
      <c r="H145" s="181" t="s">
        <v>221</v>
      </c>
      <c r="I145" s="54">
        <v>173092.6</v>
      </c>
      <c r="J145" s="54">
        <v>177611.8</v>
      </c>
      <c r="K145" s="54">
        <v>181723.1</v>
      </c>
      <c r="L145" s="54">
        <v>186377.7</v>
      </c>
      <c r="M145" s="54">
        <v>190418.6</v>
      </c>
      <c r="N145" s="31"/>
      <c r="O145" s="193"/>
      <c r="P145" s="179"/>
    </row>
    <row r="146" spans="1:16" s="8" customFormat="1" ht="39.950000000000003" customHeight="1" x14ac:dyDescent="0.3">
      <c r="A146" s="261">
        <v>93</v>
      </c>
      <c r="B146" s="143" t="s">
        <v>37</v>
      </c>
      <c r="C146" s="200" t="s">
        <v>41</v>
      </c>
      <c r="D146" s="24">
        <v>42</v>
      </c>
      <c r="E146" s="197" t="s">
        <v>23</v>
      </c>
      <c r="F146" s="199" t="s">
        <v>10</v>
      </c>
      <c r="G146" s="199" t="s">
        <v>251</v>
      </c>
      <c r="H146" s="199">
        <v>13152011234</v>
      </c>
      <c r="I146" s="76">
        <v>42761</v>
      </c>
      <c r="J146" s="76">
        <v>43535</v>
      </c>
      <c r="K146" s="76">
        <v>44223</v>
      </c>
      <c r="L146" s="76">
        <v>45059</v>
      </c>
      <c r="M146" s="76">
        <v>45803</v>
      </c>
      <c r="N146" s="31"/>
      <c r="O146" s="77"/>
      <c r="P146" s="35"/>
    </row>
    <row r="147" spans="1:16" s="8" customFormat="1" ht="39.950000000000003" customHeight="1" x14ac:dyDescent="0.3">
      <c r="A147" s="259">
        <v>94</v>
      </c>
      <c r="B147" s="143" t="s">
        <v>279</v>
      </c>
      <c r="C147" s="178" t="s">
        <v>41</v>
      </c>
      <c r="D147" s="282">
        <v>11</v>
      </c>
      <c r="E147" s="184" t="s">
        <v>71</v>
      </c>
      <c r="F147" s="187" t="s">
        <v>10</v>
      </c>
      <c r="G147" s="199" t="s">
        <v>251</v>
      </c>
      <c r="H147" s="187">
        <v>17012010229</v>
      </c>
      <c r="I147" s="74">
        <v>53563</v>
      </c>
      <c r="J147" s="74">
        <v>55321</v>
      </c>
      <c r="K147" s="74">
        <v>56849</v>
      </c>
      <c r="L147" s="74">
        <v>58598</v>
      </c>
      <c r="M147" s="74">
        <v>60280</v>
      </c>
      <c r="N147" s="77"/>
      <c r="O147" s="113"/>
      <c r="P147" s="114"/>
    </row>
    <row r="148" spans="1:16" s="8" customFormat="1" ht="39.950000000000003" customHeight="1" x14ac:dyDescent="0.3">
      <c r="A148" s="261">
        <v>95</v>
      </c>
      <c r="B148" s="143" t="s">
        <v>241</v>
      </c>
      <c r="C148" s="178" t="s">
        <v>41</v>
      </c>
      <c r="D148" s="183" t="s">
        <v>30</v>
      </c>
      <c r="E148" s="197" t="s">
        <v>19</v>
      </c>
      <c r="F148" s="187" t="s">
        <v>10</v>
      </c>
      <c r="G148" s="187" t="s">
        <v>255</v>
      </c>
      <c r="H148" s="187"/>
      <c r="I148" s="74">
        <v>469335</v>
      </c>
      <c r="J148" s="74">
        <v>482104</v>
      </c>
      <c r="K148" s="74">
        <v>493558</v>
      </c>
      <c r="L148" s="74">
        <v>506972</v>
      </c>
      <c r="M148" s="74">
        <v>518599</v>
      </c>
      <c r="N148" s="77"/>
      <c r="O148" s="77"/>
      <c r="P148" s="35"/>
    </row>
    <row r="149" spans="1:16" s="8" customFormat="1" ht="39.950000000000003" customHeight="1" x14ac:dyDescent="0.3">
      <c r="A149" s="259">
        <v>96</v>
      </c>
      <c r="B149" s="143" t="s">
        <v>280</v>
      </c>
      <c r="C149" s="375" t="s">
        <v>41</v>
      </c>
      <c r="D149" s="400" t="s">
        <v>393</v>
      </c>
      <c r="E149" s="184" t="s">
        <v>71</v>
      </c>
      <c r="F149" s="187" t="s">
        <v>10</v>
      </c>
      <c r="G149" s="199" t="s">
        <v>251</v>
      </c>
      <c r="H149" s="187">
        <v>19242010196</v>
      </c>
      <c r="I149" s="74">
        <v>30631</v>
      </c>
      <c r="J149" s="74">
        <v>31839</v>
      </c>
      <c r="K149" s="74">
        <v>32936</v>
      </c>
      <c r="L149" s="74">
        <v>34168</v>
      </c>
      <c r="M149" s="74">
        <v>35310</v>
      </c>
      <c r="N149" s="77"/>
      <c r="O149" s="77"/>
      <c r="P149" s="35"/>
    </row>
    <row r="150" spans="1:16" s="8" customFormat="1" ht="39.950000000000003" customHeight="1" x14ac:dyDescent="0.3">
      <c r="A150" s="261">
        <v>97</v>
      </c>
      <c r="B150" s="143" t="s">
        <v>281</v>
      </c>
      <c r="C150" s="370"/>
      <c r="D150" s="373"/>
      <c r="E150" s="184" t="s">
        <v>71</v>
      </c>
      <c r="F150" s="187" t="s">
        <v>10</v>
      </c>
      <c r="G150" s="199" t="s">
        <v>251</v>
      </c>
      <c r="H150" s="187">
        <v>17272011505</v>
      </c>
      <c r="I150" s="74">
        <v>50968</v>
      </c>
      <c r="J150" s="74">
        <v>52768</v>
      </c>
      <c r="K150" s="74">
        <v>54347</v>
      </c>
      <c r="L150" s="74">
        <v>56166</v>
      </c>
      <c r="M150" s="74">
        <v>57805</v>
      </c>
      <c r="N150" s="77"/>
      <c r="O150" s="77"/>
      <c r="P150" s="35"/>
    </row>
    <row r="151" spans="1:16" s="8" customFormat="1" ht="39.950000000000003" customHeight="1" x14ac:dyDescent="0.3">
      <c r="A151" s="259">
        <v>98</v>
      </c>
      <c r="B151" s="143" t="s">
        <v>282</v>
      </c>
      <c r="C151" s="371"/>
      <c r="D151" s="374"/>
      <c r="E151" s="184" t="s">
        <v>23</v>
      </c>
      <c r="F151" s="187" t="s">
        <v>10</v>
      </c>
      <c r="G151" s="199" t="s">
        <v>251</v>
      </c>
      <c r="H151" s="187">
        <v>17302011319</v>
      </c>
      <c r="I151" s="152">
        <v>76178</v>
      </c>
      <c r="J151" s="152">
        <v>79185</v>
      </c>
      <c r="K151" s="152">
        <v>81954</v>
      </c>
      <c r="L151" s="152">
        <v>85091</v>
      </c>
      <c r="M151" s="152">
        <v>87894</v>
      </c>
      <c r="N151" s="77"/>
      <c r="O151" s="77"/>
      <c r="P151" s="35"/>
    </row>
    <row r="152" spans="1:16" s="8" customFormat="1" ht="39.950000000000003" customHeight="1" x14ac:dyDescent="0.3">
      <c r="A152" s="261">
        <v>99</v>
      </c>
      <c r="B152" s="126" t="s">
        <v>176</v>
      </c>
      <c r="C152" s="178" t="s">
        <v>42</v>
      </c>
      <c r="D152" s="183" t="s">
        <v>392</v>
      </c>
      <c r="E152" s="184" t="s">
        <v>17</v>
      </c>
      <c r="F152" s="187" t="s">
        <v>10</v>
      </c>
      <c r="G152" s="199" t="s">
        <v>251</v>
      </c>
      <c r="H152" s="187"/>
      <c r="I152" s="152">
        <v>32721</v>
      </c>
      <c r="J152" s="152">
        <v>36213</v>
      </c>
      <c r="K152" s="152">
        <v>39574</v>
      </c>
      <c r="L152" s="152">
        <v>43287</v>
      </c>
      <c r="M152" s="152">
        <v>46686</v>
      </c>
      <c r="N152" s="77"/>
      <c r="O152" s="193"/>
      <c r="P152" s="133"/>
    </row>
    <row r="153" spans="1:16" s="8" customFormat="1" ht="39.950000000000003" customHeight="1" x14ac:dyDescent="0.3">
      <c r="A153" s="259">
        <v>100</v>
      </c>
      <c r="B153" s="126" t="s">
        <v>359</v>
      </c>
      <c r="C153" s="178" t="s">
        <v>42</v>
      </c>
      <c r="D153" s="183">
        <v>61</v>
      </c>
      <c r="E153" s="184" t="s">
        <v>23</v>
      </c>
      <c r="F153" s="187" t="s">
        <v>20</v>
      </c>
      <c r="G153" s="199" t="s">
        <v>360</v>
      </c>
      <c r="H153" s="187"/>
      <c r="I153" s="152">
        <v>11043.5</v>
      </c>
      <c r="J153" s="134">
        <v>12909</v>
      </c>
      <c r="K153" s="134">
        <v>14594.2</v>
      </c>
      <c r="L153" s="134">
        <v>16516</v>
      </c>
      <c r="M153" s="134">
        <v>18224.8</v>
      </c>
      <c r="N153" s="77"/>
      <c r="O153" s="193"/>
      <c r="P153" s="133"/>
    </row>
    <row r="154" spans="1:16" s="8" customFormat="1" ht="39.950000000000003" customHeight="1" x14ac:dyDescent="0.3">
      <c r="A154" s="261">
        <v>101</v>
      </c>
      <c r="B154" s="126" t="s">
        <v>307</v>
      </c>
      <c r="C154" s="178" t="s">
        <v>42</v>
      </c>
      <c r="D154" s="183" t="s">
        <v>391</v>
      </c>
      <c r="E154" s="184" t="s">
        <v>17</v>
      </c>
      <c r="F154" s="187" t="s">
        <v>10</v>
      </c>
      <c r="G154" s="199" t="s">
        <v>251</v>
      </c>
      <c r="H154" s="187"/>
      <c r="I154" s="137">
        <v>59044</v>
      </c>
      <c r="J154" s="137">
        <v>61601</v>
      </c>
      <c r="K154" s="137">
        <v>63923</v>
      </c>
      <c r="L154" s="137">
        <v>66568</v>
      </c>
      <c r="M154" s="137">
        <v>68896</v>
      </c>
      <c r="N154" s="77"/>
      <c r="O154" s="193"/>
      <c r="P154" s="133"/>
    </row>
    <row r="155" spans="1:16" s="8" customFormat="1" ht="39.950000000000003" customHeight="1" x14ac:dyDescent="0.3">
      <c r="A155" s="259">
        <v>102</v>
      </c>
      <c r="B155" s="126" t="s">
        <v>303</v>
      </c>
      <c r="C155" s="178" t="s">
        <v>42</v>
      </c>
      <c r="D155" s="183" t="s">
        <v>390</v>
      </c>
      <c r="E155" s="184" t="s">
        <v>17</v>
      </c>
      <c r="F155" s="187" t="s">
        <v>10</v>
      </c>
      <c r="G155" s="199" t="s">
        <v>251</v>
      </c>
      <c r="H155" s="181" t="s">
        <v>308</v>
      </c>
      <c r="I155" s="137">
        <v>11784</v>
      </c>
      <c r="J155" s="137">
        <v>12304</v>
      </c>
      <c r="K155" s="137">
        <v>12811</v>
      </c>
      <c r="L155" s="137">
        <v>13383</v>
      </c>
      <c r="M155" s="137">
        <v>13896</v>
      </c>
      <c r="N155" s="77"/>
      <c r="O155" s="31"/>
      <c r="P155" s="133"/>
    </row>
    <row r="156" spans="1:16" s="8" customFormat="1" ht="39.950000000000003" customHeight="1" x14ac:dyDescent="0.3">
      <c r="A156" s="261">
        <v>103</v>
      </c>
      <c r="B156" s="126" t="s">
        <v>340</v>
      </c>
      <c r="C156" s="178" t="s">
        <v>42</v>
      </c>
      <c r="D156" s="183" t="s">
        <v>389</v>
      </c>
      <c r="E156" s="184" t="s">
        <v>71</v>
      </c>
      <c r="F156" s="187" t="s">
        <v>20</v>
      </c>
      <c r="G156" s="199"/>
      <c r="H156" s="181">
        <v>217383044</v>
      </c>
      <c r="I156" s="165">
        <v>27954.6</v>
      </c>
      <c r="J156" s="165">
        <v>29770.1</v>
      </c>
      <c r="K156" s="165">
        <v>31438.1</v>
      </c>
      <c r="L156" s="165">
        <v>33349.1</v>
      </c>
      <c r="M156" s="165">
        <v>34998.5</v>
      </c>
      <c r="N156" s="77"/>
      <c r="O156" s="195"/>
      <c r="P156" s="133"/>
    </row>
    <row r="157" spans="1:16" s="8" customFormat="1" ht="39.950000000000003" customHeight="1" x14ac:dyDescent="0.3">
      <c r="A157" s="353">
        <v>104</v>
      </c>
      <c r="B157" s="159" t="s">
        <v>321</v>
      </c>
      <c r="C157" s="412" t="s">
        <v>42</v>
      </c>
      <c r="D157" s="351" t="s">
        <v>139</v>
      </c>
      <c r="E157" s="184"/>
      <c r="F157" s="187" t="s">
        <v>10</v>
      </c>
      <c r="G157" s="199" t="s">
        <v>251</v>
      </c>
      <c r="H157" s="181"/>
      <c r="I157" s="137">
        <v>201534</v>
      </c>
      <c r="J157" s="137">
        <v>204186</v>
      </c>
      <c r="K157" s="137">
        <v>206461</v>
      </c>
      <c r="L157" s="137">
        <v>209093</v>
      </c>
      <c r="M157" s="137">
        <v>211089</v>
      </c>
      <c r="N157" s="77"/>
      <c r="O157" s="195"/>
      <c r="P157" s="133"/>
    </row>
    <row r="158" spans="1:16" s="8" customFormat="1" ht="39.950000000000003" customHeight="1" x14ac:dyDescent="0.3">
      <c r="A158" s="355"/>
      <c r="B158" s="307" t="s">
        <v>196</v>
      </c>
      <c r="C158" s="413"/>
      <c r="D158" s="397"/>
      <c r="E158" s="381" t="s">
        <v>34</v>
      </c>
      <c r="F158" s="400" t="s">
        <v>10</v>
      </c>
      <c r="G158" s="183" t="s">
        <v>256</v>
      </c>
      <c r="H158" s="383">
        <v>18092010461</v>
      </c>
      <c r="I158" s="76">
        <v>284369</v>
      </c>
      <c r="J158" s="76">
        <v>286861</v>
      </c>
      <c r="K158" s="76">
        <v>289322</v>
      </c>
      <c r="L158" s="76">
        <v>292359</v>
      </c>
      <c r="M158" s="76">
        <v>295263</v>
      </c>
      <c r="N158" s="33"/>
      <c r="O158" s="109"/>
      <c r="P158" s="204"/>
    </row>
    <row r="159" spans="1:16" s="8" customFormat="1" ht="39.950000000000003" customHeight="1" x14ac:dyDescent="0.3">
      <c r="A159" s="355"/>
      <c r="B159" s="126" t="s">
        <v>197</v>
      </c>
      <c r="C159" s="413"/>
      <c r="D159" s="397"/>
      <c r="E159" s="382"/>
      <c r="F159" s="373"/>
      <c r="G159" s="24" t="s">
        <v>256</v>
      </c>
      <c r="H159" s="379"/>
      <c r="I159" s="96">
        <v>207383</v>
      </c>
      <c r="J159" s="96">
        <v>209875</v>
      </c>
      <c r="K159" s="96">
        <v>212336</v>
      </c>
      <c r="L159" s="96">
        <v>215373</v>
      </c>
      <c r="M159" s="96">
        <v>218278</v>
      </c>
      <c r="N159" s="33"/>
      <c r="O159" s="109"/>
      <c r="P159" s="204"/>
    </row>
    <row r="160" spans="1:16" s="8" customFormat="1" ht="39.950000000000003" customHeight="1" x14ac:dyDescent="0.3">
      <c r="A160" s="355"/>
      <c r="B160" s="126" t="s">
        <v>198</v>
      </c>
      <c r="C160" s="413"/>
      <c r="D160" s="397"/>
      <c r="E160" s="384"/>
      <c r="F160" s="374"/>
      <c r="G160" s="176" t="s">
        <v>256</v>
      </c>
      <c r="H160" s="380"/>
      <c r="I160" s="96">
        <v>76985</v>
      </c>
      <c r="J160" s="96">
        <v>76985</v>
      </c>
      <c r="K160" s="96">
        <v>76985</v>
      </c>
      <c r="L160" s="96">
        <v>76985</v>
      </c>
      <c r="M160" s="96">
        <v>76985</v>
      </c>
      <c r="N160" s="33"/>
      <c r="O160" s="109"/>
      <c r="P160" s="204"/>
    </row>
    <row r="161" spans="1:16" s="8" customFormat="1" ht="39.950000000000003" customHeight="1" x14ac:dyDescent="0.3">
      <c r="A161" s="355"/>
      <c r="B161" s="308" t="s">
        <v>199</v>
      </c>
      <c r="C161" s="413"/>
      <c r="D161" s="397"/>
      <c r="E161" s="381" t="s">
        <v>14</v>
      </c>
      <c r="F161" s="400" t="s">
        <v>10</v>
      </c>
      <c r="G161" s="183" t="s">
        <v>256</v>
      </c>
      <c r="H161" s="383">
        <v>18052011252</v>
      </c>
      <c r="I161" s="96">
        <v>430042</v>
      </c>
      <c r="J161" s="96">
        <v>436141</v>
      </c>
      <c r="K161" s="96">
        <v>441462</v>
      </c>
      <c r="L161" s="96">
        <v>447674</v>
      </c>
      <c r="M161" s="96">
        <v>452515</v>
      </c>
      <c r="N161" s="33"/>
      <c r="O161" s="109"/>
      <c r="P161" s="204"/>
    </row>
    <row r="162" spans="1:16" s="8" customFormat="1" ht="39.950000000000003" customHeight="1" x14ac:dyDescent="0.3">
      <c r="A162" s="355"/>
      <c r="B162" s="126" t="s">
        <v>200</v>
      </c>
      <c r="C162" s="413"/>
      <c r="D162" s="397"/>
      <c r="E162" s="382"/>
      <c r="F162" s="373"/>
      <c r="G162" s="183" t="s">
        <v>256</v>
      </c>
      <c r="H162" s="379"/>
      <c r="I162" s="76">
        <v>354458</v>
      </c>
      <c r="J162" s="76">
        <v>360557</v>
      </c>
      <c r="K162" s="76">
        <v>365877</v>
      </c>
      <c r="L162" s="76">
        <v>372089</v>
      </c>
      <c r="M162" s="76">
        <v>376931</v>
      </c>
      <c r="N162" s="33"/>
      <c r="O162" s="109"/>
      <c r="P162" s="204"/>
    </row>
    <row r="163" spans="1:16" s="8" customFormat="1" ht="39.950000000000003" customHeight="1" x14ac:dyDescent="0.3">
      <c r="A163" s="355"/>
      <c r="B163" s="126" t="s">
        <v>204</v>
      </c>
      <c r="C163" s="413"/>
      <c r="D163" s="352"/>
      <c r="E163" s="384"/>
      <c r="F163" s="374"/>
      <c r="G163" s="24" t="s">
        <v>256</v>
      </c>
      <c r="H163" s="380"/>
      <c r="I163" s="76">
        <v>75584</v>
      </c>
      <c r="J163" s="76">
        <v>75584</v>
      </c>
      <c r="K163" s="76">
        <v>75584</v>
      </c>
      <c r="L163" s="76">
        <v>75584</v>
      </c>
      <c r="M163" s="76">
        <v>75584</v>
      </c>
      <c r="N163" s="33"/>
      <c r="O163" s="109"/>
      <c r="P163" s="204"/>
    </row>
    <row r="164" spans="1:16" s="8" customFormat="1" ht="39.950000000000003" customHeight="1" x14ac:dyDescent="0.3">
      <c r="A164" s="355"/>
      <c r="B164" s="309" t="s">
        <v>403</v>
      </c>
      <c r="C164" s="413"/>
      <c r="D164" s="351" t="s">
        <v>139</v>
      </c>
      <c r="E164" s="197" t="s">
        <v>9</v>
      </c>
      <c r="F164" s="24" t="s">
        <v>10</v>
      </c>
      <c r="G164" s="177" t="s">
        <v>251</v>
      </c>
      <c r="H164" s="189"/>
      <c r="I164" s="75">
        <v>28078</v>
      </c>
      <c r="J164" s="75">
        <v>28330</v>
      </c>
      <c r="K164" s="75">
        <v>28559</v>
      </c>
      <c r="L164" s="75">
        <v>28852</v>
      </c>
      <c r="M164" s="75">
        <v>29101</v>
      </c>
      <c r="N164" s="202"/>
      <c r="O164" s="195"/>
      <c r="P164" s="11"/>
    </row>
    <row r="165" spans="1:16" s="8" customFormat="1" ht="39.950000000000003" customHeight="1" x14ac:dyDescent="0.3">
      <c r="A165" s="355"/>
      <c r="B165" s="309" t="s">
        <v>404</v>
      </c>
      <c r="C165" s="413"/>
      <c r="D165" s="397"/>
      <c r="E165" s="197" t="s">
        <v>9</v>
      </c>
      <c r="F165" s="24" t="s">
        <v>10</v>
      </c>
      <c r="G165" s="177" t="s">
        <v>251</v>
      </c>
      <c r="H165" s="189"/>
      <c r="I165" s="75">
        <v>24545</v>
      </c>
      <c r="J165" s="75">
        <v>24612</v>
      </c>
      <c r="K165" s="75">
        <v>24673</v>
      </c>
      <c r="L165" s="75">
        <v>24725</v>
      </c>
      <c r="M165" s="75">
        <v>24859</v>
      </c>
      <c r="N165" s="202"/>
      <c r="O165" s="195"/>
      <c r="P165" s="11"/>
    </row>
    <row r="166" spans="1:16" s="8" customFormat="1" ht="39.950000000000003" customHeight="1" x14ac:dyDescent="0.3">
      <c r="A166" s="355"/>
      <c r="B166" s="309" t="s">
        <v>405</v>
      </c>
      <c r="C166" s="413"/>
      <c r="D166" s="397"/>
      <c r="E166" s="197" t="s">
        <v>9</v>
      </c>
      <c r="F166" s="24" t="s">
        <v>10</v>
      </c>
      <c r="G166" s="177" t="s">
        <v>251</v>
      </c>
      <c r="H166" s="189"/>
      <c r="I166" s="75">
        <v>16389</v>
      </c>
      <c r="J166" s="75">
        <v>16753</v>
      </c>
      <c r="K166" s="75">
        <v>17062</v>
      </c>
      <c r="L166" s="75">
        <v>17415</v>
      </c>
      <c r="M166" s="75">
        <v>17747</v>
      </c>
      <c r="N166" s="202"/>
      <c r="O166" s="195"/>
      <c r="P166" s="11"/>
    </row>
    <row r="167" spans="1:16" s="8" customFormat="1" ht="39.950000000000003" customHeight="1" x14ac:dyDescent="0.3">
      <c r="A167" s="355"/>
      <c r="B167" s="309" t="s">
        <v>406</v>
      </c>
      <c r="C167" s="413"/>
      <c r="D167" s="397"/>
      <c r="E167" s="197" t="s">
        <v>9</v>
      </c>
      <c r="F167" s="24" t="s">
        <v>10</v>
      </c>
      <c r="G167" s="177" t="s">
        <v>251</v>
      </c>
      <c r="H167" s="189"/>
      <c r="I167" s="75">
        <v>19302</v>
      </c>
      <c r="J167" s="75">
        <v>19416</v>
      </c>
      <c r="K167" s="75">
        <v>19599</v>
      </c>
      <c r="L167" s="75">
        <v>19882</v>
      </c>
      <c r="M167" s="75">
        <v>20131</v>
      </c>
      <c r="N167" s="202"/>
      <c r="O167" s="195"/>
      <c r="P167" s="11"/>
    </row>
    <row r="168" spans="1:16" s="8" customFormat="1" ht="39.950000000000003" customHeight="1" x14ac:dyDescent="0.3">
      <c r="A168" s="355"/>
      <c r="B168" s="309" t="s">
        <v>407</v>
      </c>
      <c r="C168" s="413"/>
      <c r="D168" s="397"/>
      <c r="E168" s="197" t="s">
        <v>9</v>
      </c>
      <c r="F168" s="24" t="s">
        <v>10</v>
      </c>
      <c r="G168" s="177" t="s">
        <v>251</v>
      </c>
      <c r="H168" s="189"/>
      <c r="I168" s="75">
        <v>28998</v>
      </c>
      <c r="J168" s="75">
        <v>29454</v>
      </c>
      <c r="K168" s="75">
        <v>29876</v>
      </c>
      <c r="L168" s="75">
        <v>30378</v>
      </c>
      <c r="M168" s="75">
        <v>30839</v>
      </c>
      <c r="N168" s="202"/>
      <c r="O168" s="195"/>
      <c r="P168" s="11"/>
    </row>
    <row r="169" spans="1:16" s="8" customFormat="1" ht="39.950000000000003" customHeight="1" x14ac:dyDescent="0.3">
      <c r="A169" s="355"/>
      <c r="B169" s="309" t="s">
        <v>408</v>
      </c>
      <c r="C169" s="413"/>
      <c r="D169" s="397"/>
      <c r="E169" s="197" t="s">
        <v>9</v>
      </c>
      <c r="F169" s="24" t="s">
        <v>10</v>
      </c>
      <c r="G169" s="177" t="s">
        <v>251</v>
      </c>
      <c r="H169" s="189"/>
      <c r="I169" s="75">
        <v>35543</v>
      </c>
      <c r="J169" s="75">
        <v>36015</v>
      </c>
      <c r="K169" s="75">
        <v>36414</v>
      </c>
      <c r="L169" s="75">
        <v>36868</v>
      </c>
      <c r="M169" s="75">
        <v>37274</v>
      </c>
      <c r="N169" s="202"/>
      <c r="O169" s="195"/>
      <c r="P169" s="11"/>
    </row>
    <row r="170" spans="1:16" s="8" customFormat="1" ht="39.950000000000003" customHeight="1" x14ac:dyDescent="0.3">
      <c r="A170" s="355"/>
      <c r="B170" s="309" t="s">
        <v>409</v>
      </c>
      <c r="C170" s="413"/>
      <c r="D170" s="397"/>
      <c r="E170" s="197" t="s">
        <v>9</v>
      </c>
      <c r="F170" s="24" t="s">
        <v>10</v>
      </c>
      <c r="G170" s="177" t="s">
        <v>251</v>
      </c>
      <c r="H170" s="189"/>
      <c r="I170" s="75">
        <v>77533</v>
      </c>
      <c r="J170" s="75">
        <v>78222</v>
      </c>
      <c r="K170" s="75">
        <v>78820</v>
      </c>
      <c r="L170" s="75">
        <v>79569</v>
      </c>
      <c r="M170" s="75">
        <v>80217</v>
      </c>
      <c r="N170" s="202"/>
      <c r="O170" s="195"/>
      <c r="P170" s="11"/>
    </row>
    <row r="171" spans="1:16" s="8" customFormat="1" ht="39.950000000000003" customHeight="1" x14ac:dyDescent="0.3">
      <c r="A171" s="355"/>
      <c r="B171" s="309" t="s">
        <v>410</v>
      </c>
      <c r="C171" s="413"/>
      <c r="D171" s="397"/>
      <c r="E171" s="197" t="s">
        <v>9</v>
      </c>
      <c r="F171" s="24" t="s">
        <v>10</v>
      </c>
      <c r="G171" s="177" t="s">
        <v>251</v>
      </c>
      <c r="H171" s="189"/>
      <c r="I171" s="75">
        <v>45931</v>
      </c>
      <c r="J171" s="75">
        <v>46257</v>
      </c>
      <c r="K171" s="75">
        <v>46547</v>
      </c>
      <c r="L171" s="75">
        <v>46902</v>
      </c>
      <c r="M171" s="75">
        <v>47217</v>
      </c>
      <c r="N171" s="202"/>
      <c r="O171" s="195"/>
      <c r="P171" s="11"/>
    </row>
    <row r="172" spans="1:16" s="8" customFormat="1" ht="39.950000000000003" customHeight="1" x14ac:dyDescent="0.3">
      <c r="A172" s="355"/>
      <c r="B172" s="309" t="s">
        <v>411</v>
      </c>
      <c r="C172" s="413"/>
      <c r="D172" s="397"/>
      <c r="E172" s="197" t="s">
        <v>9</v>
      </c>
      <c r="F172" s="24" t="s">
        <v>10</v>
      </c>
      <c r="G172" s="177" t="s">
        <v>251</v>
      </c>
      <c r="H172" s="189"/>
      <c r="I172" s="75">
        <v>21051</v>
      </c>
      <c r="J172" s="75">
        <v>21332</v>
      </c>
      <c r="K172" s="75">
        <v>21571</v>
      </c>
      <c r="L172" s="75">
        <v>21899</v>
      </c>
      <c r="M172" s="75">
        <v>22177</v>
      </c>
      <c r="N172" s="202"/>
      <c r="O172" s="195"/>
      <c r="P172" s="11"/>
    </row>
    <row r="173" spans="1:16" s="8" customFormat="1" ht="39.950000000000003" customHeight="1" x14ac:dyDescent="0.3">
      <c r="A173" s="355"/>
      <c r="B173" s="309" t="s">
        <v>412</v>
      </c>
      <c r="C173" s="413"/>
      <c r="D173" s="397"/>
      <c r="E173" s="197" t="s">
        <v>9</v>
      </c>
      <c r="F173" s="24" t="s">
        <v>10</v>
      </c>
      <c r="G173" s="177" t="s">
        <v>251</v>
      </c>
      <c r="H173" s="189"/>
      <c r="I173" s="75">
        <v>27629</v>
      </c>
      <c r="J173" s="75">
        <v>28046</v>
      </c>
      <c r="K173" s="75">
        <v>28389</v>
      </c>
      <c r="L173" s="75">
        <v>28766</v>
      </c>
      <c r="M173" s="75">
        <v>29150</v>
      </c>
      <c r="N173" s="202"/>
      <c r="O173" s="195"/>
      <c r="P173" s="11"/>
    </row>
    <row r="174" spans="1:16" s="8" customFormat="1" ht="39.950000000000003" customHeight="1" x14ac:dyDescent="0.3">
      <c r="A174" s="355"/>
      <c r="B174" s="309" t="s">
        <v>413</v>
      </c>
      <c r="C174" s="413"/>
      <c r="D174" s="397"/>
      <c r="E174" s="197" t="s">
        <v>9</v>
      </c>
      <c r="F174" s="24" t="s">
        <v>10</v>
      </c>
      <c r="G174" s="177" t="s">
        <v>251</v>
      </c>
      <c r="H174" s="189"/>
      <c r="I174" s="75">
        <v>30173</v>
      </c>
      <c r="J174" s="75">
        <v>30611</v>
      </c>
      <c r="K174" s="75">
        <v>30997</v>
      </c>
      <c r="L174" s="75">
        <v>31448</v>
      </c>
      <c r="M174" s="75">
        <v>31843</v>
      </c>
      <c r="N174" s="202"/>
      <c r="O174" s="195"/>
      <c r="P174" s="11"/>
    </row>
    <row r="175" spans="1:16" s="8" customFormat="1" ht="39.950000000000003" customHeight="1" x14ac:dyDescent="0.3">
      <c r="A175" s="355"/>
      <c r="B175" s="309" t="s">
        <v>414</v>
      </c>
      <c r="C175" s="413"/>
      <c r="D175" s="397"/>
      <c r="E175" s="197" t="s">
        <v>9</v>
      </c>
      <c r="F175" s="24" t="s">
        <v>10</v>
      </c>
      <c r="G175" s="177" t="s">
        <v>251</v>
      </c>
      <c r="H175" s="189"/>
      <c r="I175" s="75">
        <v>10788</v>
      </c>
      <c r="J175" s="75">
        <v>11046</v>
      </c>
      <c r="K175" s="75">
        <v>11264</v>
      </c>
      <c r="L175" s="75">
        <v>11510</v>
      </c>
      <c r="M175" s="75">
        <v>11656</v>
      </c>
      <c r="N175" s="202"/>
      <c r="O175" s="195"/>
      <c r="P175" s="11"/>
    </row>
    <row r="176" spans="1:16" s="8" customFormat="1" ht="39.950000000000003" customHeight="1" x14ac:dyDescent="0.3">
      <c r="A176" s="355"/>
      <c r="B176" s="309" t="s">
        <v>415</v>
      </c>
      <c r="C176" s="413"/>
      <c r="D176" s="397"/>
      <c r="E176" s="197" t="s">
        <v>71</v>
      </c>
      <c r="F176" s="24" t="s">
        <v>10</v>
      </c>
      <c r="G176" s="177" t="s">
        <v>251</v>
      </c>
      <c r="H176" s="189"/>
      <c r="I176" s="75">
        <v>18469</v>
      </c>
      <c r="J176" s="75">
        <v>18688</v>
      </c>
      <c r="K176" s="75">
        <v>18906</v>
      </c>
      <c r="L176" s="75">
        <v>19170</v>
      </c>
      <c r="M176" s="75">
        <v>19170</v>
      </c>
      <c r="N176" s="202"/>
      <c r="O176" s="195"/>
      <c r="P176" s="11"/>
    </row>
    <row r="177" spans="1:16" s="8" customFormat="1" ht="39.950000000000003" customHeight="1" x14ac:dyDescent="0.3">
      <c r="A177" s="355"/>
      <c r="B177" s="164" t="s">
        <v>250</v>
      </c>
      <c r="C177" s="413"/>
      <c r="D177" s="351"/>
      <c r="E177" s="197" t="s">
        <v>16</v>
      </c>
      <c r="F177" s="24" t="s">
        <v>10</v>
      </c>
      <c r="G177" s="177" t="s">
        <v>253</v>
      </c>
      <c r="H177" s="189"/>
      <c r="I177" s="75">
        <v>6322.6</v>
      </c>
      <c r="J177" s="75">
        <v>6527.4</v>
      </c>
      <c r="K177" s="75">
        <v>67145</v>
      </c>
      <c r="L177" s="75">
        <v>6950.3</v>
      </c>
      <c r="M177" s="75">
        <v>7162.7</v>
      </c>
      <c r="N177" s="202"/>
      <c r="O177" s="195"/>
      <c r="P177" s="87"/>
    </row>
    <row r="178" spans="1:16" s="8" customFormat="1" ht="39.950000000000003" customHeight="1" x14ac:dyDescent="0.3">
      <c r="A178" s="355"/>
      <c r="B178" s="143" t="s">
        <v>313</v>
      </c>
      <c r="C178" s="414"/>
      <c r="D178" s="397"/>
      <c r="E178" s="197" t="s">
        <v>16</v>
      </c>
      <c r="F178" s="24" t="s">
        <v>10</v>
      </c>
      <c r="G178" s="177" t="s">
        <v>253</v>
      </c>
      <c r="H178" s="189"/>
      <c r="I178" s="53">
        <v>12013.9</v>
      </c>
      <c r="J178" s="53">
        <v>12269.4</v>
      </c>
      <c r="K178" s="53">
        <v>12499.5</v>
      </c>
      <c r="L178" s="53">
        <v>12765.8</v>
      </c>
      <c r="M178" s="53">
        <v>12993.4</v>
      </c>
      <c r="N178" s="202"/>
      <c r="O178" s="195"/>
      <c r="P178" s="87"/>
    </row>
    <row r="179" spans="1:16" s="8" customFormat="1" ht="39.950000000000003" customHeight="1" x14ac:dyDescent="0.3">
      <c r="A179" s="354"/>
      <c r="B179" s="162" t="s">
        <v>201</v>
      </c>
      <c r="C179" s="36" t="s">
        <v>120</v>
      </c>
      <c r="D179" s="47" t="s">
        <v>121</v>
      </c>
      <c r="E179" s="197" t="s">
        <v>22</v>
      </c>
      <c r="F179" s="24" t="s">
        <v>10</v>
      </c>
      <c r="G179" s="177" t="s">
        <v>258</v>
      </c>
      <c r="H179" s="189"/>
      <c r="I179" s="53">
        <v>2074.1999999999998</v>
      </c>
      <c r="J179" s="53">
        <v>2128.3000000000002</v>
      </c>
      <c r="K179" s="53">
        <v>2177.3000000000002</v>
      </c>
      <c r="L179" s="53">
        <v>2233.4</v>
      </c>
      <c r="M179" s="53">
        <v>2283.9</v>
      </c>
      <c r="N179" s="202"/>
      <c r="O179" s="195"/>
      <c r="P179" s="11"/>
    </row>
    <row r="180" spans="1:16" s="8" customFormat="1" ht="39.950000000000003" customHeight="1" x14ac:dyDescent="0.3">
      <c r="A180" s="323">
        <v>105</v>
      </c>
      <c r="B180" s="272" t="s">
        <v>426</v>
      </c>
      <c r="C180" s="317" t="s">
        <v>42</v>
      </c>
      <c r="D180" s="314">
        <v>10</v>
      </c>
      <c r="E180" s="326" t="s">
        <v>19</v>
      </c>
      <c r="F180" s="320" t="s">
        <v>20</v>
      </c>
      <c r="G180" s="231"/>
      <c r="H180" s="230"/>
      <c r="I180" s="53"/>
      <c r="J180" s="53">
        <v>0</v>
      </c>
      <c r="K180" s="53">
        <v>399.6</v>
      </c>
      <c r="L180" s="53">
        <v>2465</v>
      </c>
      <c r="M180" s="53">
        <v>4430.8</v>
      </c>
      <c r="N180" s="31" t="s">
        <v>382</v>
      </c>
      <c r="O180" s="232"/>
      <c r="P180" s="234"/>
    </row>
    <row r="181" spans="1:16" s="8" customFormat="1" ht="39.950000000000003" customHeight="1" x14ac:dyDescent="0.3">
      <c r="A181" s="281">
        <v>106</v>
      </c>
      <c r="B181" s="143" t="s">
        <v>36</v>
      </c>
      <c r="C181" s="175" t="s">
        <v>42</v>
      </c>
      <c r="D181" s="48" t="s">
        <v>44</v>
      </c>
      <c r="E181" s="197" t="s">
        <v>19</v>
      </c>
      <c r="F181" s="199" t="s">
        <v>10</v>
      </c>
      <c r="G181" s="199" t="s">
        <v>254</v>
      </c>
      <c r="H181" s="199">
        <v>13152011174</v>
      </c>
      <c r="I181" s="96">
        <v>95587</v>
      </c>
      <c r="J181" s="96">
        <v>96378</v>
      </c>
      <c r="K181" s="96">
        <v>97138</v>
      </c>
      <c r="L181" s="96">
        <v>97970</v>
      </c>
      <c r="M181" s="96">
        <v>98699</v>
      </c>
      <c r="N181" s="31"/>
      <c r="O181" s="77"/>
      <c r="P181" s="27"/>
    </row>
    <row r="182" spans="1:16" s="8" customFormat="1" ht="39.950000000000003" customHeight="1" x14ac:dyDescent="0.3">
      <c r="A182" s="353">
        <v>107</v>
      </c>
      <c r="B182" s="143" t="s">
        <v>188</v>
      </c>
      <c r="C182" s="375" t="s">
        <v>42</v>
      </c>
      <c r="D182" s="48" t="s">
        <v>386</v>
      </c>
      <c r="E182" s="197" t="s">
        <v>17</v>
      </c>
      <c r="F182" s="187" t="s">
        <v>20</v>
      </c>
      <c r="G182" s="199"/>
      <c r="H182" s="199">
        <v>2240251610</v>
      </c>
      <c r="I182" s="131">
        <v>8217</v>
      </c>
      <c r="J182" s="131">
        <v>9224</v>
      </c>
      <c r="K182" s="131">
        <v>10113</v>
      </c>
      <c r="L182" s="131">
        <v>11145</v>
      </c>
      <c r="M182" s="131">
        <v>12034</v>
      </c>
      <c r="N182" s="31"/>
      <c r="O182" s="77"/>
      <c r="P182" s="27"/>
    </row>
    <row r="183" spans="1:16" s="8" customFormat="1" ht="39.950000000000003" customHeight="1" x14ac:dyDescent="0.3">
      <c r="A183" s="354"/>
      <c r="B183" s="143" t="s">
        <v>298</v>
      </c>
      <c r="C183" s="371"/>
      <c r="D183" s="104" t="s">
        <v>387</v>
      </c>
      <c r="E183" s="197" t="s">
        <v>17</v>
      </c>
      <c r="F183" s="199" t="s">
        <v>10</v>
      </c>
      <c r="G183" s="199" t="s">
        <v>251</v>
      </c>
      <c r="H183" s="199"/>
      <c r="I183" s="208">
        <v>26686</v>
      </c>
      <c r="J183" s="211">
        <v>26893</v>
      </c>
      <c r="K183" s="235">
        <v>27071</v>
      </c>
      <c r="L183" s="273">
        <v>27251</v>
      </c>
      <c r="M183" s="273">
        <v>27437</v>
      </c>
      <c r="N183" s="201"/>
      <c r="O183" s="193"/>
      <c r="P183" s="27"/>
    </row>
    <row r="184" spans="1:16" s="8" customFormat="1" ht="39.950000000000003" customHeight="1" x14ac:dyDescent="0.3">
      <c r="A184" s="171">
        <v>108</v>
      </c>
      <c r="B184" s="126" t="s">
        <v>296</v>
      </c>
      <c r="C184" s="178" t="s">
        <v>42</v>
      </c>
      <c r="D184" s="104">
        <v>15</v>
      </c>
      <c r="E184" s="197" t="s">
        <v>17</v>
      </c>
      <c r="F184" s="199" t="s">
        <v>10</v>
      </c>
      <c r="G184" s="199" t="s">
        <v>251</v>
      </c>
      <c r="H184" s="199">
        <v>13152011185</v>
      </c>
      <c r="I184" s="208">
        <v>51765</v>
      </c>
      <c r="J184" s="211">
        <v>52234</v>
      </c>
      <c r="K184" s="235">
        <v>52681</v>
      </c>
      <c r="L184" s="273">
        <v>53207</v>
      </c>
      <c r="M184" s="273">
        <v>53683</v>
      </c>
      <c r="N184" s="201"/>
      <c r="O184" s="193"/>
      <c r="P184" s="27"/>
    </row>
    <row r="185" spans="1:16" s="8" customFormat="1" ht="39.950000000000003" customHeight="1" x14ac:dyDescent="0.3">
      <c r="A185" s="171">
        <v>109</v>
      </c>
      <c r="B185" s="126" t="s">
        <v>259</v>
      </c>
      <c r="C185" s="36" t="s">
        <v>42</v>
      </c>
      <c r="D185" s="104" t="s">
        <v>260</v>
      </c>
      <c r="E185" s="184" t="s">
        <v>23</v>
      </c>
      <c r="F185" s="199" t="s">
        <v>10</v>
      </c>
      <c r="G185" s="199" t="s">
        <v>251</v>
      </c>
      <c r="H185" s="199"/>
      <c r="I185" s="208">
        <v>12877</v>
      </c>
      <c r="J185" s="211">
        <v>13180</v>
      </c>
      <c r="K185" s="235">
        <v>13453</v>
      </c>
      <c r="L185" s="273">
        <v>13740</v>
      </c>
      <c r="M185" s="273">
        <v>14012</v>
      </c>
      <c r="N185" s="201"/>
      <c r="O185" s="193"/>
      <c r="P185" s="27"/>
    </row>
    <row r="186" spans="1:16" s="8" customFormat="1" ht="39.950000000000003" customHeight="1" x14ac:dyDescent="0.3">
      <c r="A186" s="260">
        <v>110</v>
      </c>
      <c r="B186" s="164" t="s">
        <v>269</v>
      </c>
      <c r="C186" s="36" t="s">
        <v>42</v>
      </c>
      <c r="D186" s="104" t="s">
        <v>388</v>
      </c>
      <c r="E186" s="184" t="s">
        <v>71</v>
      </c>
      <c r="F186" s="199" t="s">
        <v>10</v>
      </c>
      <c r="G186" s="199" t="s">
        <v>251</v>
      </c>
      <c r="H186" s="199"/>
      <c r="I186" s="145">
        <v>30481</v>
      </c>
      <c r="J186" s="145">
        <v>31597</v>
      </c>
      <c r="K186" s="145">
        <v>31597</v>
      </c>
      <c r="L186" s="145">
        <v>32673</v>
      </c>
      <c r="M186" s="145">
        <v>33507</v>
      </c>
      <c r="N186" s="201"/>
      <c r="O186" s="193"/>
      <c r="P186" s="27"/>
    </row>
    <row r="187" spans="1:16" s="8" customFormat="1" ht="39.950000000000003" customHeight="1" x14ac:dyDescent="0.3">
      <c r="A187" s="260">
        <v>111</v>
      </c>
      <c r="B187" s="144" t="s">
        <v>38</v>
      </c>
      <c r="C187" s="178" t="s">
        <v>42</v>
      </c>
      <c r="D187" s="183">
        <v>46</v>
      </c>
      <c r="E187" s="184" t="s">
        <v>23</v>
      </c>
      <c r="F187" s="199" t="s">
        <v>20</v>
      </c>
      <c r="G187" s="199" t="s">
        <v>254</v>
      </c>
      <c r="H187" s="26">
        <v>215141017</v>
      </c>
      <c r="I187" s="55">
        <v>58348.5</v>
      </c>
      <c r="J187" s="55">
        <v>60521.2</v>
      </c>
      <c r="K187" s="55">
        <v>62456.4</v>
      </c>
      <c r="L187" s="55">
        <v>64691.6</v>
      </c>
      <c r="M187" s="55">
        <v>66673.7</v>
      </c>
      <c r="N187" s="201"/>
      <c r="O187" s="193"/>
      <c r="P187" s="35"/>
    </row>
    <row r="188" spans="1:16" s="8" customFormat="1" ht="39.950000000000003" customHeight="1" x14ac:dyDescent="0.3">
      <c r="A188" s="260">
        <v>112</v>
      </c>
      <c r="B188" s="143" t="s">
        <v>39</v>
      </c>
      <c r="C188" s="200" t="s">
        <v>42</v>
      </c>
      <c r="D188" s="24">
        <v>47</v>
      </c>
      <c r="E188" s="184" t="s">
        <v>23</v>
      </c>
      <c r="F188" s="199" t="s">
        <v>10</v>
      </c>
      <c r="G188" s="199" t="s">
        <v>254</v>
      </c>
      <c r="H188" s="199">
        <v>13152011217</v>
      </c>
      <c r="I188" s="96">
        <v>102612</v>
      </c>
      <c r="J188" s="96">
        <v>103428</v>
      </c>
      <c r="K188" s="96">
        <v>104154</v>
      </c>
      <c r="L188" s="96">
        <v>104973</v>
      </c>
      <c r="M188" s="96">
        <v>105702</v>
      </c>
      <c r="N188" s="31"/>
      <c r="O188" s="77"/>
      <c r="P188" s="35"/>
    </row>
    <row r="189" spans="1:16" s="8" customFormat="1" ht="39.950000000000003" customHeight="1" x14ac:dyDescent="0.3">
      <c r="A189" s="353">
        <v>113</v>
      </c>
      <c r="B189" s="144" t="s">
        <v>314</v>
      </c>
      <c r="C189" s="200" t="s">
        <v>42</v>
      </c>
      <c r="D189" s="24">
        <v>43</v>
      </c>
      <c r="E189" s="184" t="s">
        <v>17</v>
      </c>
      <c r="F189" s="199" t="s">
        <v>10</v>
      </c>
      <c r="G189" s="199" t="s">
        <v>251</v>
      </c>
      <c r="H189" s="199">
        <v>17252010345</v>
      </c>
      <c r="I189" s="208">
        <v>60956</v>
      </c>
      <c r="J189" s="211">
        <v>64221</v>
      </c>
      <c r="K189" s="235">
        <v>67160</v>
      </c>
      <c r="L189" s="273">
        <v>70527</v>
      </c>
      <c r="M189" s="273">
        <v>73564</v>
      </c>
      <c r="N189" s="201"/>
      <c r="O189" s="274"/>
      <c r="P189" s="142"/>
    </row>
    <row r="190" spans="1:16" s="8" customFormat="1" ht="39.950000000000003" customHeight="1" x14ac:dyDescent="0.3">
      <c r="A190" s="354"/>
      <c r="B190" s="144" t="s">
        <v>425</v>
      </c>
      <c r="C190" s="324" t="s">
        <v>42</v>
      </c>
      <c r="D190" s="314"/>
      <c r="E190" s="319"/>
      <c r="F190" s="325"/>
      <c r="G190" s="321"/>
      <c r="H190" s="321"/>
      <c r="I190" s="273"/>
      <c r="J190" s="273"/>
      <c r="K190" s="273"/>
      <c r="L190" s="273">
        <v>679.1</v>
      </c>
      <c r="M190" s="273">
        <v>1460.4</v>
      </c>
      <c r="N190" s="274"/>
      <c r="O190" s="274"/>
      <c r="P190" s="142"/>
    </row>
    <row r="191" spans="1:16" s="8" customFormat="1" ht="39.950000000000003" customHeight="1" x14ac:dyDescent="0.3">
      <c r="A191" s="260">
        <v>114</v>
      </c>
      <c r="B191" s="144" t="s">
        <v>364</v>
      </c>
      <c r="C191" s="200" t="s">
        <v>42</v>
      </c>
      <c r="D191" s="177">
        <v>50</v>
      </c>
      <c r="E191" s="184"/>
      <c r="F191" s="199" t="s">
        <v>20</v>
      </c>
      <c r="G191" s="189"/>
      <c r="H191" s="182" t="s">
        <v>365</v>
      </c>
      <c r="I191" s="79">
        <v>17767.5</v>
      </c>
      <c r="J191" s="79">
        <v>24705.3</v>
      </c>
      <c r="K191" s="79">
        <v>31026.400000000001</v>
      </c>
      <c r="L191" s="79">
        <v>38380.9</v>
      </c>
      <c r="M191" s="79">
        <v>44884.1</v>
      </c>
      <c r="N191" s="201"/>
      <c r="O191" s="274"/>
      <c r="P191" s="142"/>
    </row>
    <row r="192" spans="1:16" s="8" customFormat="1" ht="39.950000000000003" customHeight="1" x14ac:dyDescent="0.3">
      <c r="A192" s="260">
        <v>115</v>
      </c>
      <c r="B192" s="144" t="s">
        <v>249</v>
      </c>
      <c r="C192" s="178" t="s">
        <v>42</v>
      </c>
      <c r="D192" s="177" t="s">
        <v>384</v>
      </c>
      <c r="E192" s="184" t="s">
        <v>9</v>
      </c>
      <c r="F192" s="199" t="s">
        <v>20</v>
      </c>
      <c r="G192" s="189" t="s">
        <v>360</v>
      </c>
      <c r="H192" s="182">
        <v>224026200</v>
      </c>
      <c r="I192" s="208">
        <v>3963.8</v>
      </c>
      <c r="J192" s="211">
        <v>6232.7</v>
      </c>
      <c r="K192" s="235">
        <v>8273.4</v>
      </c>
      <c r="L192" s="273">
        <v>10627.6</v>
      </c>
      <c r="M192" s="273">
        <v>12740.9</v>
      </c>
      <c r="N192" s="201"/>
      <c r="O192" s="274"/>
      <c r="P192" s="142"/>
    </row>
    <row r="193" spans="1:16" s="8" customFormat="1" ht="39.950000000000003" customHeight="1" x14ac:dyDescent="0.3">
      <c r="A193" s="353">
        <v>116</v>
      </c>
      <c r="B193" s="144" t="s">
        <v>354</v>
      </c>
      <c r="C193" s="32" t="s">
        <v>42</v>
      </c>
      <c r="D193" s="177" t="s">
        <v>385</v>
      </c>
      <c r="E193" s="184" t="s">
        <v>72</v>
      </c>
      <c r="F193" s="199" t="s">
        <v>20</v>
      </c>
      <c r="G193" s="189"/>
      <c r="H193" s="189">
        <v>723454003</v>
      </c>
      <c r="I193" s="79">
        <v>53093.3</v>
      </c>
      <c r="J193" s="79">
        <v>58872.3</v>
      </c>
      <c r="K193" s="79">
        <v>63905.7</v>
      </c>
      <c r="L193" s="79">
        <v>70224.7</v>
      </c>
      <c r="M193" s="79">
        <v>75594.5</v>
      </c>
      <c r="N193" s="201"/>
      <c r="O193" s="274"/>
      <c r="P193" s="142"/>
    </row>
    <row r="194" spans="1:16" s="8" customFormat="1" ht="39.950000000000003" customHeight="1" x14ac:dyDescent="0.3">
      <c r="A194" s="354"/>
      <c r="B194" s="144" t="s">
        <v>355</v>
      </c>
      <c r="C194" s="88" t="s">
        <v>21</v>
      </c>
      <c r="D194" s="177" t="s">
        <v>21</v>
      </c>
      <c r="E194" s="184" t="s">
        <v>23</v>
      </c>
      <c r="F194" s="199" t="s">
        <v>10</v>
      </c>
      <c r="G194" s="199" t="s">
        <v>254</v>
      </c>
      <c r="H194" s="189">
        <v>17232010598</v>
      </c>
      <c r="I194" s="208">
        <v>12766.7</v>
      </c>
      <c r="J194" s="211">
        <v>13895.9</v>
      </c>
      <c r="K194" s="235">
        <v>14997.7</v>
      </c>
      <c r="L194" s="273">
        <v>16490.599999999999</v>
      </c>
      <c r="M194" s="273">
        <v>17646.3</v>
      </c>
      <c r="N194" s="201"/>
      <c r="O194" s="274"/>
      <c r="P194" s="142"/>
    </row>
    <row r="195" spans="1:16" s="8" customFormat="1" ht="39.950000000000003" customHeight="1" x14ac:dyDescent="0.3">
      <c r="A195" s="353">
        <v>117</v>
      </c>
      <c r="B195" s="144" t="s">
        <v>349</v>
      </c>
      <c r="C195" s="200" t="s">
        <v>42</v>
      </c>
      <c r="D195" s="177">
        <v>51</v>
      </c>
      <c r="E195" s="184" t="s">
        <v>14</v>
      </c>
      <c r="F195" s="199" t="s">
        <v>10</v>
      </c>
      <c r="G195" s="189" t="s">
        <v>255</v>
      </c>
      <c r="H195" s="189"/>
      <c r="I195" s="208">
        <v>168704</v>
      </c>
      <c r="J195" s="211">
        <v>184768</v>
      </c>
      <c r="K195" s="235">
        <v>198355</v>
      </c>
      <c r="L195" s="273">
        <v>213944</v>
      </c>
      <c r="M195" s="273">
        <v>228767</v>
      </c>
      <c r="N195" s="201"/>
      <c r="O195" s="274"/>
      <c r="P195" s="142"/>
    </row>
    <row r="196" spans="1:16" s="8" customFormat="1" ht="39.950000000000003" customHeight="1" x14ac:dyDescent="0.3">
      <c r="A196" s="355"/>
      <c r="B196" s="144" t="s">
        <v>351</v>
      </c>
      <c r="C196" s="175" t="s">
        <v>40</v>
      </c>
      <c r="D196" s="177" t="s">
        <v>40</v>
      </c>
      <c r="E196" s="184" t="s">
        <v>19</v>
      </c>
      <c r="F196" s="187" t="s">
        <v>20</v>
      </c>
      <c r="G196" s="189"/>
      <c r="H196" s="189">
        <v>221095041</v>
      </c>
      <c r="I196" s="79">
        <v>58950.2</v>
      </c>
      <c r="J196" s="79">
        <v>64052.6</v>
      </c>
      <c r="K196" s="79">
        <v>68630.600000000006</v>
      </c>
      <c r="L196" s="79">
        <v>73900.5</v>
      </c>
      <c r="M196" s="79">
        <v>78639.5</v>
      </c>
      <c r="N196" s="201"/>
      <c r="O196" s="274"/>
      <c r="P196" s="142"/>
    </row>
    <row r="197" spans="1:16" s="8" customFormat="1" ht="39.950000000000003" customHeight="1" x14ac:dyDescent="0.3">
      <c r="A197" s="354"/>
      <c r="B197" s="144" t="s">
        <v>350</v>
      </c>
      <c r="C197" s="175" t="s">
        <v>41</v>
      </c>
      <c r="D197" s="177" t="s">
        <v>41</v>
      </c>
      <c r="E197" s="184" t="s">
        <v>17</v>
      </c>
      <c r="F197" s="187" t="s">
        <v>20</v>
      </c>
      <c r="G197" s="189"/>
      <c r="H197" s="189">
        <v>224155136</v>
      </c>
      <c r="I197" s="208">
        <v>32176.1</v>
      </c>
      <c r="J197" s="211">
        <v>35209.4</v>
      </c>
      <c r="K197" s="235">
        <v>37878.800000000003</v>
      </c>
      <c r="L197" s="273">
        <v>40923.9</v>
      </c>
      <c r="M197" s="273">
        <v>43756.5</v>
      </c>
      <c r="N197" s="201"/>
      <c r="O197" s="274"/>
      <c r="P197" s="142"/>
    </row>
    <row r="198" spans="1:16" s="8" customFormat="1" ht="39.950000000000003" customHeight="1" x14ac:dyDescent="0.3">
      <c r="A198" s="353">
        <v>118</v>
      </c>
      <c r="B198" s="144" t="s">
        <v>422</v>
      </c>
      <c r="C198" s="175" t="s">
        <v>42</v>
      </c>
      <c r="D198" s="192" t="s">
        <v>383</v>
      </c>
      <c r="E198" s="197" t="s">
        <v>312</v>
      </c>
      <c r="F198" s="199" t="s">
        <v>20</v>
      </c>
      <c r="G198" s="189"/>
      <c r="H198" s="182">
        <v>719331046</v>
      </c>
      <c r="I198" s="79">
        <v>381293</v>
      </c>
      <c r="J198" s="79">
        <v>401124.5</v>
      </c>
      <c r="K198" s="79">
        <v>419211.8</v>
      </c>
      <c r="L198" s="79">
        <v>439129.1</v>
      </c>
      <c r="M198" s="79">
        <v>456072.4</v>
      </c>
      <c r="N198" s="201"/>
      <c r="O198" s="31"/>
      <c r="P198" s="142"/>
    </row>
    <row r="199" spans="1:16" s="8" customFormat="1" ht="39.950000000000003" customHeight="1" x14ac:dyDescent="0.3">
      <c r="A199" s="354"/>
      <c r="B199" s="143" t="s">
        <v>24</v>
      </c>
      <c r="C199" s="263" t="s">
        <v>120</v>
      </c>
      <c r="D199" s="24" t="s">
        <v>120</v>
      </c>
      <c r="E199" s="254" t="s">
        <v>22</v>
      </c>
      <c r="F199" s="253" t="s">
        <v>10</v>
      </c>
      <c r="G199" s="253" t="s">
        <v>258</v>
      </c>
      <c r="H199" s="253">
        <v>6206321</v>
      </c>
      <c r="I199" s="72">
        <v>17138.8</v>
      </c>
      <c r="J199" s="54">
        <v>17176.599999999999</v>
      </c>
      <c r="K199" s="54">
        <v>17211.2</v>
      </c>
      <c r="L199" s="54">
        <v>17259.5</v>
      </c>
      <c r="M199" s="54">
        <v>17300.900000000001</v>
      </c>
      <c r="N199" s="31"/>
      <c r="O199" s="77"/>
      <c r="P199" s="35"/>
    </row>
    <row r="200" spans="1:16" s="8" customFormat="1" ht="39.950000000000003" customHeight="1" x14ac:dyDescent="0.3">
      <c r="A200" s="170">
        <v>119</v>
      </c>
      <c r="B200" s="144" t="s">
        <v>330</v>
      </c>
      <c r="C200" s="178" t="s">
        <v>42</v>
      </c>
      <c r="D200" s="190">
        <v>63</v>
      </c>
      <c r="E200" s="184" t="s">
        <v>46</v>
      </c>
      <c r="F200" s="187" t="s">
        <v>10</v>
      </c>
      <c r="G200" s="199" t="s">
        <v>251</v>
      </c>
      <c r="H200" s="187"/>
      <c r="I200" s="138">
        <v>35579</v>
      </c>
      <c r="J200" s="138">
        <v>36261</v>
      </c>
      <c r="K200" s="138">
        <v>36872</v>
      </c>
      <c r="L200" s="138">
        <v>37548</v>
      </c>
      <c r="M200" s="138">
        <v>38152</v>
      </c>
      <c r="N200" s="201"/>
      <c r="O200" s="96"/>
      <c r="P200" s="149"/>
    </row>
    <row r="201" spans="1:16" s="8" customFormat="1" ht="39.950000000000003" customHeight="1" x14ac:dyDescent="0.3">
      <c r="A201" s="353">
        <v>120</v>
      </c>
      <c r="B201" s="162" t="s">
        <v>110</v>
      </c>
      <c r="C201" s="417" t="s">
        <v>42</v>
      </c>
      <c r="D201" s="405" t="s">
        <v>113</v>
      </c>
      <c r="E201" s="404" t="s">
        <v>73</v>
      </c>
      <c r="F201" s="403" t="s">
        <v>10</v>
      </c>
      <c r="G201" s="199" t="s">
        <v>256</v>
      </c>
      <c r="H201" s="403">
        <v>13222010257</v>
      </c>
      <c r="I201" s="96">
        <v>606776</v>
      </c>
      <c r="J201" s="96">
        <v>615288</v>
      </c>
      <c r="K201" s="96">
        <v>622854</v>
      </c>
      <c r="L201" s="96">
        <v>631155</v>
      </c>
      <c r="M201" s="96">
        <v>639738</v>
      </c>
      <c r="N201" s="33"/>
      <c r="O201" s="108"/>
      <c r="P201" s="34"/>
    </row>
    <row r="202" spans="1:16" s="8" customFormat="1" ht="39.950000000000003" customHeight="1" x14ac:dyDescent="0.3">
      <c r="A202" s="355"/>
      <c r="B202" s="143" t="s">
        <v>111</v>
      </c>
      <c r="C202" s="417"/>
      <c r="D202" s="405"/>
      <c r="E202" s="404"/>
      <c r="F202" s="403"/>
      <c r="G202" s="199" t="s">
        <v>256</v>
      </c>
      <c r="H202" s="403"/>
      <c r="I202" s="96">
        <v>495331</v>
      </c>
      <c r="J202" s="96">
        <v>502214</v>
      </c>
      <c r="K202" s="96">
        <v>508174</v>
      </c>
      <c r="L202" s="96">
        <v>514782</v>
      </c>
      <c r="M202" s="96">
        <v>521672</v>
      </c>
      <c r="N202" s="33"/>
      <c r="O202" s="108"/>
      <c r="P202" s="34"/>
    </row>
    <row r="203" spans="1:16" s="8" customFormat="1" ht="39.950000000000003" customHeight="1" x14ac:dyDescent="0.3">
      <c r="A203" s="355"/>
      <c r="B203" s="143" t="s">
        <v>112</v>
      </c>
      <c r="C203" s="417"/>
      <c r="D203" s="405"/>
      <c r="E203" s="404"/>
      <c r="F203" s="403"/>
      <c r="G203" s="199" t="s">
        <v>256</v>
      </c>
      <c r="H203" s="403"/>
      <c r="I203" s="96">
        <v>111445</v>
      </c>
      <c r="J203" s="96">
        <v>113073</v>
      </c>
      <c r="K203" s="96">
        <v>114680</v>
      </c>
      <c r="L203" s="96">
        <v>116373</v>
      </c>
      <c r="M203" s="96">
        <v>118065</v>
      </c>
      <c r="N203" s="33"/>
      <c r="O203" s="108"/>
      <c r="P203" s="34"/>
    </row>
    <row r="204" spans="1:16" s="8" customFormat="1" ht="39.950000000000003" customHeight="1" x14ac:dyDescent="0.3">
      <c r="A204" s="355"/>
      <c r="B204" s="143" t="s">
        <v>152</v>
      </c>
      <c r="C204" s="417"/>
      <c r="D204" s="405"/>
      <c r="E204" s="404"/>
      <c r="F204" s="199" t="s">
        <v>10</v>
      </c>
      <c r="G204" s="199" t="s">
        <v>255</v>
      </c>
      <c r="H204" s="199">
        <v>18352010552</v>
      </c>
      <c r="I204" s="96">
        <v>6</v>
      </c>
      <c r="J204" s="96">
        <v>6</v>
      </c>
      <c r="K204" s="96">
        <v>6</v>
      </c>
      <c r="L204" s="96">
        <v>6</v>
      </c>
      <c r="M204" s="96">
        <v>6</v>
      </c>
      <c r="N204" s="33"/>
      <c r="O204" s="108"/>
      <c r="P204" s="34"/>
    </row>
    <row r="205" spans="1:16" s="8" customFormat="1" ht="39.950000000000003" customHeight="1" x14ac:dyDescent="0.3">
      <c r="A205" s="355"/>
      <c r="B205" s="143" t="s">
        <v>180</v>
      </c>
      <c r="C205" s="200" t="s">
        <v>120</v>
      </c>
      <c r="D205" s="198" t="s">
        <v>121</v>
      </c>
      <c r="E205" s="197" t="s">
        <v>22</v>
      </c>
      <c r="F205" s="199" t="s">
        <v>10</v>
      </c>
      <c r="G205" s="199" t="s">
        <v>258</v>
      </c>
      <c r="H205" s="199" t="s">
        <v>177</v>
      </c>
      <c r="I205" s="54">
        <v>1382.7</v>
      </c>
      <c r="J205" s="54">
        <v>1397</v>
      </c>
      <c r="K205" s="54">
        <v>1410</v>
      </c>
      <c r="L205" s="54">
        <v>1424.4</v>
      </c>
      <c r="M205" s="54">
        <v>1437.4</v>
      </c>
      <c r="N205" s="31"/>
      <c r="O205" s="77"/>
      <c r="P205" s="34"/>
    </row>
    <row r="206" spans="1:16" s="8" customFormat="1" ht="39.950000000000003" customHeight="1" x14ac:dyDescent="0.3">
      <c r="A206" s="353">
        <v>121</v>
      </c>
      <c r="B206" s="163" t="s">
        <v>123</v>
      </c>
      <c r="C206" s="375" t="s">
        <v>29</v>
      </c>
      <c r="D206" s="398" t="s">
        <v>30</v>
      </c>
      <c r="E206" s="381" t="s">
        <v>122</v>
      </c>
      <c r="F206" s="383" t="s">
        <v>10</v>
      </c>
      <c r="G206" s="187" t="s">
        <v>256</v>
      </c>
      <c r="H206" s="385">
        <v>18092010468</v>
      </c>
      <c r="I206" s="76">
        <v>2953820</v>
      </c>
      <c r="J206" s="76">
        <v>2998040</v>
      </c>
      <c r="K206" s="76">
        <v>3034443</v>
      </c>
      <c r="L206" s="76">
        <v>3080443</v>
      </c>
      <c r="M206" s="76">
        <v>3123125</v>
      </c>
      <c r="N206" s="33"/>
      <c r="O206" s="108"/>
      <c r="P206" s="35"/>
    </row>
    <row r="207" spans="1:16" s="8" customFormat="1" ht="39.950000000000003" customHeight="1" x14ac:dyDescent="0.3">
      <c r="A207" s="355"/>
      <c r="B207" s="144" t="s">
        <v>124</v>
      </c>
      <c r="C207" s="370"/>
      <c r="D207" s="402"/>
      <c r="E207" s="382"/>
      <c r="F207" s="379"/>
      <c r="G207" s="199" t="s">
        <v>256</v>
      </c>
      <c r="H207" s="386"/>
      <c r="I207" s="96">
        <v>2012351</v>
      </c>
      <c r="J207" s="96">
        <v>2042586</v>
      </c>
      <c r="K207" s="96">
        <v>2067804</v>
      </c>
      <c r="L207" s="96">
        <v>2099501</v>
      </c>
      <c r="M207" s="96">
        <v>2128634</v>
      </c>
      <c r="N207" s="33"/>
      <c r="O207" s="108"/>
      <c r="P207" s="35"/>
    </row>
    <row r="208" spans="1:16" s="8" customFormat="1" ht="39.950000000000003" customHeight="1" x14ac:dyDescent="0.3">
      <c r="A208" s="355"/>
      <c r="B208" s="144" t="s">
        <v>125</v>
      </c>
      <c r="C208" s="370"/>
      <c r="D208" s="402"/>
      <c r="E208" s="382"/>
      <c r="F208" s="380"/>
      <c r="G208" s="189" t="s">
        <v>256</v>
      </c>
      <c r="H208" s="387"/>
      <c r="I208" s="96">
        <v>941469</v>
      </c>
      <c r="J208" s="96">
        <v>955453</v>
      </c>
      <c r="K208" s="96">
        <v>966638</v>
      </c>
      <c r="L208" s="96">
        <v>980940</v>
      </c>
      <c r="M208" s="96">
        <v>994490</v>
      </c>
      <c r="N208" s="33"/>
      <c r="O208" s="108"/>
      <c r="P208" s="35"/>
    </row>
    <row r="209" spans="1:17" s="8" customFormat="1" ht="39.950000000000003" customHeight="1" x14ac:dyDescent="0.3">
      <c r="A209" s="354"/>
      <c r="B209" s="144" t="s">
        <v>151</v>
      </c>
      <c r="C209" s="371"/>
      <c r="D209" s="399"/>
      <c r="E209" s="384"/>
      <c r="F209" s="189" t="s">
        <v>10</v>
      </c>
      <c r="G209" s="189" t="s">
        <v>255</v>
      </c>
      <c r="H209" s="182">
        <v>17452010410</v>
      </c>
      <c r="I209" s="96">
        <v>13</v>
      </c>
      <c r="J209" s="96">
        <v>13</v>
      </c>
      <c r="K209" s="96">
        <v>14</v>
      </c>
      <c r="L209" s="96">
        <v>15</v>
      </c>
      <c r="M209" s="96">
        <v>15</v>
      </c>
      <c r="N209" s="33"/>
      <c r="O209" s="108"/>
      <c r="P209" s="35"/>
    </row>
    <row r="210" spans="1:17" s="8" customFormat="1" ht="39.950000000000003" customHeight="1" x14ac:dyDescent="0.3">
      <c r="A210" s="259">
        <v>122</v>
      </c>
      <c r="B210" s="144" t="s">
        <v>334</v>
      </c>
      <c r="C210" s="200" t="s">
        <v>29</v>
      </c>
      <c r="D210" s="24" t="s">
        <v>31</v>
      </c>
      <c r="E210" s="197" t="s">
        <v>237</v>
      </c>
      <c r="F210" s="199" t="s">
        <v>20</v>
      </c>
      <c r="G210" s="199"/>
      <c r="H210" s="26" t="s">
        <v>335</v>
      </c>
      <c r="I210" s="54">
        <v>159324.79999999999</v>
      </c>
      <c r="J210" s="54">
        <v>173192.4</v>
      </c>
      <c r="K210" s="54">
        <v>185691.2</v>
      </c>
      <c r="L210" s="54">
        <v>199198.2</v>
      </c>
      <c r="M210" s="54">
        <v>211168.6</v>
      </c>
      <c r="N210" s="31"/>
      <c r="O210" s="108"/>
      <c r="P210" s="34"/>
    </row>
    <row r="211" spans="1:17" s="8" customFormat="1" ht="39.950000000000003" customHeight="1" x14ac:dyDescent="0.3">
      <c r="A211" s="169">
        <v>123</v>
      </c>
      <c r="B211" s="143" t="s">
        <v>424</v>
      </c>
      <c r="C211" s="178" t="s">
        <v>29</v>
      </c>
      <c r="D211" s="183"/>
      <c r="E211" s="197" t="s">
        <v>293</v>
      </c>
      <c r="F211" s="199" t="s">
        <v>10</v>
      </c>
      <c r="G211" s="199" t="s">
        <v>251</v>
      </c>
      <c r="H211" s="26" t="s">
        <v>294</v>
      </c>
      <c r="I211" s="131">
        <v>90082</v>
      </c>
      <c r="J211" s="131">
        <v>93346</v>
      </c>
      <c r="K211" s="131">
        <v>96248</v>
      </c>
      <c r="L211" s="131">
        <v>99539</v>
      </c>
      <c r="M211" s="131">
        <v>102482</v>
      </c>
      <c r="N211" s="31"/>
      <c r="O211" s="77"/>
      <c r="P211" s="35"/>
    </row>
    <row r="212" spans="1:17" s="8" customFormat="1" ht="39.950000000000003" customHeight="1" x14ac:dyDescent="0.3">
      <c r="A212" s="353">
        <v>124</v>
      </c>
      <c r="B212" s="162" t="s">
        <v>25</v>
      </c>
      <c r="C212" s="375" t="s">
        <v>29</v>
      </c>
      <c r="D212" s="400" t="s">
        <v>32</v>
      </c>
      <c r="E212" s="381" t="s">
        <v>34</v>
      </c>
      <c r="F212" s="383" t="s">
        <v>20</v>
      </c>
      <c r="G212" s="187"/>
      <c r="H212" s="383">
        <v>1015443035</v>
      </c>
      <c r="I212" s="54">
        <v>417828.9</v>
      </c>
      <c r="J212" s="54">
        <v>422363.8</v>
      </c>
      <c r="K212" s="54">
        <v>425744.5</v>
      </c>
      <c r="L212" s="54">
        <v>429242.1</v>
      </c>
      <c r="M212" s="54">
        <v>433346.4</v>
      </c>
      <c r="N212" s="33"/>
      <c r="O212" s="108"/>
      <c r="P212" s="35"/>
    </row>
    <row r="213" spans="1:17" s="8" customFormat="1" ht="39.950000000000003" customHeight="1" x14ac:dyDescent="0.3">
      <c r="A213" s="355"/>
      <c r="B213" s="143" t="s">
        <v>26</v>
      </c>
      <c r="C213" s="370"/>
      <c r="D213" s="373"/>
      <c r="E213" s="382"/>
      <c r="F213" s="379"/>
      <c r="G213" s="199"/>
      <c r="H213" s="379"/>
      <c r="I213" s="54">
        <v>320221.8</v>
      </c>
      <c r="J213" s="54">
        <v>323760.2</v>
      </c>
      <c r="K213" s="54">
        <v>326671.59999999998</v>
      </c>
      <c r="L213" s="54">
        <v>329498.90000000002</v>
      </c>
      <c r="M213" s="54">
        <v>3326515</v>
      </c>
      <c r="N213" s="33"/>
      <c r="O213" s="108"/>
      <c r="P213" s="35"/>
    </row>
    <row r="214" spans="1:17" s="8" customFormat="1" ht="39.950000000000003" customHeight="1" x14ac:dyDescent="0.3">
      <c r="A214" s="355"/>
      <c r="B214" s="143" t="s">
        <v>27</v>
      </c>
      <c r="C214" s="370"/>
      <c r="D214" s="373"/>
      <c r="E214" s="382"/>
      <c r="F214" s="380"/>
      <c r="G214" s="199"/>
      <c r="H214" s="380"/>
      <c r="I214" s="54">
        <v>97605.7</v>
      </c>
      <c r="J214" s="54">
        <v>98602.1</v>
      </c>
      <c r="K214" s="54">
        <v>99071.5</v>
      </c>
      <c r="L214" s="54">
        <v>99741.7</v>
      </c>
      <c r="M214" s="54">
        <v>100693.4</v>
      </c>
      <c r="N214" s="33"/>
      <c r="O214" s="108"/>
      <c r="P214" s="35"/>
    </row>
    <row r="215" spans="1:17" s="8" customFormat="1" ht="39.950000000000003" customHeight="1" x14ac:dyDescent="0.3">
      <c r="A215" s="354"/>
      <c r="B215" s="144" t="s">
        <v>150</v>
      </c>
      <c r="C215" s="371"/>
      <c r="D215" s="374"/>
      <c r="E215" s="384"/>
      <c r="F215" s="199" t="s">
        <v>10</v>
      </c>
      <c r="G215" s="199" t="s">
        <v>255</v>
      </c>
      <c r="H215" s="199">
        <v>18072010329</v>
      </c>
      <c r="I215" s="76">
        <v>0</v>
      </c>
      <c r="J215" s="76">
        <v>0</v>
      </c>
      <c r="K215" s="76">
        <v>0</v>
      </c>
      <c r="L215" s="76">
        <v>0</v>
      </c>
      <c r="M215" s="76">
        <v>0</v>
      </c>
      <c r="N215" s="33"/>
      <c r="O215" s="108"/>
      <c r="P215" s="35"/>
    </row>
    <row r="216" spans="1:17" s="8" customFormat="1" ht="39.950000000000003" customHeight="1" x14ac:dyDescent="0.3">
      <c r="A216" s="259">
        <v>125</v>
      </c>
      <c r="B216" s="144" t="s">
        <v>28</v>
      </c>
      <c r="C216" s="375" t="s">
        <v>21</v>
      </c>
      <c r="D216" s="190" t="s">
        <v>33</v>
      </c>
      <c r="E216" s="184" t="s">
        <v>12</v>
      </c>
      <c r="F216" s="187" t="s">
        <v>20</v>
      </c>
      <c r="G216" s="187"/>
      <c r="H216" s="181" t="s">
        <v>35</v>
      </c>
      <c r="I216" s="55">
        <v>470447.5</v>
      </c>
      <c r="J216" s="55">
        <v>478941.1</v>
      </c>
      <c r="K216" s="55">
        <v>485877.1</v>
      </c>
      <c r="L216" s="55">
        <v>494455.7</v>
      </c>
      <c r="M216" s="55">
        <v>502014.1</v>
      </c>
      <c r="N216" s="201"/>
      <c r="O216" s="193"/>
      <c r="P216" s="29"/>
    </row>
    <row r="217" spans="1:17" s="8" customFormat="1" ht="39.950000000000003" customHeight="1" x14ac:dyDescent="0.3">
      <c r="A217" s="353">
        <v>126</v>
      </c>
      <c r="B217" s="144" t="s">
        <v>319</v>
      </c>
      <c r="C217" s="371"/>
      <c r="D217" s="190"/>
      <c r="E217" s="184" t="s">
        <v>149</v>
      </c>
      <c r="F217" s="199" t="s">
        <v>10</v>
      </c>
      <c r="G217" s="183" t="s">
        <v>253</v>
      </c>
      <c r="H217" s="181">
        <v>14422010044</v>
      </c>
      <c r="I217" s="55">
        <v>1348.6</v>
      </c>
      <c r="J217" s="55">
        <v>1472.4</v>
      </c>
      <c r="K217" s="55">
        <v>1593.6</v>
      </c>
      <c r="L217" s="55">
        <v>1732.2</v>
      </c>
      <c r="M217" s="55">
        <v>1858.6</v>
      </c>
      <c r="N217" s="201"/>
      <c r="O217" s="193"/>
      <c r="P217" s="29"/>
    </row>
    <row r="218" spans="1:17" s="8" customFormat="1" ht="39.950000000000003" customHeight="1" x14ac:dyDescent="0.3">
      <c r="A218" s="354"/>
      <c r="B218" s="144" t="s">
        <v>418</v>
      </c>
      <c r="C218" s="316" t="s">
        <v>287</v>
      </c>
      <c r="D218" s="322"/>
      <c r="E218" s="319" t="s">
        <v>12</v>
      </c>
      <c r="F218" s="320" t="s">
        <v>20</v>
      </c>
      <c r="G218" s="313"/>
      <c r="H218" s="318" t="s">
        <v>419</v>
      </c>
      <c r="I218" s="55"/>
      <c r="J218" s="55"/>
      <c r="K218" s="55"/>
      <c r="L218" s="55">
        <v>0</v>
      </c>
      <c r="M218" s="55">
        <v>4698.8999999999996</v>
      </c>
      <c r="N218" s="274" t="s">
        <v>420</v>
      </c>
      <c r="O218" s="224"/>
      <c r="P218" s="29"/>
    </row>
    <row r="219" spans="1:17" s="8" customFormat="1" ht="39.950000000000003" customHeight="1" x14ac:dyDescent="0.3">
      <c r="A219" s="353">
        <v>127</v>
      </c>
      <c r="B219" s="144" t="s">
        <v>140</v>
      </c>
      <c r="C219" s="375" t="s">
        <v>8</v>
      </c>
      <c r="D219" s="398" t="s">
        <v>144</v>
      </c>
      <c r="E219" s="381" t="s">
        <v>43</v>
      </c>
      <c r="F219" s="383" t="s">
        <v>20</v>
      </c>
      <c r="G219" s="187"/>
      <c r="H219" s="385">
        <v>1016322127</v>
      </c>
      <c r="I219" s="54">
        <v>1522469.4</v>
      </c>
      <c r="J219" s="54">
        <v>1547464.9</v>
      </c>
      <c r="K219" s="54">
        <v>1568833</v>
      </c>
      <c r="L219" s="54">
        <v>1589443.2</v>
      </c>
      <c r="M219" s="54">
        <v>1616338.4</v>
      </c>
      <c r="N219" s="33"/>
      <c r="O219" s="108"/>
      <c r="P219" s="35"/>
    </row>
    <row r="220" spans="1:17" s="8" customFormat="1" ht="39.950000000000003" customHeight="1" x14ac:dyDescent="0.3">
      <c r="A220" s="355"/>
      <c r="B220" s="144" t="s">
        <v>141</v>
      </c>
      <c r="C220" s="370"/>
      <c r="D220" s="402"/>
      <c r="E220" s="382"/>
      <c r="F220" s="379"/>
      <c r="G220" s="199"/>
      <c r="H220" s="386"/>
      <c r="I220" s="54">
        <v>1388408.6</v>
      </c>
      <c r="J220" s="54">
        <v>1412123.6</v>
      </c>
      <c r="K220" s="54">
        <v>1432107.3</v>
      </c>
      <c r="L220" s="54">
        <v>1451158.5</v>
      </c>
      <c r="M220" s="54">
        <v>1476288.7</v>
      </c>
      <c r="N220" s="33"/>
      <c r="O220" s="108"/>
      <c r="P220" s="35"/>
    </row>
    <row r="221" spans="1:17" s="8" customFormat="1" ht="39.950000000000003" customHeight="1" x14ac:dyDescent="0.3">
      <c r="A221" s="355"/>
      <c r="B221" s="144" t="s">
        <v>142</v>
      </c>
      <c r="C221" s="370"/>
      <c r="D221" s="402"/>
      <c r="E221" s="382"/>
      <c r="F221" s="380"/>
      <c r="G221" s="189"/>
      <c r="H221" s="387"/>
      <c r="I221" s="54">
        <v>134060.5</v>
      </c>
      <c r="J221" s="54">
        <v>135340.70000000001</v>
      </c>
      <c r="K221" s="54">
        <v>136724.70000000001</v>
      </c>
      <c r="L221" s="54" t="s">
        <v>421</v>
      </c>
      <c r="M221" s="54">
        <v>140048</v>
      </c>
      <c r="N221" s="33"/>
      <c r="O221" s="108"/>
      <c r="P221" s="35"/>
    </row>
    <row r="222" spans="1:17" s="8" customFormat="1" ht="39.950000000000003" customHeight="1" x14ac:dyDescent="0.3">
      <c r="A222" s="354"/>
      <c r="B222" s="143" t="s">
        <v>143</v>
      </c>
      <c r="C222" s="371"/>
      <c r="D222" s="399"/>
      <c r="E222" s="384"/>
      <c r="F222" s="199" t="s">
        <v>10</v>
      </c>
      <c r="G222" s="199" t="s">
        <v>255</v>
      </c>
      <c r="H222" s="26">
        <v>14202010825</v>
      </c>
      <c r="I222" s="76">
        <v>873</v>
      </c>
      <c r="J222" s="76">
        <v>873</v>
      </c>
      <c r="K222" s="76">
        <v>873</v>
      </c>
      <c r="L222" s="76">
        <v>873</v>
      </c>
      <c r="M222" s="76">
        <v>873</v>
      </c>
      <c r="N222" s="31"/>
      <c r="O222" s="77"/>
      <c r="P222" s="167"/>
      <c r="Q222" s="81"/>
    </row>
    <row r="223" spans="1:17" s="8" customFormat="1" ht="39.950000000000003" customHeight="1" x14ac:dyDescent="0.3">
      <c r="A223" s="353">
        <v>128</v>
      </c>
      <c r="B223" s="144" t="s">
        <v>134</v>
      </c>
      <c r="C223" s="375" t="s">
        <v>8</v>
      </c>
      <c r="D223" s="398" t="s">
        <v>133</v>
      </c>
      <c r="E223" s="406" t="s">
        <v>138</v>
      </c>
      <c r="F223" s="400" t="s">
        <v>181</v>
      </c>
      <c r="G223" s="183"/>
      <c r="H223" s="385">
        <v>219945979</v>
      </c>
      <c r="I223" s="70">
        <v>21173711.600000001</v>
      </c>
      <c r="J223" s="127">
        <v>21643710.23</v>
      </c>
      <c r="K223" s="127">
        <v>22046018.469999999</v>
      </c>
      <c r="L223" s="127">
        <v>22620842.010000002</v>
      </c>
      <c r="M223" s="127">
        <v>22932119.199999999</v>
      </c>
      <c r="N223" s="290"/>
      <c r="O223" s="31"/>
      <c r="P223" s="292"/>
    </row>
    <row r="224" spans="1:17" s="8" customFormat="1" ht="39.950000000000003" customHeight="1" x14ac:dyDescent="0.3">
      <c r="A224" s="355"/>
      <c r="B224" s="144" t="s">
        <v>135</v>
      </c>
      <c r="C224" s="370"/>
      <c r="D224" s="402"/>
      <c r="E224" s="407"/>
      <c r="F224" s="373"/>
      <c r="G224" s="183"/>
      <c r="H224" s="386"/>
      <c r="I224" s="70">
        <v>17307036.109999999</v>
      </c>
      <c r="J224" s="70">
        <v>17691276.530000001</v>
      </c>
      <c r="K224" s="70">
        <v>18020333.23</v>
      </c>
      <c r="L224" s="70">
        <v>18488551.379999999</v>
      </c>
      <c r="M224" s="70">
        <v>18744685.420000002</v>
      </c>
      <c r="N224" s="33"/>
      <c r="O224" s="194"/>
      <c r="P224" s="35"/>
    </row>
    <row r="225" spans="1:16" s="8" customFormat="1" ht="39.950000000000003" customHeight="1" x14ac:dyDescent="0.3">
      <c r="A225" s="354"/>
      <c r="B225" s="144" t="s">
        <v>136</v>
      </c>
      <c r="C225" s="371"/>
      <c r="D225" s="399"/>
      <c r="E225" s="408"/>
      <c r="F225" s="374"/>
      <c r="G225" s="24"/>
      <c r="H225" s="387"/>
      <c r="I225" s="135">
        <v>3866673.95</v>
      </c>
      <c r="J225" s="135">
        <v>3952433.02</v>
      </c>
      <c r="K225" s="135">
        <v>4025683.17</v>
      </c>
      <c r="L225" s="135">
        <v>4132290.49</v>
      </c>
      <c r="M225" s="135">
        <v>4187433.37</v>
      </c>
      <c r="N225" s="291"/>
      <c r="O225" s="31"/>
      <c r="P225" s="133"/>
    </row>
    <row r="226" spans="1:16" s="8" customFormat="1" ht="42" customHeight="1" x14ac:dyDescent="0.3">
      <c r="A226" s="365">
        <v>129</v>
      </c>
      <c r="B226" s="163" t="s">
        <v>203</v>
      </c>
      <c r="C226" s="409" t="s">
        <v>128</v>
      </c>
      <c r="D226" s="49" t="s">
        <v>130</v>
      </c>
      <c r="E226" s="38" t="s">
        <v>146</v>
      </c>
      <c r="F226" s="205" t="s">
        <v>131</v>
      </c>
      <c r="G226" s="205"/>
      <c r="H226" s="30" t="s">
        <v>132</v>
      </c>
      <c r="I226" s="30">
        <v>7950710.0300000003</v>
      </c>
      <c r="J226" s="30">
        <v>8057539.4100000001</v>
      </c>
      <c r="K226" s="30">
        <v>8161587.4500000002</v>
      </c>
      <c r="L226" s="30">
        <v>8273949.1299999999</v>
      </c>
      <c r="M226" s="30">
        <v>8376250.1500000004</v>
      </c>
      <c r="N226" s="201"/>
      <c r="O226" s="31"/>
      <c r="P226" s="292"/>
    </row>
    <row r="227" spans="1:16" s="8" customFormat="1" ht="42" customHeight="1" x14ac:dyDescent="0.3">
      <c r="A227" s="365"/>
      <c r="B227" s="163" t="s">
        <v>320</v>
      </c>
      <c r="C227" s="410"/>
      <c r="D227" s="92" t="s">
        <v>235</v>
      </c>
      <c r="E227" s="38" t="s">
        <v>146</v>
      </c>
      <c r="F227" s="205" t="s">
        <v>131</v>
      </c>
      <c r="G227" s="205"/>
      <c r="H227" s="30" t="s">
        <v>234</v>
      </c>
      <c r="I227" s="76">
        <v>5259446.33</v>
      </c>
      <c r="J227" s="76">
        <v>5424435.6299999999</v>
      </c>
      <c r="K227" s="76" t="s">
        <v>417</v>
      </c>
      <c r="L227" s="76">
        <v>5748181.3799999999</v>
      </c>
      <c r="M227" s="76">
        <v>5907142.54</v>
      </c>
      <c r="N227" s="31"/>
      <c r="O227" s="194"/>
      <c r="P227" s="35"/>
    </row>
    <row r="228" spans="1:16" s="8" customFormat="1" ht="42" customHeight="1" x14ac:dyDescent="0.3">
      <c r="A228" s="365"/>
      <c r="B228" s="163" t="s">
        <v>145</v>
      </c>
      <c r="C228" s="410"/>
      <c r="D228" s="49" t="s">
        <v>175</v>
      </c>
      <c r="E228" s="38" t="s">
        <v>146</v>
      </c>
      <c r="F228" s="205" t="s">
        <v>131</v>
      </c>
      <c r="G228" s="205"/>
      <c r="H228" s="30" t="s">
        <v>132</v>
      </c>
      <c r="I228" s="136">
        <v>6350364.9400000004</v>
      </c>
      <c r="J228" s="136">
        <v>6447193.2599999998</v>
      </c>
      <c r="K228" s="136">
        <v>6542180.8499999996</v>
      </c>
      <c r="L228" s="136">
        <v>6631190.2300000004</v>
      </c>
      <c r="M228" s="136">
        <v>6717818.7699999996</v>
      </c>
      <c r="N228" s="153"/>
      <c r="O228" s="31"/>
      <c r="P228" s="35"/>
    </row>
    <row r="229" spans="1:16" s="8" customFormat="1" ht="42" customHeight="1" x14ac:dyDescent="0.3">
      <c r="A229" s="365"/>
      <c r="B229" s="163" t="s">
        <v>174</v>
      </c>
      <c r="C229" s="410"/>
      <c r="D229" s="49" t="s">
        <v>175</v>
      </c>
      <c r="E229" s="38" t="s">
        <v>146</v>
      </c>
      <c r="F229" s="205" t="s">
        <v>131</v>
      </c>
      <c r="G229" s="205"/>
      <c r="H229" s="30" t="s">
        <v>132</v>
      </c>
      <c r="I229" s="70">
        <v>1753808.19</v>
      </c>
      <c r="J229" s="70">
        <v>1795781.61</v>
      </c>
      <c r="K229" s="70">
        <v>1839245.89</v>
      </c>
      <c r="L229" s="70">
        <v>1880123.53</v>
      </c>
      <c r="M229" s="70">
        <v>1914252.89</v>
      </c>
      <c r="N229" s="31"/>
      <c r="O229" s="201"/>
      <c r="P229" s="35"/>
    </row>
    <row r="230" spans="1:16" s="8" customFormat="1" ht="42" customHeight="1" x14ac:dyDescent="0.3">
      <c r="A230" s="366"/>
      <c r="B230" s="163" t="s">
        <v>127</v>
      </c>
      <c r="C230" s="411"/>
      <c r="D230" s="49" t="s">
        <v>129</v>
      </c>
      <c r="E230" s="38" t="s">
        <v>137</v>
      </c>
      <c r="F230" s="205" t="s">
        <v>131</v>
      </c>
      <c r="G230" s="205"/>
      <c r="H230" s="30" t="s">
        <v>132</v>
      </c>
      <c r="I230" s="129">
        <v>2329777.09</v>
      </c>
      <c r="J230" s="129">
        <v>2379152.62</v>
      </c>
      <c r="K230" s="129">
        <v>2408615.7799999998</v>
      </c>
      <c r="L230" s="129">
        <v>2446476.2000000002</v>
      </c>
      <c r="M230" s="129">
        <v>2481925.44</v>
      </c>
      <c r="N230" s="202"/>
      <c r="O230" s="31"/>
      <c r="P230" s="133"/>
    </row>
    <row r="231" spans="1:16" s="8" customFormat="1" ht="39.950000000000003" customHeight="1" x14ac:dyDescent="0.3">
      <c r="A231" s="418">
        <v>130</v>
      </c>
      <c r="B231" s="363" t="s">
        <v>154</v>
      </c>
      <c r="C231" s="200" t="s">
        <v>29</v>
      </c>
      <c r="D231" s="190" t="s">
        <v>98</v>
      </c>
      <c r="E231" s="184" t="s">
        <v>73</v>
      </c>
      <c r="F231" s="187" t="s">
        <v>20</v>
      </c>
      <c r="G231" s="187"/>
      <c r="H231" s="181" t="s">
        <v>126</v>
      </c>
      <c r="I231" s="128">
        <v>1267918.7</v>
      </c>
      <c r="J231" s="128">
        <v>1286766.3999999999</v>
      </c>
      <c r="K231" s="128">
        <v>1302210.8</v>
      </c>
      <c r="L231" s="128">
        <v>1319968.2</v>
      </c>
      <c r="M231" s="128">
        <v>1335977.2</v>
      </c>
      <c r="N231" s="201"/>
      <c r="O231" s="193"/>
      <c r="P231" s="179"/>
    </row>
    <row r="232" spans="1:16" s="8" customFormat="1" ht="39.950000000000003" customHeight="1" thickBot="1" x14ac:dyDescent="0.35">
      <c r="A232" s="366"/>
      <c r="B232" s="364"/>
      <c r="C232" s="156" t="s">
        <v>128</v>
      </c>
      <c r="D232" s="157" t="s">
        <v>128</v>
      </c>
      <c r="E232" s="39" t="s">
        <v>153</v>
      </c>
      <c r="F232" s="84" t="s">
        <v>10</v>
      </c>
      <c r="G232" s="39" t="s">
        <v>255</v>
      </c>
      <c r="H232" s="39">
        <v>17272011946</v>
      </c>
      <c r="I232" s="280">
        <v>92744</v>
      </c>
      <c r="J232" s="102">
        <v>95998</v>
      </c>
      <c r="K232" s="280">
        <v>98379</v>
      </c>
      <c r="L232" s="280">
        <v>101179</v>
      </c>
      <c r="M232" s="280">
        <v>103696</v>
      </c>
      <c r="N232" s="279"/>
      <c r="O232" s="279"/>
      <c r="P232" s="10"/>
    </row>
    <row r="233" spans="1:16" s="8" customFormat="1" ht="16.5" x14ac:dyDescent="0.3">
      <c r="A233" s="85"/>
      <c r="B233" s="276"/>
      <c r="C233" s="83"/>
      <c r="D233" s="277"/>
      <c r="E233" s="83"/>
      <c r="G233" s="83"/>
      <c r="H233" s="83"/>
      <c r="I233" s="97"/>
      <c r="J233" s="278"/>
      <c r="K233" s="97"/>
      <c r="L233" s="97"/>
      <c r="M233" s="97"/>
      <c r="P233" s="83"/>
    </row>
    <row r="234" spans="1:16" s="8" customFormat="1" ht="16.5" x14ac:dyDescent="0.3">
      <c r="A234" s="4"/>
      <c r="B234" s="118"/>
      <c r="C234" s="5"/>
      <c r="D234" s="41"/>
      <c r="E234" s="5"/>
      <c r="F234" s="5"/>
      <c r="G234" s="5"/>
      <c r="H234" s="5"/>
      <c r="I234" s="5"/>
      <c r="J234" s="5"/>
      <c r="K234" s="5"/>
      <c r="L234" s="5"/>
      <c r="M234" s="5"/>
      <c r="N234" s="6"/>
      <c r="O234" s="6"/>
      <c r="P234" s="6"/>
    </row>
    <row r="235" spans="1:16" s="8" customFormat="1" ht="16.5" x14ac:dyDescent="0.3">
      <c r="A235" s="57"/>
      <c r="B235" s="119" t="s">
        <v>183</v>
      </c>
      <c r="C235" s="5"/>
      <c r="D235" s="51"/>
      <c r="F235" s="401" t="s">
        <v>184</v>
      </c>
      <c r="G235" s="401"/>
      <c r="H235" s="401"/>
      <c r="I235" s="98"/>
      <c r="J235" s="98"/>
      <c r="K235" s="98"/>
      <c r="L235" s="98"/>
      <c r="M235" s="98"/>
      <c r="N235" s="58" t="s">
        <v>185</v>
      </c>
      <c r="O235" s="58"/>
      <c r="P235" s="6"/>
    </row>
    <row r="236" spans="1:16" s="8" customFormat="1" ht="16.5" x14ac:dyDescent="0.3">
      <c r="A236" s="57"/>
      <c r="B236" s="120"/>
      <c r="C236" s="60"/>
      <c r="D236" s="61"/>
      <c r="E236" s="62"/>
      <c r="I236" s="98"/>
      <c r="J236" s="98"/>
      <c r="K236" s="98"/>
      <c r="L236" s="98"/>
      <c r="M236" s="98"/>
      <c r="N236" s="59"/>
      <c r="O236" s="59"/>
      <c r="P236" s="6"/>
    </row>
    <row r="237" spans="1:16" s="8" customFormat="1" ht="16.5" x14ac:dyDescent="0.3">
      <c r="A237" s="57"/>
      <c r="B237" s="121"/>
      <c r="C237" s="58"/>
      <c r="D237" s="63"/>
      <c r="E237" s="64"/>
      <c r="F237" s="64"/>
      <c r="G237" s="64"/>
      <c r="H237" s="64"/>
      <c r="I237" s="98"/>
      <c r="J237" s="98"/>
      <c r="K237" s="98"/>
      <c r="L237" s="98"/>
      <c r="M237" s="98"/>
      <c r="N237" s="59"/>
      <c r="O237" s="59"/>
      <c r="P237" s="6"/>
    </row>
    <row r="238" spans="1:16" s="8" customFormat="1" ht="18" x14ac:dyDescent="0.3">
      <c r="A238" s="57"/>
      <c r="B238" s="122"/>
      <c r="C238" s="7"/>
      <c r="D238" s="63"/>
      <c r="E238" s="65"/>
      <c r="F238" s="65"/>
      <c r="G238" s="65"/>
      <c r="H238" s="65"/>
      <c r="I238" s="99"/>
      <c r="J238" s="99"/>
      <c r="K238" s="99"/>
      <c r="L238" s="99"/>
      <c r="M238" s="99"/>
      <c r="N238" s="66"/>
      <c r="O238" s="66"/>
      <c r="P238" s="6"/>
    </row>
    <row r="239" spans="1:16" s="8" customFormat="1" ht="16.5" x14ac:dyDescent="0.3">
      <c r="A239" s="57"/>
      <c r="B239" s="123" t="s">
        <v>189</v>
      </c>
      <c r="C239" s="67"/>
      <c r="D239" s="52"/>
      <c r="F239" s="416" t="s">
        <v>375</v>
      </c>
      <c r="G239" s="416"/>
      <c r="H239" s="416"/>
      <c r="I239" s="98"/>
      <c r="J239" s="98"/>
      <c r="K239" s="98"/>
      <c r="L239" s="98"/>
      <c r="M239" s="98"/>
      <c r="N239" s="68" t="s">
        <v>363</v>
      </c>
      <c r="O239" s="68"/>
      <c r="P239" s="6"/>
    </row>
    <row r="240" spans="1:16" s="8" customFormat="1" ht="16.5" x14ac:dyDescent="0.3">
      <c r="A240" s="57"/>
      <c r="B240" s="119" t="s">
        <v>186</v>
      </c>
      <c r="C240" s="67"/>
      <c r="D240" s="52"/>
      <c r="F240" s="415" t="s">
        <v>376</v>
      </c>
      <c r="G240" s="415"/>
      <c r="H240" s="415"/>
      <c r="I240" s="98"/>
      <c r="J240" s="98"/>
      <c r="K240" s="98"/>
      <c r="L240" s="98"/>
      <c r="M240" s="98"/>
      <c r="N240" s="58" t="s">
        <v>187</v>
      </c>
      <c r="O240" s="58"/>
      <c r="P240" s="6"/>
    </row>
    <row r="241" spans="1:8" x14ac:dyDescent="0.25">
      <c r="A241" s="57"/>
      <c r="B241" s="124"/>
      <c r="C241" s="57"/>
      <c r="D241" s="69"/>
      <c r="E241" s="57"/>
      <c r="F241" s="57"/>
      <c r="G241" s="57"/>
      <c r="H241" s="57"/>
    </row>
  </sheetData>
  <mergeCells count="127">
    <mergeCell ref="C226:C230"/>
    <mergeCell ref="C182:C183"/>
    <mergeCell ref="C157:C178"/>
    <mergeCell ref="D157:D163"/>
    <mergeCell ref="C149:C151"/>
    <mergeCell ref="D149:D151"/>
    <mergeCell ref="D206:D209"/>
    <mergeCell ref="A217:A218"/>
    <mergeCell ref="F240:H240"/>
    <mergeCell ref="F239:H239"/>
    <mergeCell ref="A201:A205"/>
    <mergeCell ref="C201:C204"/>
    <mergeCell ref="C212:C215"/>
    <mergeCell ref="E219:E222"/>
    <mergeCell ref="F219:F221"/>
    <mergeCell ref="C219:C222"/>
    <mergeCell ref="D219:D222"/>
    <mergeCell ref="C223:C225"/>
    <mergeCell ref="F223:F225"/>
    <mergeCell ref="C216:C217"/>
    <mergeCell ref="F206:F208"/>
    <mergeCell ref="H206:H208"/>
    <mergeCell ref="F201:F203"/>
    <mergeCell ref="A231:A232"/>
    <mergeCell ref="F235:H235"/>
    <mergeCell ref="H73:H75"/>
    <mergeCell ref="H77:H79"/>
    <mergeCell ref="D73:D80"/>
    <mergeCell ref="E73:E76"/>
    <mergeCell ref="F77:F80"/>
    <mergeCell ref="E77:E80"/>
    <mergeCell ref="E206:E209"/>
    <mergeCell ref="D223:D225"/>
    <mergeCell ref="E161:E163"/>
    <mergeCell ref="H223:H225"/>
    <mergeCell ref="E158:E160"/>
    <mergeCell ref="H161:H163"/>
    <mergeCell ref="H158:H160"/>
    <mergeCell ref="H201:H203"/>
    <mergeCell ref="E201:E204"/>
    <mergeCell ref="D201:D204"/>
    <mergeCell ref="E223:E225"/>
    <mergeCell ref="H219:H221"/>
    <mergeCell ref="D212:D215"/>
    <mergeCell ref="E212:E215"/>
    <mergeCell ref="F212:F214"/>
    <mergeCell ref="H212:H214"/>
    <mergeCell ref="C95:C97"/>
    <mergeCell ref="D164:D176"/>
    <mergeCell ref="D61:D62"/>
    <mergeCell ref="A195:A197"/>
    <mergeCell ref="A126:A127"/>
    <mergeCell ref="C57:C58"/>
    <mergeCell ref="C61:C62"/>
    <mergeCell ref="F158:F160"/>
    <mergeCell ref="D177:D178"/>
    <mergeCell ref="F73:F76"/>
    <mergeCell ref="F161:F163"/>
    <mergeCell ref="A85:A86"/>
    <mergeCell ref="A88:A89"/>
    <mergeCell ref="A198:A199"/>
    <mergeCell ref="A157:A179"/>
    <mergeCell ref="A189:A190"/>
    <mergeCell ref="A95:A97"/>
    <mergeCell ref="A142:A143"/>
    <mergeCell ref="A117:A120"/>
    <mergeCell ref="A1:P2"/>
    <mergeCell ref="H7:H9"/>
    <mergeCell ref="E11:E14"/>
    <mergeCell ref="F11:F13"/>
    <mergeCell ref="H11:H13"/>
    <mergeCell ref="E15:E18"/>
    <mergeCell ref="F15:F18"/>
    <mergeCell ref="H15:H17"/>
    <mergeCell ref="E7:E10"/>
    <mergeCell ref="F7:F9"/>
    <mergeCell ref="P5:P6"/>
    <mergeCell ref="B5:B6"/>
    <mergeCell ref="F5:F6"/>
    <mergeCell ref="C5:D6"/>
    <mergeCell ref="E5:E6"/>
    <mergeCell ref="O5:O6"/>
    <mergeCell ref="L5:L6"/>
    <mergeCell ref="M5:M6"/>
    <mergeCell ref="B231:B232"/>
    <mergeCell ref="A223:A225"/>
    <mergeCell ref="A219:A222"/>
    <mergeCell ref="A212:A215"/>
    <mergeCell ref="A206:A209"/>
    <mergeCell ref="A226:A230"/>
    <mergeCell ref="C27:C28"/>
    <mergeCell ref="C7:C18"/>
    <mergeCell ref="D7:D18"/>
    <mergeCell ref="A46:A47"/>
    <mergeCell ref="C206:C209"/>
    <mergeCell ref="C93:C94"/>
    <mergeCell ref="A51:A54"/>
    <mergeCell ref="C55:C56"/>
    <mergeCell ref="A73:A81"/>
    <mergeCell ref="A64:A65"/>
    <mergeCell ref="C73:C81"/>
    <mergeCell ref="C51:C54"/>
    <mergeCell ref="A61:A62"/>
    <mergeCell ref="A129:A130"/>
    <mergeCell ref="A182:A183"/>
    <mergeCell ref="A193:A194"/>
    <mergeCell ref="A42:A43"/>
    <mergeCell ref="A57:A58"/>
    <mergeCell ref="H5:H6"/>
    <mergeCell ref="K5:K6"/>
    <mergeCell ref="J5:J6"/>
    <mergeCell ref="I5:I6"/>
    <mergeCell ref="A5:A6"/>
    <mergeCell ref="G5:G6"/>
    <mergeCell ref="D27:D28"/>
    <mergeCell ref="D55:D56"/>
    <mergeCell ref="A55:A56"/>
    <mergeCell ref="A33:A34"/>
    <mergeCell ref="A49:A50"/>
    <mergeCell ref="A7:A18"/>
    <mergeCell ref="A31:A32"/>
    <mergeCell ref="A44:A45"/>
    <mergeCell ref="A39:A40"/>
    <mergeCell ref="A21:A22"/>
    <mergeCell ref="A25:A26"/>
    <mergeCell ref="A27:A28"/>
    <mergeCell ref="A29:A30"/>
  </mergeCells>
  <pageMargins left="0.31496062992126" right="0.196850393700787" top="0.35433070866141703" bottom="0.43307086614173201" header="0.23622047244094499" footer="0.196850393700787"/>
  <pageSetup scale="48" fitToHeight="0" orientation="landscape" r:id="rId1"/>
  <rowBreaks count="8" manualBreakCount="8">
    <brk id="33" max="16" man="1"/>
    <brk id="61" max="16" man="1"/>
    <brk id="89" max="16" man="1"/>
    <brk id="117" max="16" man="1"/>
    <brk id="145" max="16" man="1"/>
    <brk id="173" max="16" man="1"/>
    <brk id="201" max="16" man="1"/>
    <brk id="225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1"/>
  <sheetViews>
    <sheetView topLeftCell="A229" zoomScale="91" zoomScaleNormal="91" workbookViewId="0">
      <selection activeCell="L235" sqref="L235"/>
    </sheetView>
  </sheetViews>
  <sheetFormatPr defaultRowHeight="15" x14ac:dyDescent="0.25"/>
  <cols>
    <col min="1" max="1" width="5.7109375" customWidth="1"/>
    <col min="2" max="2" width="32.7109375" style="125" customWidth="1"/>
    <col min="3" max="3" width="4.7109375" customWidth="1"/>
    <col min="4" max="4" width="12" style="42" customWidth="1"/>
    <col min="5" max="5" width="14.140625" customWidth="1"/>
    <col min="6" max="6" width="13.140625" customWidth="1"/>
    <col min="7" max="7" width="9" customWidth="1"/>
    <col min="8" max="8" width="15.28515625" customWidth="1"/>
    <col min="9" max="12" width="15.5703125" customWidth="1"/>
    <col min="13" max="13" width="30.7109375" customWidth="1"/>
  </cols>
  <sheetData>
    <row r="1" spans="1:13" ht="20.100000000000001" customHeight="1" x14ac:dyDescent="0.25">
      <c r="A1" s="419" t="s">
        <v>107</v>
      </c>
      <c r="B1" s="419"/>
      <c r="C1" s="419"/>
      <c r="D1" s="419"/>
      <c r="E1" s="419"/>
      <c r="F1" s="419"/>
      <c r="G1" s="419"/>
      <c r="H1" s="419"/>
      <c r="I1" s="419"/>
      <c r="J1" s="419"/>
      <c r="K1" s="328"/>
      <c r="L1" s="335"/>
    </row>
    <row r="2" spans="1:13" ht="20.100000000000001" customHeight="1" x14ac:dyDescent="0.25">
      <c r="A2" s="419"/>
      <c r="B2" s="419"/>
      <c r="C2" s="419"/>
      <c r="D2" s="419"/>
      <c r="E2" s="419"/>
      <c r="F2" s="419"/>
      <c r="G2" s="419"/>
      <c r="H2" s="419"/>
      <c r="I2" s="419"/>
      <c r="J2" s="419"/>
      <c r="K2" s="328"/>
      <c r="L2" s="335"/>
    </row>
    <row r="3" spans="1:13" ht="20.100000000000001" customHeight="1" x14ac:dyDescent="0.25">
      <c r="A3" s="2"/>
      <c r="B3" s="115"/>
      <c r="C3" s="2"/>
      <c r="D3" s="40"/>
      <c r="E3" s="1"/>
      <c r="F3" s="9"/>
      <c r="G3" s="9"/>
      <c r="H3" s="9"/>
    </row>
    <row r="4" spans="1:13" ht="20.100000000000001" customHeight="1" thickBot="1" x14ac:dyDescent="0.3">
      <c r="A4" s="3" t="str">
        <f>'LISTRIK 2026'!A4</f>
        <v>UPDATE 28 APRIL 2026</v>
      </c>
      <c r="B4" s="116"/>
      <c r="C4" s="12"/>
      <c r="D4" s="44"/>
      <c r="E4" s="13"/>
      <c r="F4" s="14"/>
      <c r="G4" s="14"/>
      <c r="H4" s="14"/>
      <c r="I4" s="14"/>
      <c r="J4" s="14"/>
      <c r="K4" s="14"/>
      <c r="L4" s="14"/>
    </row>
    <row r="5" spans="1:13" s="8" customFormat="1" ht="19.5" customHeight="1" x14ac:dyDescent="0.3">
      <c r="A5" s="345" t="s">
        <v>0</v>
      </c>
      <c r="B5" s="391" t="s">
        <v>1</v>
      </c>
      <c r="C5" s="393" t="s">
        <v>2</v>
      </c>
      <c r="D5" s="393"/>
      <c r="E5" s="395" t="s">
        <v>3</v>
      </c>
      <c r="F5" s="341" t="s">
        <v>4</v>
      </c>
      <c r="G5" s="347" t="s">
        <v>252</v>
      </c>
      <c r="H5" s="341" t="s">
        <v>5</v>
      </c>
      <c r="I5" s="343">
        <v>46051</v>
      </c>
      <c r="J5" s="343">
        <v>46079</v>
      </c>
      <c r="K5" s="343">
        <v>46111</v>
      </c>
      <c r="L5" s="343">
        <v>46140</v>
      </c>
      <c r="M5" s="420" t="s">
        <v>6</v>
      </c>
    </row>
    <row r="6" spans="1:13" s="8" customFormat="1" ht="27" customHeight="1" thickBot="1" x14ac:dyDescent="0.35">
      <c r="A6" s="346"/>
      <c r="B6" s="392"/>
      <c r="C6" s="394"/>
      <c r="D6" s="394"/>
      <c r="E6" s="396"/>
      <c r="F6" s="342"/>
      <c r="G6" s="348"/>
      <c r="H6" s="342"/>
      <c r="I6" s="344"/>
      <c r="J6" s="344"/>
      <c r="K6" s="344"/>
      <c r="L6" s="344"/>
      <c r="M6" s="421"/>
    </row>
    <row r="7" spans="1:13" s="8" customFormat="1" ht="39.950000000000003" customHeight="1" x14ac:dyDescent="0.3">
      <c r="A7" s="356">
        <v>1</v>
      </c>
      <c r="B7" s="158" t="s">
        <v>156</v>
      </c>
      <c r="C7" s="369" t="s">
        <v>8</v>
      </c>
      <c r="D7" s="372" t="s">
        <v>157</v>
      </c>
      <c r="E7" s="388" t="s">
        <v>158</v>
      </c>
      <c r="F7" s="378" t="s">
        <v>20</v>
      </c>
      <c r="G7" s="264"/>
      <c r="H7" s="378">
        <v>1015163133</v>
      </c>
      <c r="I7" s="293">
        <f>'LISTRIK 2026'!J7-'LISTRIK 2026'!I7</f>
        <v>62832</v>
      </c>
      <c r="J7" s="293">
        <f>'LISTRIK 2026'!K7-'LISTRIK 2026'!J7</f>
        <v>57497.200000001118</v>
      </c>
      <c r="K7" s="293">
        <f>'LISTRIK 2026'!L7-'LISTRIK 2026'!K7</f>
        <v>66058.799999998882</v>
      </c>
      <c r="L7" s="293">
        <f>'LISTRIK 2026'!M7-'LISTRIK 2026'!L7</f>
        <v>61007.099999999627</v>
      </c>
      <c r="M7" s="301"/>
    </row>
    <row r="8" spans="1:13" s="8" customFormat="1" ht="39.950000000000003" customHeight="1" x14ac:dyDescent="0.3">
      <c r="A8" s="357"/>
      <c r="B8" s="126" t="s">
        <v>159</v>
      </c>
      <c r="C8" s="370"/>
      <c r="D8" s="373"/>
      <c r="E8" s="382"/>
      <c r="F8" s="379"/>
      <c r="G8" s="242"/>
      <c r="H8" s="379"/>
      <c r="I8" s="54">
        <f>'LISTRIK 2026'!J8-'LISTRIK 2026'!I8</f>
        <v>48003.400000000373</v>
      </c>
      <c r="J8" s="54">
        <f>'LISTRIK 2026'!K8-'LISTRIK 2026'!J8</f>
        <v>43959.5</v>
      </c>
      <c r="K8" s="54">
        <f>'LISTRIK 2026'!L8-'LISTRIK 2026'!K8</f>
        <v>50353.099999999627</v>
      </c>
      <c r="L8" s="54">
        <f>'LISTRIK 2026'!M8-'LISTRIK 2026'!L8</f>
        <v>46759.600000000559</v>
      </c>
      <c r="M8" s="302"/>
    </row>
    <row r="9" spans="1:13" s="8" customFormat="1" ht="39.950000000000003" customHeight="1" x14ac:dyDescent="0.3">
      <c r="A9" s="357"/>
      <c r="B9" s="126" t="s">
        <v>160</v>
      </c>
      <c r="C9" s="370"/>
      <c r="D9" s="373"/>
      <c r="E9" s="382"/>
      <c r="F9" s="380"/>
      <c r="G9" s="253"/>
      <c r="H9" s="380"/>
      <c r="I9" s="54">
        <f>'LISTRIK 2026'!J9-'LISTRIK 2026'!I9</f>
        <v>14828.200000000186</v>
      </c>
      <c r="J9" s="54">
        <f>'LISTRIK 2026'!K9-'LISTRIK 2026'!J9</f>
        <v>13537.699999999721</v>
      </c>
      <c r="K9" s="54">
        <f>'LISTRIK 2026'!L9-'LISTRIK 2026'!K9</f>
        <v>15704.300000000279</v>
      </c>
      <c r="L9" s="54">
        <f>'LISTRIK 2026'!M9-'LISTRIK 2026'!L9</f>
        <v>14247.399999999907</v>
      </c>
      <c r="M9" s="302"/>
    </row>
    <row r="10" spans="1:13" s="8" customFormat="1" ht="39.950000000000003" customHeight="1" x14ac:dyDescent="0.3">
      <c r="A10" s="357"/>
      <c r="B10" s="126" t="s">
        <v>161</v>
      </c>
      <c r="C10" s="370"/>
      <c r="D10" s="373"/>
      <c r="E10" s="384"/>
      <c r="F10" s="244" t="s">
        <v>10</v>
      </c>
      <c r="G10" s="244" t="s">
        <v>322</v>
      </c>
      <c r="H10" s="244">
        <v>17282010063</v>
      </c>
      <c r="I10" s="54">
        <f>'LISTRIK 2026'!J10-'LISTRIK 2026'!I10</f>
        <v>58</v>
      </c>
      <c r="J10" s="54">
        <f>'LISTRIK 2026'!K10-'LISTRIK 2026'!J10</f>
        <v>0</v>
      </c>
      <c r="K10" s="54">
        <f>'LISTRIK 2026'!L10-'LISTRIK 2026'!K10</f>
        <v>1</v>
      </c>
      <c r="L10" s="54">
        <f>'LISTRIK 2026'!M10-'LISTRIK 2026'!L10</f>
        <v>627</v>
      </c>
      <c r="M10" s="302"/>
    </row>
    <row r="11" spans="1:13" s="8" customFormat="1" ht="39.950000000000003" customHeight="1" x14ac:dyDescent="0.3">
      <c r="A11" s="357"/>
      <c r="B11" s="159" t="s">
        <v>162</v>
      </c>
      <c r="C11" s="370"/>
      <c r="D11" s="373"/>
      <c r="E11" s="381" t="s">
        <v>163</v>
      </c>
      <c r="F11" s="383" t="s">
        <v>20</v>
      </c>
      <c r="G11" s="253"/>
      <c r="H11" s="383">
        <v>1915184007</v>
      </c>
      <c r="I11" s="54">
        <f>'LISTRIK 2026'!J11-'LISTRIK 2026'!I11</f>
        <v>22960.300000000047</v>
      </c>
      <c r="J11" s="54">
        <f>'LISTRIK 2026'!K11-'LISTRIK 2026'!J11</f>
        <v>15445.199999999953</v>
      </c>
      <c r="K11" s="54">
        <f>'LISTRIK 2026'!L11-'LISTRIK 2026'!K11</f>
        <v>18230.59999999986</v>
      </c>
      <c r="L11" s="54">
        <f>'LISTRIK 2026'!M11-'LISTRIK 2026'!L11</f>
        <v>22142.200000000186</v>
      </c>
      <c r="M11" s="302"/>
    </row>
    <row r="12" spans="1:13" s="8" customFormat="1" ht="39.950000000000003" customHeight="1" x14ac:dyDescent="0.3">
      <c r="A12" s="357"/>
      <c r="B12" s="143" t="s">
        <v>164</v>
      </c>
      <c r="C12" s="370"/>
      <c r="D12" s="373"/>
      <c r="E12" s="382"/>
      <c r="F12" s="379"/>
      <c r="G12" s="243"/>
      <c r="H12" s="379"/>
      <c r="I12" s="54">
        <f>'LISTRIK 2026'!J12-'LISTRIK 2026'!I12</f>
        <v>14939.699999999953</v>
      </c>
      <c r="J12" s="54">
        <f>'LISTRIK 2026'!K12-'LISTRIK 2026'!J12</f>
        <v>9968.8999999999069</v>
      </c>
      <c r="K12" s="54">
        <f>'LISTRIK 2026'!L12-'LISTRIK 2026'!K12</f>
        <v>11958.800000000047</v>
      </c>
      <c r="L12" s="54">
        <f>'LISTRIK 2026'!M12-'LISTRIK 2026'!L12</f>
        <v>14328.199999999953</v>
      </c>
      <c r="M12" s="302"/>
    </row>
    <row r="13" spans="1:13" s="8" customFormat="1" ht="39.950000000000003" customHeight="1" x14ac:dyDescent="0.3">
      <c r="A13" s="357"/>
      <c r="B13" s="143" t="s">
        <v>165</v>
      </c>
      <c r="C13" s="370"/>
      <c r="D13" s="373"/>
      <c r="E13" s="382"/>
      <c r="F13" s="380"/>
      <c r="G13" s="253"/>
      <c r="H13" s="380"/>
      <c r="I13" s="54">
        <f>'LISTRIK 2026'!J13-'LISTRIK 2026'!I13</f>
        <v>8020.7000000000698</v>
      </c>
      <c r="J13" s="54">
        <f>'LISTRIK 2026'!K13-'LISTRIK 2026'!J13</f>
        <v>5476.5</v>
      </c>
      <c r="K13" s="54">
        <f>'LISTRIK 2026'!L13-'LISTRIK 2026'!K13</f>
        <v>6271.0999999999767</v>
      </c>
      <c r="L13" s="54">
        <f>'LISTRIK 2026'!M13-'LISTRIK 2026'!L13</f>
        <v>7814.1999999999534</v>
      </c>
      <c r="M13" s="302"/>
    </row>
    <row r="14" spans="1:13" s="8" customFormat="1" ht="39.950000000000003" customHeight="1" x14ac:dyDescent="0.3">
      <c r="A14" s="357"/>
      <c r="B14" s="143" t="s">
        <v>166</v>
      </c>
      <c r="C14" s="370"/>
      <c r="D14" s="373"/>
      <c r="E14" s="382"/>
      <c r="F14" s="244" t="s">
        <v>10</v>
      </c>
      <c r="G14" s="244" t="s">
        <v>255</v>
      </c>
      <c r="H14" s="244">
        <v>18072010604</v>
      </c>
      <c r="I14" s="54">
        <f>'LISTRIK 2026'!J14-'LISTRIK 2026'!I14</f>
        <v>0</v>
      </c>
      <c r="J14" s="54">
        <f>'LISTRIK 2026'!K14-'LISTRIK 2026'!J14</f>
        <v>1</v>
      </c>
      <c r="K14" s="54">
        <f>'LISTRIK 2026'!L14-'LISTRIK 2026'!K14</f>
        <v>0</v>
      </c>
      <c r="L14" s="54">
        <f>'LISTRIK 2026'!M14-'LISTRIK 2026'!L14</f>
        <v>0</v>
      </c>
      <c r="M14" s="302"/>
    </row>
    <row r="15" spans="1:13" s="8" customFormat="1" ht="39.950000000000003" customHeight="1" x14ac:dyDescent="0.3">
      <c r="A15" s="357"/>
      <c r="B15" s="162" t="s">
        <v>167</v>
      </c>
      <c r="C15" s="370"/>
      <c r="D15" s="373"/>
      <c r="E15" s="381" t="s">
        <v>22</v>
      </c>
      <c r="F15" s="383" t="s">
        <v>10</v>
      </c>
      <c r="G15" s="244" t="s">
        <v>261</v>
      </c>
      <c r="H15" s="385">
        <v>13132010735</v>
      </c>
      <c r="I15" s="54">
        <f>'LISTRIK 2026'!J15-'LISTRIK 2026'!I15</f>
        <v>43.300000000000182</v>
      </c>
      <c r="J15" s="54">
        <f>'LISTRIK 2026'!K15-'LISTRIK 2026'!J15</f>
        <v>40.799999999999727</v>
      </c>
      <c r="K15" s="54">
        <f>'LISTRIK 2026'!L15-'LISTRIK 2026'!K15</f>
        <v>46.099999999999909</v>
      </c>
      <c r="L15" s="54">
        <f>'LISTRIK 2026'!M15-'LISTRIK 2026'!L15</f>
        <v>40.699999999999818</v>
      </c>
      <c r="M15" s="302"/>
    </row>
    <row r="16" spans="1:13" s="8" customFormat="1" ht="39.950000000000003" customHeight="1" x14ac:dyDescent="0.3">
      <c r="A16" s="357"/>
      <c r="B16" s="296" t="s">
        <v>168</v>
      </c>
      <c r="C16" s="370"/>
      <c r="D16" s="373"/>
      <c r="E16" s="382"/>
      <c r="F16" s="379"/>
      <c r="G16" s="244" t="s">
        <v>261</v>
      </c>
      <c r="H16" s="386"/>
      <c r="I16" s="54">
        <f>'LISTRIK 2026'!J16-'LISTRIK 2026'!I16</f>
        <v>0.10000000000013642</v>
      </c>
      <c r="J16" s="54">
        <f>'LISTRIK 2026'!K16-'LISTRIK 2026'!J16</f>
        <v>0</v>
      </c>
      <c r="K16" s="54">
        <f>'LISTRIK 2026'!L16-'LISTRIK 2026'!K16</f>
        <v>0</v>
      </c>
      <c r="L16" s="54">
        <f>'LISTRIK 2026'!M16-'LISTRIK 2026'!L16</f>
        <v>0</v>
      </c>
      <c r="M16" s="302"/>
    </row>
    <row r="17" spans="1:13" s="8" customFormat="1" ht="39.950000000000003" customHeight="1" x14ac:dyDescent="0.3">
      <c r="A17" s="357"/>
      <c r="B17" s="143" t="s">
        <v>169</v>
      </c>
      <c r="C17" s="370"/>
      <c r="D17" s="373"/>
      <c r="E17" s="382"/>
      <c r="F17" s="379"/>
      <c r="G17" s="244" t="s">
        <v>261</v>
      </c>
      <c r="H17" s="387"/>
      <c r="I17" s="54">
        <f>'LISTRIK 2026'!J17-'LISTRIK 2026'!I17</f>
        <v>43.300000000000182</v>
      </c>
      <c r="J17" s="54">
        <f>'LISTRIK 2026'!K17-'LISTRIK 2026'!J17</f>
        <v>40.699999999999818</v>
      </c>
      <c r="K17" s="54">
        <f>'LISTRIK 2026'!L17-'LISTRIK 2026'!K17</f>
        <v>46.200000000000273</v>
      </c>
      <c r="L17" s="54">
        <f>'LISTRIK 2026'!M17-'LISTRIK 2026'!L17</f>
        <v>40.699999999999818</v>
      </c>
      <c r="M17" s="302"/>
    </row>
    <row r="18" spans="1:13" s="8" customFormat="1" ht="39.950000000000003" customHeight="1" x14ac:dyDescent="0.3">
      <c r="A18" s="357"/>
      <c r="B18" s="144" t="s">
        <v>205</v>
      </c>
      <c r="C18" s="371"/>
      <c r="D18" s="374"/>
      <c r="E18" s="384"/>
      <c r="F18" s="380"/>
      <c r="G18" s="243" t="s">
        <v>261</v>
      </c>
      <c r="H18" s="242">
        <v>15342010953</v>
      </c>
      <c r="I18" s="54">
        <f>'LISTRIK 2026'!J18-'LISTRIK 2026'!I18</f>
        <v>-0.70000000000000284</v>
      </c>
      <c r="J18" s="54">
        <f>'LISTRIK 2026'!K18-'LISTRIK 2026'!J18</f>
        <v>0</v>
      </c>
      <c r="K18" s="54">
        <f>'LISTRIK 2026'!L18-'LISTRIK 2026'!K18</f>
        <v>0</v>
      </c>
      <c r="L18" s="54">
        <f>'LISTRIK 2026'!M18-'LISTRIK 2026'!L18</f>
        <v>0.5</v>
      </c>
      <c r="M18" s="302"/>
    </row>
    <row r="19" spans="1:13" s="8" customFormat="1" ht="39.950000000000003" customHeight="1" x14ac:dyDescent="0.3">
      <c r="A19" s="20">
        <v>2</v>
      </c>
      <c r="B19" s="132" t="s">
        <v>299</v>
      </c>
      <c r="C19" s="166" t="s">
        <v>172</v>
      </c>
      <c r="D19" s="50" t="s">
        <v>292</v>
      </c>
      <c r="E19" s="21" t="s">
        <v>12</v>
      </c>
      <c r="F19" s="22" t="s">
        <v>10</v>
      </c>
      <c r="G19" s="22" t="s">
        <v>257</v>
      </c>
      <c r="H19" s="23" t="s">
        <v>297</v>
      </c>
      <c r="I19" s="54">
        <f>'LISTRIK 2026'!J19-'LISTRIK 2026'!I19</f>
        <v>7871</v>
      </c>
      <c r="J19" s="54">
        <f>'LISTRIK 2026'!K19-'LISTRIK 2026'!J19</f>
        <v>8259</v>
      </c>
      <c r="K19" s="54">
        <f>'LISTRIK 2026'!L19-'LISTRIK 2026'!K19</f>
        <v>9995</v>
      </c>
      <c r="L19" s="54">
        <f>'LISTRIK 2026'!M19-'LISTRIK 2026'!L19</f>
        <v>8999</v>
      </c>
      <c r="M19" s="302"/>
    </row>
    <row r="20" spans="1:13" s="8" customFormat="1" ht="39.950000000000003" customHeight="1" x14ac:dyDescent="0.3">
      <c r="A20" s="154">
        <v>3</v>
      </c>
      <c r="B20" s="160" t="s">
        <v>236</v>
      </c>
      <c r="C20" s="43" t="s">
        <v>8</v>
      </c>
      <c r="D20" s="45">
        <v>6</v>
      </c>
      <c r="E20" s="21" t="s">
        <v>237</v>
      </c>
      <c r="F20" s="22" t="s">
        <v>10</v>
      </c>
      <c r="G20" s="93" t="s">
        <v>251</v>
      </c>
      <c r="H20" s="94">
        <v>17202012200</v>
      </c>
      <c r="I20" s="54">
        <f>'LISTRIK 2026'!J20-'LISTRIK 2026'!I20</f>
        <v>7934</v>
      </c>
      <c r="J20" s="54">
        <f>'LISTRIK 2026'!K20-'LISTRIK 2026'!J20</f>
        <v>6726</v>
      </c>
      <c r="K20" s="54">
        <f>'LISTRIK 2026'!L20-'LISTRIK 2026'!K20</f>
        <v>7809</v>
      </c>
      <c r="L20" s="54">
        <f>'LISTRIK 2026'!M20-'LISTRIK 2026'!L20</f>
        <v>6641</v>
      </c>
      <c r="M20" s="266"/>
    </row>
    <row r="21" spans="1:13" s="8" customFormat="1" ht="39.950000000000003" customHeight="1" thickBot="1" x14ac:dyDescent="0.35">
      <c r="A21" s="358">
        <v>4</v>
      </c>
      <c r="B21" s="161" t="s">
        <v>329</v>
      </c>
      <c r="C21" s="166" t="s">
        <v>8</v>
      </c>
      <c r="D21" s="151" t="s">
        <v>328</v>
      </c>
      <c r="E21" s="21" t="s">
        <v>19</v>
      </c>
      <c r="F21" s="22" t="s">
        <v>10</v>
      </c>
      <c r="G21" s="93" t="s">
        <v>251</v>
      </c>
      <c r="H21" s="94"/>
      <c r="I21" s="54">
        <f>'LISTRIK 2026'!J21-'LISTRIK 2026'!I21</f>
        <v>4529</v>
      </c>
      <c r="J21" s="54">
        <f>'LISTRIK 2026'!K21-'LISTRIK 2026'!J21</f>
        <v>4100</v>
      </c>
      <c r="K21" s="54">
        <f>'LISTRIK 2026'!L21-'LISTRIK 2026'!K21</f>
        <v>4868</v>
      </c>
      <c r="L21" s="54">
        <f>'LISTRIK 2026'!M21-'LISTRIK 2026'!L21</f>
        <v>4172</v>
      </c>
      <c r="M21" s="266"/>
    </row>
    <row r="22" spans="1:13" s="8" customFormat="1" ht="39.950000000000003" customHeight="1" x14ac:dyDescent="0.3">
      <c r="A22" s="359"/>
      <c r="B22" s="297" t="s">
        <v>341</v>
      </c>
      <c r="C22" s="43" t="s">
        <v>21</v>
      </c>
      <c r="D22" s="151" t="s">
        <v>401</v>
      </c>
      <c r="E22" s="21" t="s">
        <v>19</v>
      </c>
      <c r="F22" s="22" t="s">
        <v>10</v>
      </c>
      <c r="G22" s="93" t="s">
        <v>251</v>
      </c>
      <c r="H22" s="94"/>
      <c r="I22" s="54">
        <f>'LISTRIK 2026'!J22-'LISTRIK 2026'!I22</f>
        <v>4128.7000000000044</v>
      </c>
      <c r="J22" s="54">
        <f>'LISTRIK 2026'!K22-'LISTRIK 2026'!J22</f>
        <v>3965.5999999999913</v>
      </c>
      <c r="K22" s="54">
        <f>'LISTRIK 2026'!L22-'LISTRIK 2026'!K22</f>
        <v>5404</v>
      </c>
      <c r="L22" s="54">
        <f>'LISTRIK 2026'!M22-'LISTRIK 2026'!L22</f>
        <v>4527.4000000000087</v>
      </c>
      <c r="M22" s="266"/>
    </row>
    <row r="23" spans="1:13" s="8" customFormat="1" ht="39.950000000000003" customHeight="1" x14ac:dyDescent="0.3">
      <c r="A23" s="270">
        <v>5</v>
      </c>
      <c r="B23" s="147" t="s">
        <v>268</v>
      </c>
      <c r="C23" s="43" t="s">
        <v>8</v>
      </c>
      <c r="D23" s="45">
        <v>27</v>
      </c>
      <c r="E23" s="21" t="s">
        <v>14</v>
      </c>
      <c r="F23" s="93" t="s">
        <v>10</v>
      </c>
      <c r="G23" s="93" t="s">
        <v>255</v>
      </c>
      <c r="H23" s="94" t="s">
        <v>272</v>
      </c>
      <c r="I23" s="54">
        <f>'LISTRIK 2026'!J23-'LISTRIK 2026'!I23</f>
        <v>7785.9</v>
      </c>
      <c r="J23" s="54">
        <f>'LISTRIK 2026'!K23-'LISTRIK 2026'!J23</f>
        <v>7727.6000000000022</v>
      </c>
      <c r="K23" s="54">
        <f>'LISTRIK 2026'!L23-'LISTRIK 2026'!K23</f>
        <v>8642.3999999999978</v>
      </c>
      <c r="L23" s="54">
        <f>'LISTRIK 2026'!M23-'LISTRIK 2026'!L23</f>
        <v>7348.2999999999993</v>
      </c>
      <c r="M23" s="266"/>
    </row>
    <row r="24" spans="1:13" s="8" customFormat="1" ht="39.950000000000003" customHeight="1" x14ac:dyDescent="0.3">
      <c r="A24" s="150">
        <v>6</v>
      </c>
      <c r="B24" s="272" t="s">
        <v>295</v>
      </c>
      <c r="C24" s="43" t="s">
        <v>8</v>
      </c>
      <c r="D24" s="45">
        <v>24</v>
      </c>
      <c r="E24" s="21" t="s">
        <v>9</v>
      </c>
      <c r="F24" s="93" t="s">
        <v>10</v>
      </c>
      <c r="G24" s="93" t="s">
        <v>251</v>
      </c>
      <c r="H24" s="45"/>
      <c r="I24" s="54">
        <f>'LISTRIK 2026'!J24-'LISTRIK 2026'!I24</f>
        <v>1788</v>
      </c>
      <c r="J24" s="54">
        <f>'LISTRIK 2026'!K24-'LISTRIK 2026'!J24</f>
        <v>1676</v>
      </c>
      <c r="K24" s="54">
        <f>'LISTRIK 2026'!L24-'LISTRIK 2026'!K24</f>
        <v>1972</v>
      </c>
      <c r="L24" s="54">
        <f>'LISTRIK 2026'!M24-'LISTRIK 2026'!L24</f>
        <v>1825</v>
      </c>
      <c r="M24" s="266"/>
    </row>
    <row r="25" spans="1:13" s="8" customFormat="1" ht="39.950000000000003" customHeight="1" x14ac:dyDescent="0.3">
      <c r="A25" s="360">
        <v>7</v>
      </c>
      <c r="B25" s="147" t="s">
        <v>301</v>
      </c>
      <c r="C25" s="43" t="s">
        <v>8</v>
      </c>
      <c r="D25" s="334" t="s">
        <v>304</v>
      </c>
      <c r="E25" s="111" t="s">
        <v>305</v>
      </c>
      <c r="F25" s="93" t="s">
        <v>10</v>
      </c>
      <c r="G25" s="93" t="s">
        <v>251</v>
      </c>
      <c r="H25" s="94" t="s">
        <v>306</v>
      </c>
      <c r="I25" s="54">
        <f>'LISTRIK 2026'!J25-'LISTRIK 2026'!I25</f>
        <v>8497.6000000000058</v>
      </c>
      <c r="J25" s="54">
        <f>'LISTRIK 2026'!K25-'LISTRIK 2026'!J25</f>
        <v>7777.8999999999942</v>
      </c>
      <c r="K25" s="54">
        <f>'LISTRIK 2026'!L25-'LISTRIK 2026'!K25</f>
        <v>9124.3000000000175</v>
      </c>
      <c r="L25" s="54">
        <f>'LISTRIK 2026'!M25-'LISTRIK 2026'!L25</f>
        <v>0</v>
      </c>
      <c r="M25" s="266"/>
    </row>
    <row r="26" spans="1:13" s="8" customFormat="1" ht="39.950000000000003" customHeight="1" x14ac:dyDescent="0.3">
      <c r="A26" s="361"/>
      <c r="B26" s="147" t="s">
        <v>301</v>
      </c>
      <c r="C26" s="333" t="s">
        <v>8</v>
      </c>
      <c r="D26" s="334" t="s">
        <v>304</v>
      </c>
      <c r="E26" s="111"/>
      <c r="F26" s="93"/>
      <c r="G26" s="93"/>
      <c r="H26" s="94"/>
      <c r="I26" s="54"/>
      <c r="J26" s="54"/>
      <c r="K26" s="54">
        <f>'LISTRIK 2026'!L26-'LISTRIK 2026'!K26</f>
        <v>0.6</v>
      </c>
      <c r="L26" s="54">
        <f>'LISTRIK 2026'!M26-'LISTRIK 2026'!L26</f>
        <v>2580.1</v>
      </c>
      <c r="M26" s="266"/>
    </row>
    <row r="27" spans="1:13" s="8" customFormat="1" ht="39.950000000000003" customHeight="1" x14ac:dyDescent="0.3">
      <c r="A27" s="360">
        <v>8</v>
      </c>
      <c r="B27" s="147" t="s">
        <v>324</v>
      </c>
      <c r="C27" s="367" t="s">
        <v>8</v>
      </c>
      <c r="D27" s="349" t="s">
        <v>402</v>
      </c>
      <c r="E27" s="111"/>
      <c r="F27" s="253" t="s">
        <v>20</v>
      </c>
      <c r="G27" s="93"/>
      <c r="H27" s="94">
        <v>214152054</v>
      </c>
      <c r="I27" s="54">
        <f>'LISTRIK 2026'!J27-'LISTRIK 2026'!I27</f>
        <v>927.09999999999854</v>
      </c>
      <c r="J27" s="54">
        <f>'LISTRIK 2026'!K27-'LISTRIK 2026'!J27</f>
        <v>761.20000000000437</v>
      </c>
      <c r="K27" s="54">
        <f>'LISTRIK 2026'!L27-'LISTRIK 2026'!K27</f>
        <v>925.69999999999709</v>
      </c>
      <c r="L27" s="54">
        <f>'LISTRIK 2026'!M27-'LISTRIK 2026'!L27</f>
        <v>848.90000000000146</v>
      </c>
      <c r="M27" s="266"/>
    </row>
    <row r="28" spans="1:13" s="8" customFormat="1" ht="39.950000000000003" customHeight="1" x14ac:dyDescent="0.3">
      <c r="A28" s="362"/>
      <c r="B28" s="272" t="s">
        <v>325</v>
      </c>
      <c r="C28" s="368"/>
      <c r="D28" s="350"/>
      <c r="E28" s="111"/>
      <c r="F28" s="244"/>
      <c r="G28" s="93"/>
      <c r="H28" s="94"/>
      <c r="I28" s="54">
        <f>'LISTRIK 2026'!J28-'LISTRIK 2026'!I28</f>
        <v>272</v>
      </c>
      <c r="J28" s="54">
        <f>'LISTRIK 2026'!K28-'LISTRIK 2026'!J28</f>
        <v>242</v>
      </c>
      <c r="K28" s="54">
        <f>'LISTRIK 2026'!L28-'LISTRIK 2026'!K28</f>
        <v>221</v>
      </c>
      <c r="L28" s="54">
        <f>'LISTRIK 2026'!M28-'LISTRIK 2026'!L28</f>
        <v>357</v>
      </c>
      <c r="M28" s="266"/>
    </row>
    <row r="29" spans="1:13" s="8" customFormat="1" ht="39.950000000000003" customHeight="1" x14ac:dyDescent="0.3">
      <c r="A29" s="360">
        <v>9</v>
      </c>
      <c r="B29" s="272" t="s">
        <v>361</v>
      </c>
      <c r="C29" s="43" t="s">
        <v>8</v>
      </c>
      <c r="D29" s="45"/>
      <c r="E29" s="111"/>
      <c r="F29" s="244"/>
      <c r="G29" s="93"/>
      <c r="H29" s="94"/>
      <c r="I29" s="54">
        <f>'LISTRIK 2026'!J29-'LISTRIK 2026'!I29</f>
        <v>1157</v>
      </c>
      <c r="J29" s="54">
        <f>'LISTRIK 2026'!K29-'LISTRIK 2026'!J29</f>
        <v>1019</v>
      </c>
      <c r="K29" s="54">
        <f>'LISTRIK 2026'!L29-'LISTRIK 2026'!K29</f>
        <v>1222</v>
      </c>
      <c r="L29" s="54">
        <f>'LISTRIK 2026'!M29-'LISTRIK 2026'!L29</f>
        <v>1079</v>
      </c>
      <c r="M29" s="266"/>
    </row>
    <row r="30" spans="1:13" s="8" customFormat="1" ht="39.950000000000003" customHeight="1" x14ac:dyDescent="0.3">
      <c r="A30" s="361"/>
      <c r="B30" s="272" t="s">
        <v>366</v>
      </c>
      <c r="C30" s="43"/>
      <c r="D30" s="45"/>
      <c r="E30" s="111"/>
      <c r="F30" s="244"/>
      <c r="G30" s="93"/>
      <c r="H30" s="94"/>
      <c r="I30" s="54">
        <f>'LISTRIK 2026'!J30-'LISTRIK 2026'!I30</f>
        <v>616.40000000000055</v>
      </c>
      <c r="J30" s="54">
        <f>'LISTRIK 2026'!K30-'LISTRIK 2026'!J30</f>
        <v>553.59999999999945</v>
      </c>
      <c r="K30" s="54">
        <f>'LISTRIK 2026'!L30-'LISTRIK 2026'!K30</f>
        <v>652.60000000000036</v>
      </c>
      <c r="L30" s="54">
        <f>'LISTRIK 2026'!M30-'LISTRIK 2026'!L30</f>
        <v>562.80000000000018</v>
      </c>
      <c r="M30" s="266"/>
    </row>
    <row r="31" spans="1:13" s="8" customFormat="1" ht="39.950000000000003" customHeight="1" x14ac:dyDescent="0.3">
      <c r="A31" s="353">
        <v>10</v>
      </c>
      <c r="B31" s="126" t="s">
        <v>84</v>
      </c>
      <c r="C31" s="258" t="s">
        <v>8</v>
      </c>
      <c r="D31" s="247" t="s">
        <v>11</v>
      </c>
      <c r="E31" s="250" t="s">
        <v>12</v>
      </c>
      <c r="F31" s="244" t="s">
        <v>10</v>
      </c>
      <c r="G31" s="244" t="s">
        <v>257</v>
      </c>
      <c r="H31" s="244">
        <v>13262012720</v>
      </c>
      <c r="I31" s="54">
        <f>'LISTRIK 2026'!J31-'LISTRIK 2026'!I31</f>
        <v>3581</v>
      </c>
      <c r="J31" s="54">
        <f>'LISTRIK 2026'!K31-'LISTRIK 2026'!J31</f>
        <v>3098</v>
      </c>
      <c r="K31" s="54">
        <f>'LISTRIK 2026'!L31-'LISTRIK 2026'!K31</f>
        <v>3892</v>
      </c>
      <c r="L31" s="54">
        <f>'LISTRIK 2026'!M31-'LISTRIK 2026'!L31</f>
        <v>3183</v>
      </c>
      <c r="M31" s="266"/>
    </row>
    <row r="32" spans="1:13" s="8" customFormat="1" ht="39.950000000000003" customHeight="1" x14ac:dyDescent="0.3">
      <c r="A32" s="354"/>
      <c r="B32" s="126" t="s">
        <v>286</v>
      </c>
      <c r="C32" s="257" t="s">
        <v>287</v>
      </c>
      <c r="D32" s="247"/>
      <c r="E32" s="250" t="s">
        <v>16</v>
      </c>
      <c r="F32" s="244" t="s">
        <v>10</v>
      </c>
      <c r="G32" s="244" t="s">
        <v>258</v>
      </c>
      <c r="H32" s="244" t="s">
        <v>177</v>
      </c>
      <c r="I32" s="54">
        <f>'LISTRIK 2026'!J32-'LISTRIK 2026'!I32</f>
        <v>654.60000000000036</v>
      </c>
      <c r="J32" s="54">
        <f>'LISTRIK 2026'!K32-'LISTRIK 2026'!J32</f>
        <v>594.79999999999927</v>
      </c>
      <c r="K32" s="54">
        <f>'LISTRIK 2026'!L32-'LISTRIK 2026'!K32</f>
        <v>675.80000000000109</v>
      </c>
      <c r="L32" s="54">
        <f>'LISTRIK 2026'!M32-'LISTRIK 2026'!L32</f>
        <v>599.59999999999854</v>
      </c>
      <c r="M32" s="266"/>
    </row>
    <row r="33" spans="1:14" s="8" customFormat="1" ht="39.950000000000003" customHeight="1" x14ac:dyDescent="0.3">
      <c r="A33" s="355">
        <v>11</v>
      </c>
      <c r="B33" s="272" t="s">
        <v>85</v>
      </c>
      <c r="C33" s="256" t="s">
        <v>8</v>
      </c>
      <c r="D33" s="247" t="s">
        <v>13</v>
      </c>
      <c r="E33" s="250" t="s">
        <v>367</v>
      </c>
      <c r="F33" s="244" t="s">
        <v>20</v>
      </c>
      <c r="G33" s="244"/>
      <c r="H33" s="252" t="s">
        <v>368</v>
      </c>
      <c r="I33" s="54">
        <f>'LISTRIK 2026'!J33-'LISTRIK 2026'!I33</f>
        <v>7603.2000000000007</v>
      </c>
      <c r="J33" s="54">
        <f>'LISTRIK 2026'!K33-'LISTRIK 2026'!J33</f>
        <v>6374.0999999999985</v>
      </c>
      <c r="K33" s="54">
        <f>'LISTRIK 2026'!L33-'LISTRIK 2026'!K33</f>
        <v>8009.0999999999985</v>
      </c>
      <c r="L33" s="54">
        <f>'LISTRIK 2026'!M33-'LISTRIK 2026'!L33</f>
        <v>6730.4000000000015</v>
      </c>
      <c r="M33" s="266"/>
    </row>
    <row r="34" spans="1:14" s="8" customFormat="1" ht="39.950000000000003" customHeight="1" x14ac:dyDescent="0.3">
      <c r="A34" s="354"/>
      <c r="B34" s="298" t="s">
        <v>342</v>
      </c>
      <c r="C34" s="263" t="s">
        <v>91</v>
      </c>
      <c r="D34" s="247" t="s">
        <v>92</v>
      </c>
      <c r="E34" s="250" t="s">
        <v>16</v>
      </c>
      <c r="F34" s="244" t="s">
        <v>10</v>
      </c>
      <c r="G34" s="244" t="s">
        <v>258</v>
      </c>
      <c r="H34" s="252">
        <v>11123311334</v>
      </c>
      <c r="I34" s="54">
        <f>'LISTRIK 2026'!J34-'LISTRIK 2026'!I34</f>
        <v>918.5</v>
      </c>
      <c r="J34" s="54">
        <f>'LISTRIK 2026'!K34-'LISTRIK 2026'!J34</f>
        <v>816.19999999999709</v>
      </c>
      <c r="K34" s="54">
        <f>'LISTRIK 2026'!L34-'LISTRIK 2026'!K34</f>
        <v>939</v>
      </c>
      <c r="L34" s="54">
        <f>'LISTRIK 2026'!M34-'LISTRIK 2026'!L34</f>
        <v>828.09999999999854</v>
      </c>
      <c r="M34" s="266"/>
    </row>
    <row r="35" spans="1:14" s="8" customFormat="1" ht="39.950000000000003" customHeight="1" x14ac:dyDescent="0.3">
      <c r="A35" s="260">
        <v>12</v>
      </c>
      <c r="B35" s="272" t="s">
        <v>216</v>
      </c>
      <c r="C35" s="263" t="s">
        <v>8</v>
      </c>
      <c r="D35" s="247">
        <v>9</v>
      </c>
      <c r="E35" s="254" t="s">
        <v>17</v>
      </c>
      <c r="F35" s="244" t="s">
        <v>10</v>
      </c>
      <c r="G35" s="244" t="s">
        <v>251</v>
      </c>
      <c r="H35" s="252"/>
      <c r="I35" s="54">
        <f>'LISTRIK 2026'!J35-'LISTRIK 2026'!I35</f>
        <v>2624</v>
      </c>
      <c r="J35" s="54">
        <f>'LISTRIK 2026'!K35-'LISTRIK 2026'!J35</f>
        <v>2413</v>
      </c>
      <c r="K35" s="54">
        <f>'LISTRIK 2026'!L35-'LISTRIK 2026'!K35</f>
        <v>2734</v>
      </c>
      <c r="L35" s="54">
        <f>'LISTRIK 2026'!M35-'LISTRIK 2026'!L35</f>
        <v>2436</v>
      </c>
      <c r="M35" s="266"/>
    </row>
    <row r="36" spans="1:14" s="8" customFormat="1" ht="39.950000000000003" customHeight="1" x14ac:dyDescent="0.3">
      <c r="A36" s="262">
        <v>13</v>
      </c>
      <c r="B36" s="272" t="s">
        <v>86</v>
      </c>
      <c r="C36" s="263" t="s">
        <v>8</v>
      </c>
      <c r="D36" s="48" t="s">
        <v>147</v>
      </c>
      <c r="E36" s="254" t="s">
        <v>17</v>
      </c>
      <c r="F36" s="24" t="s">
        <v>10</v>
      </c>
      <c r="G36" s="244" t="s">
        <v>251</v>
      </c>
      <c r="H36" s="253">
        <v>17272011265</v>
      </c>
      <c r="I36" s="54">
        <f>'LISTRIK 2026'!J36-'LISTRIK 2026'!I36</f>
        <v>2969</v>
      </c>
      <c r="J36" s="54">
        <f>'LISTRIK 2026'!K36-'LISTRIK 2026'!J36</f>
        <v>2683</v>
      </c>
      <c r="K36" s="54">
        <f>'LISTRIK 2026'!L36-'LISTRIK 2026'!K36</f>
        <v>3187</v>
      </c>
      <c r="L36" s="54">
        <f>'LISTRIK 2026'!M36-'LISTRIK 2026'!L36</f>
        <v>2954</v>
      </c>
      <c r="M36" s="266"/>
    </row>
    <row r="37" spans="1:14" s="8" customFormat="1" ht="39.950000000000003" customHeight="1" x14ac:dyDescent="0.3">
      <c r="A37" s="260">
        <v>14</v>
      </c>
      <c r="B37" s="271" t="s">
        <v>106</v>
      </c>
      <c r="C37" s="256" t="s">
        <v>8</v>
      </c>
      <c r="D37" s="267">
        <v>11</v>
      </c>
      <c r="E37" s="248" t="s">
        <v>71</v>
      </c>
      <c r="F37" s="242" t="s">
        <v>20</v>
      </c>
      <c r="G37" s="253"/>
      <c r="H37" s="252" t="s">
        <v>202</v>
      </c>
      <c r="I37" s="54">
        <f>'LISTRIK 2026'!J37-'LISTRIK 2026'!I37</f>
        <v>1352.3000000000029</v>
      </c>
      <c r="J37" s="54">
        <f>'LISTRIK 2026'!K37-'LISTRIK 2026'!J37</f>
        <v>1193</v>
      </c>
      <c r="K37" s="54">
        <f>'LISTRIK 2026'!L37-'LISTRIK 2026'!K37</f>
        <v>1349.8000000000029</v>
      </c>
      <c r="L37" s="54">
        <f>'LISTRIK 2026'!M37-'LISTRIK 2026'!L37</f>
        <v>1274.1999999999971</v>
      </c>
      <c r="M37" s="303"/>
    </row>
    <row r="38" spans="1:14" s="8" customFormat="1" ht="39.950000000000003" customHeight="1" x14ac:dyDescent="0.3">
      <c r="A38" s="262">
        <v>15</v>
      </c>
      <c r="B38" s="143" t="s">
        <v>87</v>
      </c>
      <c r="C38" s="263" t="s">
        <v>8</v>
      </c>
      <c r="D38" s="255" t="s">
        <v>18</v>
      </c>
      <c r="E38" s="254" t="s">
        <v>19</v>
      </c>
      <c r="F38" s="253" t="s">
        <v>10</v>
      </c>
      <c r="G38" s="253" t="s">
        <v>254</v>
      </c>
      <c r="H38" s="244">
        <v>13152011170</v>
      </c>
      <c r="I38" s="54">
        <f>'LISTRIK 2026'!J38-'LISTRIK 2026'!I38</f>
        <v>5488</v>
      </c>
      <c r="J38" s="54">
        <f>'LISTRIK 2026'!K38-'LISTRIK 2026'!J38</f>
        <v>5007</v>
      </c>
      <c r="K38" s="54">
        <f>'LISTRIK 2026'!L38-'LISTRIK 2026'!K38</f>
        <v>6038</v>
      </c>
      <c r="L38" s="54">
        <f>'LISTRIK 2026'!M38-'LISTRIK 2026'!L38</f>
        <v>5244</v>
      </c>
      <c r="M38" s="37"/>
    </row>
    <row r="39" spans="1:14" s="8" customFormat="1" ht="39.950000000000003" customHeight="1" x14ac:dyDescent="0.3">
      <c r="A39" s="353">
        <v>16</v>
      </c>
      <c r="B39" s="143" t="s">
        <v>318</v>
      </c>
      <c r="C39" s="263" t="s">
        <v>8</v>
      </c>
      <c r="D39" s="255">
        <v>13</v>
      </c>
      <c r="E39" s="254" t="s">
        <v>17</v>
      </c>
      <c r="F39" s="242" t="s">
        <v>20</v>
      </c>
      <c r="G39" s="244"/>
      <c r="H39" s="148" t="s">
        <v>326</v>
      </c>
      <c r="I39" s="54">
        <f>'LISTRIK 2026'!J39-'LISTRIK 2026'!I39</f>
        <v>3400.9000000000087</v>
      </c>
      <c r="J39" s="54">
        <f>'LISTRIK 2026'!K39-'LISTRIK 2026'!J39</f>
        <v>3023.5</v>
      </c>
      <c r="K39" s="54">
        <f>'LISTRIK 2026'!L39-'LISTRIK 2026'!K39</f>
        <v>3308</v>
      </c>
      <c r="L39" s="54">
        <f>'LISTRIK 2026'!M39-'LISTRIK 2026'!L39</f>
        <v>2868.1999999999971</v>
      </c>
      <c r="M39" s="266"/>
    </row>
    <row r="40" spans="1:14" s="8" customFormat="1" ht="39.950000000000003" customHeight="1" x14ac:dyDescent="0.3">
      <c r="A40" s="354"/>
      <c r="B40" s="144" t="s">
        <v>358</v>
      </c>
      <c r="C40" s="263"/>
      <c r="D40" s="255"/>
      <c r="E40" s="254"/>
      <c r="F40" s="242"/>
      <c r="G40" s="244"/>
      <c r="H40" s="148"/>
      <c r="I40" s="54">
        <f>'LISTRIK 2026'!J40-'LISTRIK 2026'!I40</f>
        <v>1088</v>
      </c>
      <c r="J40" s="54">
        <f>'LISTRIK 2026'!K40-'LISTRIK 2026'!J40</f>
        <v>901</v>
      </c>
      <c r="K40" s="54">
        <f>'LISTRIK 2026'!L40-'LISTRIK 2026'!K40</f>
        <v>1324</v>
      </c>
      <c r="L40" s="54">
        <f>'LISTRIK 2026'!M40-'LISTRIK 2026'!L40</f>
        <v>982</v>
      </c>
      <c r="M40" s="266"/>
    </row>
    <row r="41" spans="1:14" s="8" customFormat="1" ht="39.950000000000003" customHeight="1" x14ac:dyDescent="0.3">
      <c r="A41" s="259">
        <v>17</v>
      </c>
      <c r="B41" s="143" t="s">
        <v>220</v>
      </c>
      <c r="C41" s="263" t="s">
        <v>8</v>
      </c>
      <c r="D41" s="255">
        <v>16</v>
      </c>
      <c r="E41" s="254" t="s">
        <v>9</v>
      </c>
      <c r="F41" s="253" t="s">
        <v>10</v>
      </c>
      <c r="G41" s="244" t="s">
        <v>251</v>
      </c>
      <c r="H41" s="244"/>
      <c r="I41" s="54">
        <f>'LISTRIK 2026'!J41-'LISTRIK 2026'!I41</f>
        <v>1411</v>
      </c>
      <c r="J41" s="54">
        <f>'LISTRIK 2026'!K41-'LISTRIK 2026'!J41</f>
        <v>1239</v>
      </c>
      <c r="K41" s="54">
        <f>'LISTRIK 2026'!L41-'LISTRIK 2026'!K41</f>
        <v>1433</v>
      </c>
      <c r="L41" s="54">
        <f>'LISTRIK 2026'!M41-'LISTRIK 2026'!L41</f>
        <v>1246</v>
      </c>
      <c r="M41" s="266"/>
      <c r="N41" s="286"/>
    </row>
    <row r="42" spans="1:14" s="8" customFormat="1" ht="39.950000000000003" customHeight="1" x14ac:dyDescent="0.3">
      <c r="A42" s="353">
        <v>18</v>
      </c>
      <c r="B42" s="143" t="s">
        <v>88</v>
      </c>
      <c r="C42" s="263" t="s">
        <v>8</v>
      </c>
      <c r="D42" s="24" t="s">
        <v>90</v>
      </c>
      <c r="E42" s="254" t="s">
        <v>14</v>
      </c>
      <c r="F42" s="253" t="s">
        <v>20</v>
      </c>
      <c r="G42" s="244"/>
      <c r="H42" s="252">
        <v>717441052</v>
      </c>
      <c r="I42" s="54">
        <f>'LISTRIK 2026'!J42-'LISTRIK 2026'!I42</f>
        <v>2246.9000000000233</v>
      </c>
      <c r="J42" s="54">
        <f>'LISTRIK 2026'!K42-'LISTRIK 2026'!J42</f>
        <v>1932.4000000000233</v>
      </c>
      <c r="K42" s="54">
        <f>'LISTRIK 2026'!L42-'LISTRIK 2026'!K42</f>
        <v>2041.6999999999534</v>
      </c>
      <c r="L42" s="54">
        <f>'LISTRIK 2026'!M42-'LISTRIK 2026'!L42</f>
        <v>2021.3000000000466</v>
      </c>
      <c r="M42" s="266"/>
    </row>
    <row r="43" spans="1:14" s="8" customFormat="1" ht="39.950000000000003" customHeight="1" x14ac:dyDescent="0.3">
      <c r="A43" s="354"/>
      <c r="B43" s="126" t="s">
        <v>89</v>
      </c>
      <c r="C43" s="258" t="s">
        <v>120</v>
      </c>
      <c r="D43" s="269" t="s">
        <v>120</v>
      </c>
      <c r="E43" s="250" t="s">
        <v>22</v>
      </c>
      <c r="F43" s="244" t="s">
        <v>10</v>
      </c>
      <c r="G43" s="244" t="s">
        <v>258</v>
      </c>
      <c r="H43" s="244">
        <v>11183313009</v>
      </c>
      <c r="I43" s="54">
        <f>'LISTRIK 2026'!J43-'LISTRIK 2026'!I43</f>
        <v>11.5</v>
      </c>
      <c r="J43" s="54">
        <f>'LISTRIK 2026'!K43-'LISTRIK 2026'!J43</f>
        <v>10.700000000000045</v>
      </c>
      <c r="K43" s="54">
        <f>'LISTRIK 2026'!L43-'LISTRIK 2026'!K43</f>
        <v>12.099999999999909</v>
      </c>
      <c r="L43" s="54">
        <f>'LISTRIK 2026'!M43-'LISTRIK 2026'!L43</f>
        <v>11</v>
      </c>
      <c r="M43" s="266"/>
    </row>
    <row r="44" spans="1:14" s="8" customFormat="1" ht="39.950000000000003" customHeight="1" x14ac:dyDescent="0.3">
      <c r="A44" s="353">
        <v>19</v>
      </c>
      <c r="B44" s="143" t="s">
        <v>170</v>
      </c>
      <c r="C44" s="256" t="s">
        <v>8</v>
      </c>
      <c r="D44" s="267">
        <v>20</v>
      </c>
      <c r="E44" s="249" t="s">
        <v>171</v>
      </c>
      <c r="F44" s="242" t="s">
        <v>10</v>
      </c>
      <c r="G44" s="253" t="s">
        <v>251</v>
      </c>
      <c r="H44" s="244">
        <v>17272011868</v>
      </c>
      <c r="I44" s="54">
        <f>'LISTRIK 2026'!J44-'LISTRIK 2026'!I44</f>
        <v>2897</v>
      </c>
      <c r="J44" s="54">
        <f>'LISTRIK 2026'!K44-'LISTRIK 2026'!J44</f>
        <v>2565</v>
      </c>
      <c r="K44" s="54">
        <f>'LISTRIK 2026'!L44-'LISTRIK 2026'!K44</f>
        <v>2955</v>
      </c>
      <c r="L44" s="54">
        <f>'LISTRIK 2026'!M44-'LISTRIK 2026'!L44</f>
        <v>2459</v>
      </c>
      <c r="M44" s="266"/>
    </row>
    <row r="45" spans="1:14" s="8" customFormat="1" ht="39.950000000000003" customHeight="1" x14ac:dyDescent="0.3">
      <c r="A45" s="354"/>
      <c r="B45" s="143" t="s">
        <v>173</v>
      </c>
      <c r="C45" s="256" t="s">
        <v>120</v>
      </c>
      <c r="D45" s="267" t="s">
        <v>120</v>
      </c>
      <c r="E45" s="254" t="s">
        <v>22</v>
      </c>
      <c r="F45" s="242" t="s">
        <v>10</v>
      </c>
      <c r="G45" s="243" t="s">
        <v>258</v>
      </c>
      <c r="H45" s="244" t="s">
        <v>177</v>
      </c>
      <c r="I45" s="54">
        <f>'LISTRIK 2026'!J45-'LISTRIK 2026'!I45</f>
        <v>18.900000000000091</v>
      </c>
      <c r="J45" s="54">
        <f>'LISTRIK 2026'!K45-'LISTRIK 2026'!J45</f>
        <v>18.699999999999818</v>
      </c>
      <c r="K45" s="54">
        <f>'LISTRIK 2026'!L45-'LISTRIK 2026'!K45</f>
        <v>20.300000000000182</v>
      </c>
      <c r="L45" s="54">
        <f>'LISTRIK 2026'!M45-'LISTRIK 2026'!L45</f>
        <v>18.400000000000091</v>
      </c>
      <c r="M45" s="266"/>
    </row>
    <row r="46" spans="1:14" s="8" customFormat="1" ht="39.950000000000003" customHeight="1" x14ac:dyDescent="0.3">
      <c r="A46" s="353">
        <v>20</v>
      </c>
      <c r="B46" s="144" t="s">
        <v>227</v>
      </c>
      <c r="C46" s="32" t="s">
        <v>8</v>
      </c>
      <c r="D46" s="267">
        <v>21</v>
      </c>
      <c r="E46" s="249" t="s">
        <v>171</v>
      </c>
      <c r="F46" s="242" t="s">
        <v>10</v>
      </c>
      <c r="G46" s="242" t="s">
        <v>251</v>
      </c>
      <c r="H46" s="253"/>
      <c r="I46" s="54">
        <f>'LISTRIK 2026'!J46-'LISTRIK 2026'!I46</f>
        <v>5586</v>
      </c>
      <c r="J46" s="54">
        <f>'LISTRIK 2026'!K46-'LISTRIK 2026'!J46</f>
        <v>4924</v>
      </c>
      <c r="K46" s="54">
        <f>'LISTRIK 2026'!L46-'LISTRIK 2026'!K46</f>
        <v>5564</v>
      </c>
      <c r="L46" s="54">
        <f>'LISTRIK 2026'!M46-'LISTRIK 2026'!L46</f>
        <v>5187</v>
      </c>
      <c r="M46" s="37"/>
    </row>
    <row r="47" spans="1:14" s="8" customFormat="1" ht="39.950000000000003" customHeight="1" x14ac:dyDescent="0.3">
      <c r="A47" s="355"/>
      <c r="B47" s="144" t="s">
        <v>229</v>
      </c>
      <c r="C47" s="256" t="s">
        <v>120</v>
      </c>
      <c r="D47" s="267" t="s">
        <v>120</v>
      </c>
      <c r="E47" s="254" t="s">
        <v>22</v>
      </c>
      <c r="F47" s="242" t="s">
        <v>10</v>
      </c>
      <c r="G47" s="253" t="s">
        <v>258</v>
      </c>
      <c r="H47" s="253"/>
      <c r="I47" s="54">
        <f>'LISTRIK 2026'!J47-'LISTRIK 2026'!I47</f>
        <v>11.300000000000068</v>
      </c>
      <c r="J47" s="54">
        <f>'LISTRIK 2026'!K47-'LISTRIK 2026'!J47</f>
        <v>10.199999999999932</v>
      </c>
      <c r="K47" s="54">
        <f>'LISTRIK 2026'!L47-'LISTRIK 2026'!K47</f>
        <v>11.400000000000091</v>
      </c>
      <c r="L47" s="54">
        <f>'LISTRIK 2026'!M47-'LISTRIK 2026'!L47</f>
        <v>10.099999999999909</v>
      </c>
      <c r="M47" s="37"/>
    </row>
    <row r="48" spans="1:14" s="8" customFormat="1" ht="39.950000000000003" customHeight="1" x14ac:dyDescent="0.3">
      <c r="A48" s="262">
        <v>21</v>
      </c>
      <c r="B48" s="144" t="s">
        <v>105</v>
      </c>
      <c r="C48" s="256" t="s">
        <v>8</v>
      </c>
      <c r="D48" s="245" t="s">
        <v>97</v>
      </c>
      <c r="E48" s="248" t="s">
        <v>12</v>
      </c>
      <c r="F48" s="242" t="s">
        <v>10</v>
      </c>
      <c r="G48" s="242" t="s">
        <v>263</v>
      </c>
      <c r="H48" s="242">
        <v>13362010868</v>
      </c>
      <c r="I48" s="54">
        <f>'LISTRIK 2026'!J48-'LISTRIK 2026'!I48</f>
        <v>5815</v>
      </c>
      <c r="J48" s="54">
        <f>'LISTRIK 2026'!K48-'LISTRIK 2026'!J48</f>
        <v>5322</v>
      </c>
      <c r="K48" s="54">
        <f>'LISTRIK 2026'!L48-'LISTRIK 2026'!K48</f>
        <v>5612</v>
      </c>
      <c r="L48" s="54">
        <f>'LISTRIK 2026'!M48-'LISTRIK 2026'!L48</f>
        <v>3032</v>
      </c>
      <c r="M48" s="265"/>
    </row>
    <row r="49" spans="1:13" s="8" customFormat="1" ht="39.950000000000003" customHeight="1" x14ac:dyDescent="0.3">
      <c r="A49" s="353">
        <v>22</v>
      </c>
      <c r="B49" s="144" t="s">
        <v>271</v>
      </c>
      <c r="C49" s="263"/>
      <c r="D49" s="245"/>
      <c r="E49" s="248" t="s">
        <v>17</v>
      </c>
      <c r="F49" s="242" t="s">
        <v>10</v>
      </c>
      <c r="G49" s="242" t="s">
        <v>251</v>
      </c>
      <c r="H49" s="242"/>
      <c r="I49" s="54">
        <f>'LISTRIK 2026'!J49-'LISTRIK 2026'!I49</f>
        <v>4749</v>
      </c>
      <c r="J49" s="54">
        <f>'LISTRIK 2026'!K49-'LISTRIK 2026'!J49</f>
        <v>4051</v>
      </c>
      <c r="K49" s="54">
        <f>'LISTRIK 2026'!L49-'LISTRIK 2026'!K49</f>
        <v>4564</v>
      </c>
      <c r="L49" s="54">
        <f>'LISTRIK 2026'!M49-'LISTRIK 2026'!L49</f>
        <v>3496</v>
      </c>
      <c r="M49" s="265"/>
    </row>
    <row r="50" spans="1:13" s="8" customFormat="1" ht="39.950000000000003" customHeight="1" x14ac:dyDescent="0.3">
      <c r="A50" s="354"/>
      <c r="B50" s="143" t="s">
        <v>219</v>
      </c>
      <c r="C50" s="257" t="s">
        <v>40</v>
      </c>
      <c r="D50" s="245"/>
      <c r="E50" s="248" t="s">
        <v>71</v>
      </c>
      <c r="F50" s="242" t="s">
        <v>10</v>
      </c>
      <c r="G50" s="242" t="s">
        <v>251</v>
      </c>
      <c r="H50" s="242"/>
      <c r="I50" s="54">
        <f>'LISTRIK 2026'!J50-'LISTRIK 2026'!I50</f>
        <v>1626</v>
      </c>
      <c r="J50" s="54">
        <f>'LISTRIK 2026'!K50-'LISTRIK 2026'!J50</f>
        <v>1319</v>
      </c>
      <c r="K50" s="54">
        <f>'LISTRIK 2026'!L50-'LISTRIK 2026'!K50</f>
        <v>1799</v>
      </c>
      <c r="L50" s="54">
        <f>'LISTRIK 2026'!M50-'LISTRIK 2026'!L50</f>
        <v>1425</v>
      </c>
      <c r="M50" s="265"/>
    </row>
    <row r="51" spans="1:13" s="8" customFormat="1" ht="39.950000000000003" customHeight="1" x14ac:dyDescent="0.3">
      <c r="A51" s="355">
        <v>23</v>
      </c>
      <c r="B51" s="162" t="s">
        <v>323</v>
      </c>
      <c r="C51" s="375" t="s">
        <v>8</v>
      </c>
      <c r="D51" s="24" t="s">
        <v>117</v>
      </c>
      <c r="E51" s="254" t="s">
        <v>22</v>
      </c>
      <c r="F51" s="253" t="s">
        <v>10</v>
      </c>
      <c r="G51" s="253" t="s">
        <v>253</v>
      </c>
      <c r="H51" s="253">
        <v>18102010099</v>
      </c>
      <c r="I51" s="54">
        <f>'LISTRIK 2026'!J51-'LISTRIK 2026'!I51</f>
        <v>131.10000000000218</v>
      </c>
      <c r="J51" s="54">
        <f>'LISTRIK 2026'!K51-'LISTRIK 2026'!J51</f>
        <v>132.89999999999782</v>
      </c>
      <c r="K51" s="54">
        <f>'LISTRIK 2026'!L51-'LISTRIK 2026'!K51</f>
        <v>151.10000000000218</v>
      </c>
      <c r="L51" s="54">
        <f>'LISTRIK 2026'!M51-'LISTRIK 2026'!L51</f>
        <v>135.29999999999927</v>
      </c>
      <c r="M51" s="265"/>
    </row>
    <row r="52" spans="1:13" s="8" customFormat="1" ht="39.950000000000003" customHeight="1" x14ac:dyDescent="0.3">
      <c r="A52" s="355"/>
      <c r="B52" s="162" t="s">
        <v>114</v>
      </c>
      <c r="C52" s="370"/>
      <c r="D52" s="24" t="s">
        <v>117</v>
      </c>
      <c r="E52" s="254" t="s">
        <v>22</v>
      </c>
      <c r="F52" s="253" t="s">
        <v>10</v>
      </c>
      <c r="G52" s="253" t="s">
        <v>253</v>
      </c>
      <c r="H52" s="253"/>
      <c r="I52" s="54">
        <f>'LISTRIK 2026'!J52-'LISTRIK 2026'!I52</f>
        <v>139.29999999999927</v>
      </c>
      <c r="J52" s="54">
        <f>'LISTRIK 2026'!K52-'LISTRIK 2026'!J52</f>
        <v>126</v>
      </c>
      <c r="K52" s="54">
        <f>'LISTRIK 2026'!L52-'LISTRIK 2026'!K52</f>
        <v>143.70000000000073</v>
      </c>
      <c r="L52" s="54">
        <f>'LISTRIK 2026'!M52-'LISTRIK 2026'!L52</f>
        <v>138.60000000000036</v>
      </c>
      <c r="M52" s="265"/>
    </row>
    <row r="53" spans="1:13" s="8" customFormat="1" ht="39.950000000000003" customHeight="1" x14ac:dyDescent="0.3">
      <c r="A53" s="355"/>
      <c r="B53" s="162" t="s">
        <v>115</v>
      </c>
      <c r="C53" s="370"/>
      <c r="D53" s="24" t="s">
        <v>118</v>
      </c>
      <c r="E53" s="254" t="s">
        <v>22</v>
      </c>
      <c r="F53" s="253" t="s">
        <v>10</v>
      </c>
      <c r="G53" s="253" t="s">
        <v>253</v>
      </c>
      <c r="H53" s="253">
        <v>18102010106</v>
      </c>
      <c r="I53" s="54">
        <f>'LISTRIK 2026'!J53-'LISTRIK 2026'!I53</f>
        <v>73.899999999999636</v>
      </c>
      <c r="J53" s="54">
        <f>'LISTRIK 2026'!K53-'LISTRIK 2026'!J53</f>
        <v>66.100000000000364</v>
      </c>
      <c r="K53" s="54">
        <f>'LISTRIK 2026'!L53-'LISTRIK 2026'!K53</f>
        <v>75.899999999999636</v>
      </c>
      <c r="L53" s="54">
        <f>'LISTRIK 2026'!M53-'LISTRIK 2026'!L53</f>
        <v>68.100000000000364</v>
      </c>
      <c r="M53" s="37"/>
    </row>
    <row r="54" spans="1:13" s="8" customFormat="1" ht="39.950000000000003" customHeight="1" x14ac:dyDescent="0.3">
      <c r="A54" s="354"/>
      <c r="B54" s="162" t="s">
        <v>116</v>
      </c>
      <c r="C54" s="371"/>
      <c r="D54" s="24" t="s">
        <v>119</v>
      </c>
      <c r="E54" s="254" t="s">
        <v>22</v>
      </c>
      <c r="F54" s="253" t="s">
        <v>10</v>
      </c>
      <c r="G54" s="253" t="s">
        <v>253</v>
      </c>
      <c r="H54" s="253">
        <v>18102010111</v>
      </c>
      <c r="I54" s="54">
        <f>'LISTRIK 2026'!J54-'LISTRIK 2026'!I54</f>
        <v>198.5</v>
      </c>
      <c r="J54" s="54">
        <f>'LISTRIK 2026'!K54-'LISTRIK 2026'!J54</f>
        <v>199.60000000000218</v>
      </c>
      <c r="K54" s="54">
        <f>'LISTRIK 2026'!L54-'LISTRIK 2026'!K54</f>
        <v>215.89999999999782</v>
      </c>
      <c r="L54" s="54">
        <f>'LISTRIK 2026'!M54-'LISTRIK 2026'!L54</f>
        <v>187.60000000000218</v>
      </c>
      <c r="M54" s="265"/>
    </row>
    <row r="55" spans="1:13" s="8" customFormat="1" ht="39.950000000000003" customHeight="1" x14ac:dyDescent="0.3">
      <c r="A55" s="353">
        <v>24</v>
      </c>
      <c r="B55" s="143" t="s">
        <v>47</v>
      </c>
      <c r="C55" s="375" t="s">
        <v>40</v>
      </c>
      <c r="D55" s="351" t="s">
        <v>64</v>
      </c>
      <c r="E55" s="254" t="s">
        <v>14</v>
      </c>
      <c r="F55" s="253" t="s">
        <v>20</v>
      </c>
      <c r="G55" s="253"/>
      <c r="H55" s="253">
        <v>715105171</v>
      </c>
      <c r="I55" s="54">
        <f>'LISTRIK 2026'!J55-'LISTRIK 2026'!I55</f>
        <v>3924.8999999999942</v>
      </c>
      <c r="J55" s="54">
        <f>'LISTRIK 2026'!K55-'LISTRIK 2026'!J55</f>
        <v>3366.2000000000116</v>
      </c>
      <c r="K55" s="54">
        <f>'LISTRIK 2026'!L55-'LISTRIK 2026'!K55</f>
        <v>3779.5</v>
      </c>
      <c r="L55" s="54">
        <f>'LISTRIK 2026'!M55-'LISTRIK 2026'!L55</f>
        <v>3551.2999999999884</v>
      </c>
      <c r="M55" s="37"/>
    </row>
    <row r="56" spans="1:13" s="8" customFormat="1" ht="39.950000000000003" customHeight="1" x14ac:dyDescent="0.3">
      <c r="A56" s="354"/>
      <c r="B56" s="126" t="s">
        <v>179</v>
      </c>
      <c r="C56" s="371"/>
      <c r="D56" s="352"/>
      <c r="E56" s="250" t="s">
        <v>16</v>
      </c>
      <c r="F56" s="244" t="s">
        <v>10</v>
      </c>
      <c r="G56" s="244" t="s">
        <v>261</v>
      </c>
      <c r="H56" s="244">
        <v>15472011072</v>
      </c>
      <c r="I56" s="54">
        <f>'LISTRIK 2026'!J56-'LISTRIK 2026'!I56</f>
        <v>8.2999999999997272</v>
      </c>
      <c r="J56" s="54">
        <f>'LISTRIK 2026'!K56-'LISTRIK 2026'!J56</f>
        <v>7.5</v>
      </c>
      <c r="K56" s="54">
        <f>'LISTRIK 2026'!L56-'LISTRIK 2026'!K56</f>
        <v>8.6000000000003638</v>
      </c>
      <c r="L56" s="54">
        <f>'LISTRIK 2026'!M56-'LISTRIK 2026'!L56</f>
        <v>7.6999999999998181</v>
      </c>
      <c r="M56" s="266"/>
    </row>
    <row r="57" spans="1:13" s="8" customFormat="1" ht="39.950000000000003" customHeight="1" x14ac:dyDescent="0.3">
      <c r="A57" s="353">
        <v>25</v>
      </c>
      <c r="B57" s="126" t="s">
        <v>48</v>
      </c>
      <c r="C57" s="375" t="s">
        <v>40</v>
      </c>
      <c r="D57" s="247" t="s">
        <v>65</v>
      </c>
      <c r="E57" s="250" t="s">
        <v>17</v>
      </c>
      <c r="F57" s="244" t="s">
        <v>10</v>
      </c>
      <c r="G57" s="244" t="s">
        <v>257</v>
      </c>
      <c r="H57" s="244">
        <v>13262012741</v>
      </c>
      <c r="I57" s="54">
        <f>'LISTRIK 2026'!J57-'LISTRIK 2026'!I57</f>
        <v>2057</v>
      </c>
      <c r="J57" s="54">
        <f>'LISTRIK 2026'!K57-'LISTRIK 2026'!J57</f>
        <v>1861</v>
      </c>
      <c r="K57" s="54">
        <f>'LISTRIK 2026'!L57-'LISTRIK 2026'!K57</f>
        <v>2032</v>
      </c>
      <c r="L57" s="54">
        <f>'LISTRIK 2026'!M57-'LISTRIK 2026'!L57</f>
        <v>1854</v>
      </c>
      <c r="M57" s="266"/>
    </row>
    <row r="58" spans="1:13" s="8" customFormat="1" ht="39.950000000000003" customHeight="1" x14ac:dyDescent="0.3">
      <c r="A58" s="354"/>
      <c r="B58" s="299" t="s">
        <v>178</v>
      </c>
      <c r="C58" s="371"/>
      <c r="D58" s="310" t="s">
        <v>21</v>
      </c>
      <c r="E58" s="311" t="s">
        <v>16</v>
      </c>
      <c r="F58" s="312" t="s">
        <v>10</v>
      </c>
      <c r="G58" s="312" t="s">
        <v>258</v>
      </c>
      <c r="H58" s="312">
        <v>11183312188</v>
      </c>
      <c r="I58" s="54">
        <f>'LISTRIK 2026'!J58-'LISTRIK 2026'!I58</f>
        <v>0</v>
      </c>
      <c r="J58" s="54">
        <f>'LISTRIK 2026'!K58-'LISTRIK 2026'!J58</f>
        <v>9.9999999999909051E-2</v>
      </c>
      <c r="K58" s="54">
        <f>'LISTRIK 2026'!L58-'LISTRIK 2026'!K58</f>
        <v>-9.9999999999909051E-2</v>
      </c>
      <c r="L58" s="54">
        <f>'LISTRIK 2026'!M58-'LISTRIK 2026'!L58</f>
        <v>0</v>
      </c>
      <c r="M58" s="266"/>
    </row>
    <row r="59" spans="1:13" s="8" customFormat="1" ht="39.950000000000003" customHeight="1" x14ac:dyDescent="0.3">
      <c r="A59" s="260">
        <v>26</v>
      </c>
      <c r="B59" s="126" t="s">
        <v>49</v>
      </c>
      <c r="C59" s="263" t="s">
        <v>40</v>
      </c>
      <c r="D59" s="255" t="s">
        <v>15</v>
      </c>
      <c r="E59" s="250" t="s">
        <v>71</v>
      </c>
      <c r="F59" s="244" t="s">
        <v>20</v>
      </c>
      <c r="G59" s="244"/>
      <c r="H59" s="244">
        <v>215141052</v>
      </c>
      <c r="I59" s="54">
        <f>'LISTRIK 2026'!J59-'LISTRIK 2026'!I59</f>
        <v>917.60000000000582</v>
      </c>
      <c r="J59" s="54">
        <f>'LISTRIK 2026'!K59-'LISTRIK 2026'!J59</f>
        <v>277.79999999998836</v>
      </c>
      <c r="K59" s="54">
        <f>'LISTRIK 2026'!L59-'LISTRIK 2026'!K59</f>
        <v>1815</v>
      </c>
      <c r="L59" s="54">
        <f>'LISTRIK 2026'!M59-'LISTRIK 2026'!L59</f>
        <v>1729.2000000000116</v>
      </c>
      <c r="M59" s="266"/>
    </row>
    <row r="60" spans="1:13" s="8" customFormat="1" ht="39.950000000000003" customHeight="1" x14ac:dyDescent="0.3">
      <c r="A60" s="260">
        <v>27</v>
      </c>
      <c r="B60" s="126" t="s">
        <v>50</v>
      </c>
      <c r="C60" s="258" t="s">
        <v>40</v>
      </c>
      <c r="D60" s="247" t="s">
        <v>66</v>
      </c>
      <c r="E60" s="250" t="s">
        <v>71</v>
      </c>
      <c r="F60" s="244" t="s">
        <v>10</v>
      </c>
      <c r="G60" s="244" t="s">
        <v>251</v>
      </c>
      <c r="H60" s="244">
        <v>13152011173</v>
      </c>
      <c r="I60" s="54">
        <f>'LISTRIK 2026'!J60-'LISTRIK 2026'!I60</f>
        <v>1053</v>
      </c>
      <c r="J60" s="54">
        <f>'LISTRIK 2026'!K60-'LISTRIK 2026'!J60</f>
        <v>168</v>
      </c>
      <c r="K60" s="54">
        <f>'LISTRIK 2026'!L60-'LISTRIK 2026'!K60</f>
        <v>1848</v>
      </c>
      <c r="L60" s="54">
        <f>'LISTRIK 2026'!M60-'LISTRIK 2026'!L60</f>
        <v>1761</v>
      </c>
      <c r="M60" s="266"/>
    </row>
    <row r="61" spans="1:13" s="8" customFormat="1" ht="39.950000000000003" customHeight="1" x14ac:dyDescent="0.3">
      <c r="A61" s="353">
        <v>28</v>
      </c>
      <c r="B61" s="126" t="s">
        <v>51</v>
      </c>
      <c r="C61" s="375" t="s">
        <v>40</v>
      </c>
      <c r="D61" s="398" t="s">
        <v>67</v>
      </c>
      <c r="E61" s="250" t="s">
        <v>72</v>
      </c>
      <c r="F61" s="244" t="s">
        <v>20</v>
      </c>
      <c r="G61" s="244"/>
      <c r="H61" s="244">
        <v>1015463046</v>
      </c>
      <c r="I61" s="54">
        <f>'LISTRIK 2026'!J61-'LISTRIK 2026'!I61</f>
        <v>6821.0999999999995</v>
      </c>
      <c r="J61" s="54">
        <f>'LISTRIK 2026'!K61-'LISTRIK 2026'!J61</f>
        <v>3327.3999999999996</v>
      </c>
      <c r="K61" s="54">
        <f>'LISTRIK 2026'!L61-'LISTRIK 2026'!K61</f>
        <v>4287.1000000000022</v>
      </c>
      <c r="L61" s="54">
        <f>'LISTRIK 2026'!M61-'LISTRIK 2026'!L61</f>
        <v>3759.5</v>
      </c>
      <c r="M61" s="266"/>
    </row>
    <row r="62" spans="1:13" s="8" customFormat="1" ht="39.950000000000003" customHeight="1" x14ac:dyDescent="0.3">
      <c r="A62" s="354"/>
      <c r="B62" s="126" t="s">
        <v>101</v>
      </c>
      <c r="C62" s="371"/>
      <c r="D62" s="399"/>
      <c r="E62" s="250" t="s">
        <v>63</v>
      </c>
      <c r="F62" s="244" t="s">
        <v>10</v>
      </c>
      <c r="G62" s="244" t="s">
        <v>254</v>
      </c>
      <c r="H62" s="244">
        <v>13152011177</v>
      </c>
      <c r="I62" s="54">
        <f>'LISTRIK 2026'!J62-'LISTRIK 2026'!I62</f>
        <v>56</v>
      </c>
      <c r="J62" s="54">
        <f>'LISTRIK 2026'!K62-'LISTRIK 2026'!J62</f>
        <v>47</v>
      </c>
      <c r="K62" s="54">
        <f>'LISTRIK 2026'!L62-'LISTRIK 2026'!K62</f>
        <v>54</v>
      </c>
      <c r="L62" s="54">
        <f>'LISTRIK 2026'!M62-'LISTRIK 2026'!L62</f>
        <v>45</v>
      </c>
      <c r="M62" s="266"/>
    </row>
    <row r="63" spans="1:13" s="8" customFormat="1" ht="39.950000000000003" customHeight="1" x14ac:dyDescent="0.3">
      <c r="A63" s="260">
        <v>29</v>
      </c>
      <c r="B63" s="126" t="s">
        <v>52</v>
      </c>
      <c r="C63" s="258" t="s">
        <v>40</v>
      </c>
      <c r="D63" s="247" t="s">
        <v>68</v>
      </c>
      <c r="E63" s="250" t="s">
        <v>71</v>
      </c>
      <c r="F63" s="244" t="s">
        <v>10</v>
      </c>
      <c r="G63" s="244" t="s">
        <v>257</v>
      </c>
      <c r="H63" s="244">
        <v>13262012708</v>
      </c>
      <c r="I63" s="54">
        <f>'LISTRIK 2026'!J63-'LISTRIK 2026'!I63</f>
        <v>2432</v>
      </c>
      <c r="J63" s="54">
        <f>'LISTRIK 2026'!K63-'LISTRIK 2026'!J63</f>
        <v>2235</v>
      </c>
      <c r="K63" s="54">
        <f>'LISTRIK 2026'!L63-'LISTRIK 2026'!K63</f>
        <v>2547</v>
      </c>
      <c r="L63" s="54">
        <f>'LISTRIK 2026'!M63-'LISTRIK 2026'!L63</f>
        <v>2278</v>
      </c>
      <c r="M63" s="266"/>
    </row>
    <row r="64" spans="1:13" s="8" customFormat="1" ht="39.950000000000003" customHeight="1" x14ac:dyDescent="0.3">
      <c r="A64" s="353">
        <v>30</v>
      </c>
      <c r="B64" s="126" t="s">
        <v>228</v>
      </c>
      <c r="C64" s="258" t="s">
        <v>40</v>
      </c>
      <c r="D64" s="247" t="s">
        <v>30</v>
      </c>
      <c r="E64" s="250" t="s">
        <v>230</v>
      </c>
      <c r="F64" s="244" t="s">
        <v>10</v>
      </c>
      <c r="G64" s="244" t="s">
        <v>256</v>
      </c>
      <c r="H64" s="244">
        <v>18342010865</v>
      </c>
      <c r="I64" s="54">
        <f>'LISTRIK 2026'!J64-'LISTRIK 2026'!I64</f>
        <v>19112</v>
      </c>
      <c r="J64" s="54">
        <f>'LISTRIK 2026'!K64-'LISTRIK 2026'!J64</f>
        <v>17186</v>
      </c>
      <c r="K64" s="54">
        <f>'LISTRIK 2026'!L64-'LISTRIK 2026'!K64</f>
        <v>19959</v>
      </c>
      <c r="L64" s="54">
        <f>'LISTRIK 2026'!M64-'LISTRIK 2026'!L64</f>
        <v>17513</v>
      </c>
      <c r="M64" s="266"/>
    </row>
    <row r="65" spans="1:13" s="8" customFormat="1" ht="39.950000000000003" customHeight="1" x14ac:dyDescent="0.3">
      <c r="A65" s="354"/>
      <c r="B65" s="126" t="s">
        <v>232</v>
      </c>
      <c r="C65" s="258" t="s">
        <v>40</v>
      </c>
      <c r="D65" s="247" t="s">
        <v>233</v>
      </c>
      <c r="E65" s="250" t="s">
        <v>22</v>
      </c>
      <c r="F65" s="244" t="s">
        <v>10</v>
      </c>
      <c r="G65" s="244" t="s">
        <v>258</v>
      </c>
      <c r="H65" s="244"/>
      <c r="I65" s="54">
        <f>'LISTRIK 2026'!J65-'LISTRIK 2026'!I65</f>
        <v>81</v>
      </c>
      <c r="J65" s="54">
        <f>'LISTRIK 2026'!K65-'LISTRIK 2026'!J65</f>
        <v>73.099999999999909</v>
      </c>
      <c r="K65" s="54">
        <f>'LISTRIK 2026'!L65-'LISTRIK 2026'!K65</f>
        <v>82.900000000000091</v>
      </c>
      <c r="L65" s="54">
        <f>'LISTRIK 2026'!M65-'LISTRIK 2026'!L65</f>
        <v>26.099999999999909</v>
      </c>
      <c r="M65" s="266"/>
    </row>
    <row r="66" spans="1:13" s="8" customFormat="1" ht="39.950000000000003" customHeight="1" x14ac:dyDescent="0.3">
      <c r="A66" s="260">
        <v>31</v>
      </c>
      <c r="B66" s="126" t="s">
        <v>53</v>
      </c>
      <c r="C66" s="258" t="s">
        <v>40</v>
      </c>
      <c r="D66" s="247" t="s">
        <v>69</v>
      </c>
      <c r="E66" s="250" t="s">
        <v>71</v>
      </c>
      <c r="F66" s="244" t="s">
        <v>10</v>
      </c>
      <c r="G66" s="244" t="s">
        <v>257</v>
      </c>
      <c r="H66" s="244">
        <v>13262012738</v>
      </c>
      <c r="I66" s="54">
        <f>'LISTRIK 2026'!J66-'LISTRIK 2026'!I66</f>
        <v>2275</v>
      </c>
      <c r="J66" s="54">
        <f>'LISTRIK 2026'!K66-'LISTRIK 2026'!J66</f>
        <v>2110</v>
      </c>
      <c r="K66" s="54">
        <f>'LISTRIK 2026'!L66-'LISTRIK 2026'!K66</f>
        <v>2377</v>
      </c>
      <c r="L66" s="54">
        <f>'LISTRIK 2026'!M66-'LISTRIK 2026'!L66</f>
        <v>2093</v>
      </c>
      <c r="M66" s="266"/>
    </row>
    <row r="67" spans="1:13" s="8" customFormat="1" ht="39.950000000000003" customHeight="1" x14ac:dyDescent="0.3">
      <c r="A67" s="260">
        <v>32</v>
      </c>
      <c r="B67" s="126" t="s">
        <v>226</v>
      </c>
      <c r="C67" s="258" t="s">
        <v>40</v>
      </c>
      <c r="D67" s="247" t="s">
        <v>213</v>
      </c>
      <c r="E67" s="250" t="s">
        <v>71</v>
      </c>
      <c r="F67" s="244" t="s">
        <v>10</v>
      </c>
      <c r="G67" s="244" t="s">
        <v>251</v>
      </c>
      <c r="H67" s="244"/>
      <c r="I67" s="54">
        <f>'LISTRIK 2026'!J67-'LISTRIK 2026'!I67</f>
        <v>1812</v>
      </c>
      <c r="J67" s="54">
        <f>'LISTRIK 2026'!K67-'LISTRIK 2026'!J67</f>
        <v>1625</v>
      </c>
      <c r="K67" s="54">
        <f>'LISTRIK 2026'!L67-'LISTRIK 2026'!K67</f>
        <v>1838</v>
      </c>
      <c r="L67" s="54">
        <f>'LISTRIK 2026'!M67-'LISTRIK 2026'!L67</f>
        <v>1636</v>
      </c>
      <c r="M67" s="266"/>
    </row>
    <row r="68" spans="1:13" s="8" customFormat="1" ht="39.950000000000003" customHeight="1" x14ac:dyDescent="0.3">
      <c r="A68" s="260">
        <v>33</v>
      </c>
      <c r="B68" s="126" t="s">
        <v>315</v>
      </c>
      <c r="C68" s="258" t="s">
        <v>40</v>
      </c>
      <c r="D68" s="247" t="s">
        <v>148</v>
      </c>
      <c r="E68" s="250" t="s">
        <v>63</v>
      </c>
      <c r="F68" s="244" t="s">
        <v>20</v>
      </c>
      <c r="G68" s="244"/>
      <c r="H68" s="244">
        <v>724106165</v>
      </c>
      <c r="I68" s="54">
        <f>'LISTRIK 2026'!J68-'LISTRIK 2026'!I68</f>
        <v>1025.0999999999985</v>
      </c>
      <c r="J68" s="54">
        <f>'LISTRIK 2026'!K68-'LISTRIK 2026'!J68</f>
        <v>898.70000000000073</v>
      </c>
      <c r="K68" s="54">
        <f>'LISTRIK 2026'!L68-'LISTRIK 2026'!K68</f>
        <v>1020.2000000000007</v>
      </c>
      <c r="L68" s="54">
        <f>'LISTRIK 2026'!M68-'LISTRIK 2026'!L68</f>
        <v>908.90000000000146</v>
      </c>
      <c r="M68" s="266"/>
    </row>
    <row r="69" spans="1:13" s="8" customFormat="1" ht="39.950000000000003" customHeight="1" x14ac:dyDescent="0.3">
      <c r="A69" s="260">
        <v>34</v>
      </c>
      <c r="B69" s="126" t="s">
        <v>380</v>
      </c>
      <c r="C69" s="258" t="s">
        <v>40</v>
      </c>
      <c r="D69" s="247" t="s">
        <v>316</v>
      </c>
      <c r="E69" s="250" t="s">
        <v>63</v>
      </c>
      <c r="F69" s="244" t="s">
        <v>20</v>
      </c>
      <c r="G69" s="243"/>
      <c r="H69" s="244">
        <v>724106142</v>
      </c>
      <c r="I69" s="54">
        <f>'LISTRIK 2026'!J69-'LISTRIK 2026'!I69</f>
        <v>1753</v>
      </c>
      <c r="J69" s="54">
        <f>'LISTRIK 2026'!K69-'LISTRIK 2026'!J69</f>
        <v>1639.9000000000015</v>
      </c>
      <c r="K69" s="54">
        <f>'LISTRIK 2026'!L69-'LISTRIK 2026'!K69</f>
        <v>1877.9000000000015</v>
      </c>
      <c r="L69" s="54">
        <f>'LISTRIK 2026'!M69-'LISTRIK 2026'!L69</f>
        <v>1682.0999999999985</v>
      </c>
      <c r="M69" s="37"/>
    </row>
    <row r="70" spans="1:13" s="8" customFormat="1" ht="39.950000000000003" customHeight="1" x14ac:dyDescent="0.3">
      <c r="A70" s="260">
        <v>35</v>
      </c>
      <c r="B70" s="126" t="s">
        <v>362</v>
      </c>
      <c r="C70" s="256" t="s">
        <v>40</v>
      </c>
      <c r="D70" s="245">
        <v>21</v>
      </c>
      <c r="E70" s="254" t="s">
        <v>23</v>
      </c>
      <c r="F70" s="244" t="s">
        <v>20</v>
      </c>
      <c r="G70" s="273"/>
      <c r="H70" s="253">
        <v>224025181</v>
      </c>
      <c r="I70" s="54">
        <f>'LISTRIK 2026'!J70-'LISTRIK 2026'!I70</f>
        <v>1820.8000000000011</v>
      </c>
      <c r="J70" s="54">
        <f>'LISTRIK 2026'!K70-'LISTRIK 2026'!J70</f>
        <v>1666.6999999999989</v>
      </c>
      <c r="K70" s="54">
        <f>'LISTRIK 2026'!L70-'LISTRIK 2026'!K70</f>
        <v>1887.5</v>
      </c>
      <c r="L70" s="54">
        <f>'LISTRIK 2026'!M70-'LISTRIK 2026'!L70</f>
        <v>1698</v>
      </c>
      <c r="M70" s="266"/>
    </row>
    <row r="71" spans="1:13" s="8" customFormat="1" ht="39.950000000000003" customHeight="1" x14ac:dyDescent="0.3">
      <c r="A71" s="260">
        <v>36</v>
      </c>
      <c r="B71" s="126" t="s">
        <v>244</v>
      </c>
      <c r="C71" s="256" t="s">
        <v>40</v>
      </c>
      <c r="D71" s="245">
        <v>20</v>
      </c>
      <c r="E71" s="254" t="s">
        <v>23</v>
      </c>
      <c r="F71" s="242" t="s">
        <v>10</v>
      </c>
      <c r="G71" s="242" t="s">
        <v>251</v>
      </c>
      <c r="H71" s="253"/>
      <c r="I71" s="54">
        <f>'LISTRIK 2026'!J71-'LISTRIK 2026'!I71</f>
        <v>1069</v>
      </c>
      <c r="J71" s="54">
        <f>'LISTRIK 2026'!K71-'LISTRIK 2026'!J71</f>
        <v>942</v>
      </c>
      <c r="K71" s="54">
        <f>'LISTRIK 2026'!L71-'LISTRIK 2026'!K71</f>
        <v>1206</v>
      </c>
      <c r="L71" s="54">
        <f>'LISTRIK 2026'!M71-'LISTRIK 2026'!L71</f>
        <v>1314</v>
      </c>
      <c r="M71" s="266"/>
    </row>
    <row r="72" spans="1:13" s="8" customFormat="1" ht="39.950000000000003" customHeight="1" x14ac:dyDescent="0.3">
      <c r="A72" s="260">
        <v>37</v>
      </c>
      <c r="B72" s="126" t="s">
        <v>231</v>
      </c>
      <c r="C72" s="256" t="s">
        <v>40</v>
      </c>
      <c r="D72" s="245">
        <v>18</v>
      </c>
      <c r="E72" s="254" t="s">
        <v>23</v>
      </c>
      <c r="F72" s="253" t="s">
        <v>10</v>
      </c>
      <c r="G72" s="253" t="s">
        <v>251</v>
      </c>
      <c r="H72" s="253"/>
      <c r="I72" s="54">
        <f>'LISTRIK 2026'!J72-'LISTRIK 2026'!I72</f>
        <v>2765</v>
      </c>
      <c r="J72" s="54">
        <f>'LISTRIK 2026'!K72-'LISTRIK 2026'!J72</f>
        <v>2656</v>
      </c>
      <c r="K72" s="54">
        <f>'LISTRIK 2026'!L72-'LISTRIK 2026'!K72</f>
        <v>3015</v>
      </c>
      <c r="L72" s="54">
        <f>'LISTRIK 2026'!M72-'LISTRIK 2026'!L72</f>
        <v>2433</v>
      </c>
      <c r="M72" s="266"/>
    </row>
    <row r="73" spans="1:13" s="8" customFormat="1" ht="39.950000000000003" customHeight="1" x14ac:dyDescent="0.3">
      <c r="A73" s="353">
        <v>38</v>
      </c>
      <c r="B73" s="159" t="s">
        <v>54</v>
      </c>
      <c r="C73" s="375" t="s">
        <v>40</v>
      </c>
      <c r="D73" s="398" t="s">
        <v>70</v>
      </c>
      <c r="E73" s="381" t="s">
        <v>73</v>
      </c>
      <c r="F73" s="383" t="s">
        <v>20</v>
      </c>
      <c r="G73" s="242"/>
      <c r="H73" s="383">
        <v>1015422130</v>
      </c>
      <c r="I73" s="54">
        <f>'LISTRIK 2026'!J73-'LISTRIK 2026'!I73</f>
        <v>23820.700000000186</v>
      </c>
      <c r="J73" s="54">
        <f>'LISTRIK 2026'!K73-'LISTRIK 2026'!J73</f>
        <v>15633.5</v>
      </c>
      <c r="K73" s="54">
        <f>'LISTRIK 2026'!L73-'LISTRIK 2026'!K73</f>
        <v>13216.299999999814</v>
      </c>
      <c r="L73" s="54">
        <f>'LISTRIK 2026'!M73-'LISTRIK 2026'!L73</f>
        <v>12043.900000000373</v>
      </c>
      <c r="M73" s="266"/>
    </row>
    <row r="74" spans="1:13" s="8" customFormat="1" ht="39.950000000000003" customHeight="1" x14ac:dyDescent="0.3">
      <c r="A74" s="355"/>
      <c r="B74" s="126" t="s">
        <v>55</v>
      </c>
      <c r="C74" s="370"/>
      <c r="D74" s="402"/>
      <c r="E74" s="382"/>
      <c r="F74" s="379"/>
      <c r="G74" s="253"/>
      <c r="H74" s="379"/>
      <c r="I74" s="54">
        <f>'LISTRIK 2026'!J74-'LISTRIK 2026'!I74</f>
        <v>17053</v>
      </c>
      <c r="J74" s="54">
        <f>'LISTRIK 2026'!K74-'LISTRIK 2026'!J74</f>
        <v>11770.399999999907</v>
      </c>
      <c r="K74" s="54">
        <f>'LISTRIK 2026'!L74-'LISTRIK 2026'!K74</f>
        <v>9000.1000000000931</v>
      </c>
      <c r="L74" s="54">
        <f>'LISTRIK 2026'!M74-'LISTRIK 2026'!L74</f>
        <v>8346.5</v>
      </c>
      <c r="M74" s="266"/>
    </row>
    <row r="75" spans="1:13" s="8" customFormat="1" ht="39.950000000000003" customHeight="1" x14ac:dyDescent="0.3">
      <c r="A75" s="355"/>
      <c r="B75" s="126" t="s">
        <v>206</v>
      </c>
      <c r="C75" s="370"/>
      <c r="D75" s="402"/>
      <c r="E75" s="382"/>
      <c r="F75" s="379"/>
      <c r="G75" s="253"/>
      <c r="H75" s="380"/>
      <c r="I75" s="54">
        <f>'LISTRIK 2026'!J75-'LISTRIK 2026'!I75</f>
        <v>6767.6999999999534</v>
      </c>
      <c r="J75" s="54">
        <f>'LISTRIK 2026'!K75-'LISTRIK 2026'!J75</f>
        <v>3863.0999999999767</v>
      </c>
      <c r="K75" s="54">
        <f>'LISTRIK 2026'!L75-'LISTRIK 2026'!K75</f>
        <v>4216.3000000000466</v>
      </c>
      <c r="L75" s="54">
        <f>'LISTRIK 2026'!M75-'LISTRIK 2026'!L75</f>
        <v>3696.9000000000233</v>
      </c>
      <c r="M75" s="266"/>
    </row>
    <row r="76" spans="1:13" s="8" customFormat="1" ht="39.950000000000003" customHeight="1" x14ac:dyDescent="0.3">
      <c r="A76" s="355"/>
      <c r="B76" s="126" t="s">
        <v>56</v>
      </c>
      <c r="C76" s="370"/>
      <c r="D76" s="402"/>
      <c r="E76" s="384"/>
      <c r="F76" s="380"/>
      <c r="G76" s="244"/>
      <c r="H76" s="244">
        <v>715103052</v>
      </c>
      <c r="I76" s="54">
        <f>'LISTRIK 2026'!J76-'LISTRIK 2026'!I76</f>
        <v>0.80000000000001137</v>
      </c>
      <c r="J76" s="54">
        <f>'LISTRIK 2026'!K76-'LISTRIK 2026'!J76</f>
        <v>0</v>
      </c>
      <c r="K76" s="54">
        <f>'LISTRIK 2026'!L76-'LISTRIK 2026'!K76</f>
        <v>0</v>
      </c>
      <c r="L76" s="54">
        <f>'LISTRIK 2026'!M76-'LISTRIK 2026'!L76</f>
        <v>1.5</v>
      </c>
      <c r="M76" s="266"/>
    </row>
    <row r="77" spans="1:13" s="8" customFormat="1" ht="39.950000000000003" customHeight="1" x14ac:dyDescent="0.3">
      <c r="A77" s="355"/>
      <c r="B77" s="162" t="s">
        <v>57</v>
      </c>
      <c r="C77" s="370"/>
      <c r="D77" s="402"/>
      <c r="E77" s="381" t="s">
        <v>16</v>
      </c>
      <c r="F77" s="383" t="s">
        <v>10</v>
      </c>
      <c r="G77" s="244" t="s">
        <v>261</v>
      </c>
      <c r="H77" s="383">
        <v>1313201073</v>
      </c>
      <c r="I77" s="54">
        <f>'LISTRIK 2026'!J77-'LISTRIK 2026'!I77</f>
        <v>54.600000000000364</v>
      </c>
      <c r="J77" s="54">
        <f>'LISTRIK 2026'!K77-'LISTRIK 2026'!J77</f>
        <v>60.699999999999818</v>
      </c>
      <c r="K77" s="54">
        <f>'LISTRIK 2026'!L77-'LISTRIK 2026'!K77</f>
        <v>41.900000000000091</v>
      </c>
      <c r="L77" s="54">
        <f>'LISTRIK 2026'!M77-'LISTRIK 2026'!L77</f>
        <v>59</v>
      </c>
      <c r="M77" s="37"/>
    </row>
    <row r="78" spans="1:13" s="8" customFormat="1" ht="39.950000000000003" customHeight="1" x14ac:dyDescent="0.3">
      <c r="A78" s="355"/>
      <c r="B78" s="143" t="s">
        <v>58</v>
      </c>
      <c r="C78" s="370"/>
      <c r="D78" s="402"/>
      <c r="E78" s="382"/>
      <c r="F78" s="379"/>
      <c r="G78" s="244" t="s">
        <v>261</v>
      </c>
      <c r="H78" s="379"/>
      <c r="I78" s="54">
        <f>'LISTRIK 2026'!J78-'LISTRIK 2026'!I78</f>
        <v>42.300000000000068</v>
      </c>
      <c r="J78" s="54">
        <f>'LISTRIK 2026'!K78-'LISTRIK 2026'!J78</f>
        <v>46.899999999999977</v>
      </c>
      <c r="K78" s="54">
        <f>'LISTRIK 2026'!L78-'LISTRIK 2026'!K78</f>
        <v>32.5</v>
      </c>
      <c r="L78" s="54">
        <f>'LISTRIK 2026'!M78-'LISTRIK 2026'!L78</f>
        <v>45.399999999999977</v>
      </c>
      <c r="M78" s="37"/>
    </row>
    <row r="79" spans="1:13" s="8" customFormat="1" ht="39.950000000000003" customHeight="1" x14ac:dyDescent="0.3">
      <c r="A79" s="355"/>
      <c r="B79" s="143" t="s">
        <v>59</v>
      </c>
      <c r="C79" s="370"/>
      <c r="D79" s="402"/>
      <c r="E79" s="382"/>
      <c r="F79" s="379"/>
      <c r="G79" s="244" t="s">
        <v>261</v>
      </c>
      <c r="H79" s="380"/>
      <c r="I79" s="54">
        <f>'LISTRIK 2026'!J79-'LISTRIK 2026'!I79</f>
        <v>12.299999999999955</v>
      </c>
      <c r="J79" s="54">
        <f>'LISTRIK 2026'!K79-'LISTRIK 2026'!J79</f>
        <v>13.799999999999955</v>
      </c>
      <c r="K79" s="54">
        <f>'LISTRIK 2026'!L79-'LISTRIK 2026'!K79</f>
        <v>9.4000000000000909</v>
      </c>
      <c r="L79" s="54">
        <f>'LISTRIK 2026'!M79-'LISTRIK 2026'!L79</f>
        <v>13.599999999999909</v>
      </c>
      <c r="M79" s="37"/>
    </row>
    <row r="80" spans="1:13" s="8" customFormat="1" ht="39.950000000000003" customHeight="1" x14ac:dyDescent="0.3">
      <c r="A80" s="355"/>
      <c r="B80" s="143" t="s">
        <v>60</v>
      </c>
      <c r="C80" s="370"/>
      <c r="D80" s="399"/>
      <c r="E80" s="384"/>
      <c r="F80" s="380"/>
      <c r="G80" s="244" t="s">
        <v>261</v>
      </c>
      <c r="H80" s="26">
        <v>15342010945</v>
      </c>
      <c r="I80" s="54">
        <f>'LISTRIK 2026'!J80-'LISTRIK 2026'!I80</f>
        <v>9.9999999999994316E-2</v>
      </c>
      <c r="J80" s="54">
        <f>'LISTRIK 2026'!K80-'LISTRIK 2026'!J80</f>
        <v>0</v>
      </c>
      <c r="K80" s="54">
        <f>'LISTRIK 2026'!L80-'LISTRIK 2026'!K80</f>
        <v>0</v>
      </c>
      <c r="L80" s="54">
        <f>'LISTRIK 2026'!M80-'LISTRIK 2026'!L80</f>
        <v>0.80000000000000426</v>
      </c>
      <c r="M80" s="37"/>
    </row>
    <row r="81" spans="1:13" s="8" customFormat="1" ht="39.950000000000003" customHeight="1" x14ac:dyDescent="0.3">
      <c r="A81" s="354"/>
      <c r="B81" s="144" t="s">
        <v>240</v>
      </c>
      <c r="C81" s="371"/>
      <c r="D81" s="247" t="s">
        <v>233</v>
      </c>
      <c r="E81" s="248" t="s">
        <v>22</v>
      </c>
      <c r="F81" s="24" t="s">
        <v>10</v>
      </c>
      <c r="G81" s="243" t="s">
        <v>253</v>
      </c>
      <c r="H81" s="251"/>
      <c r="I81" s="54">
        <f>'LISTRIK 2026'!J81-'LISTRIK 2026'!I81</f>
        <v>69.700000000000045</v>
      </c>
      <c r="J81" s="54">
        <f>'LISTRIK 2026'!K81-'LISTRIK 2026'!J81</f>
        <v>63.400000000000091</v>
      </c>
      <c r="K81" s="54">
        <f>'LISTRIK 2026'!L81-'LISTRIK 2026'!K81</f>
        <v>72.5</v>
      </c>
      <c r="L81" s="54">
        <f>'LISTRIK 2026'!M81-'LISTRIK 2026'!L81</f>
        <v>63.799999999999955</v>
      </c>
      <c r="M81" s="265"/>
    </row>
    <row r="82" spans="1:13" s="8" customFormat="1" ht="39.950000000000003" customHeight="1" x14ac:dyDescent="0.3">
      <c r="A82" s="260">
        <v>39</v>
      </c>
      <c r="B82" s="144" t="s">
        <v>317</v>
      </c>
      <c r="C82" s="257" t="s">
        <v>40</v>
      </c>
      <c r="D82" s="255">
        <v>30</v>
      </c>
      <c r="E82" s="248"/>
      <c r="F82" s="267"/>
      <c r="G82" s="253"/>
      <c r="H82" s="251"/>
      <c r="I82" s="54">
        <f>'LISTRIK 2026'!J82-'LISTRIK 2026'!I82</f>
        <v>686.20000000000073</v>
      </c>
      <c r="J82" s="54">
        <f>'LISTRIK 2026'!K82-'LISTRIK 2026'!J82</f>
        <v>629.79999999999927</v>
      </c>
      <c r="K82" s="54">
        <f>'LISTRIK 2026'!L82-'LISTRIK 2026'!K82</f>
        <v>725.10000000000036</v>
      </c>
      <c r="L82" s="54">
        <f>'LISTRIK 2026'!M82-'LISTRIK 2026'!L82</f>
        <v>667.79999999999927</v>
      </c>
      <c r="M82" s="265"/>
    </row>
    <row r="83" spans="1:13" s="8" customFormat="1" ht="39.950000000000003" customHeight="1" x14ac:dyDescent="0.3">
      <c r="A83" s="260">
        <v>40</v>
      </c>
      <c r="B83" s="144" t="s">
        <v>214</v>
      </c>
      <c r="C83" s="263" t="s">
        <v>40</v>
      </c>
      <c r="D83" s="246">
        <v>31</v>
      </c>
      <c r="E83" s="248" t="s">
        <v>23</v>
      </c>
      <c r="F83" s="267" t="s">
        <v>10</v>
      </c>
      <c r="G83" s="267" t="s">
        <v>251</v>
      </c>
      <c r="H83" s="251"/>
      <c r="I83" s="54">
        <f>'LISTRIK 2026'!J83-'LISTRIK 2026'!I83</f>
        <v>2332</v>
      </c>
      <c r="J83" s="54">
        <f>'LISTRIK 2026'!K83-'LISTRIK 2026'!J83</f>
        <v>1982</v>
      </c>
      <c r="K83" s="54">
        <f>'LISTRIK 2026'!L83-'LISTRIK 2026'!K83</f>
        <v>2390</v>
      </c>
      <c r="L83" s="54">
        <f>'LISTRIK 2026'!M83-'LISTRIK 2026'!L83</f>
        <v>2095</v>
      </c>
      <c r="M83" s="265"/>
    </row>
    <row r="84" spans="1:13" s="8" customFormat="1" ht="39.950000000000003" customHeight="1" x14ac:dyDescent="0.3">
      <c r="A84" s="259">
        <v>41</v>
      </c>
      <c r="B84" s="271" t="s">
        <v>61</v>
      </c>
      <c r="C84" s="256" t="s">
        <v>40</v>
      </c>
      <c r="D84" s="275" t="s">
        <v>62</v>
      </c>
      <c r="E84" s="248" t="s">
        <v>63</v>
      </c>
      <c r="F84" s="242" t="s">
        <v>10</v>
      </c>
      <c r="G84" s="242" t="s">
        <v>257</v>
      </c>
      <c r="H84" s="251">
        <v>13262012772</v>
      </c>
      <c r="I84" s="54">
        <f>'LISTRIK 2026'!J84-'LISTRIK 2026'!I84</f>
        <v>3814</v>
      </c>
      <c r="J84" s="54">
        <f>'LISTRIK 2026'!K84-'LISTRIK 2026'!J84</f>
        <v>3354</v>
      </c>
      <c r="K84" s="54">
        <f>'LISTRIK 2026'!L84-'LISTRIK 2026'!K84</f>
        <v>3707</v>
      </c>
      <c r="L84" s="54">
        <f>'LISTRIK 2026'!M84-'LISTRIK 2026'!L84</f>
        <v>3281</v>
      </c>
      <c r="M84" s="265"/>
    </row>
    <row r="85" spans="1:13" s="8" customFormat="1" ht="39.950000000000003" customHeight="1" x14ac:dyDescent="0.3">
      <c r="A85" s="353">
        <v>42</v>
      </c>
      <c r="B85" s="144" t="s">
        <v>207</v>
      </c>
      <c r="C85" s="256" t="s">
        <v>40</v>
      </c>
      <c r="D85" s="275" t="s">
        <v>208</v>
      </c>
      <c r="E85" s="248" t="s">
        <v>19</v>
      </c>
      <c r="F85" s="242" t="s">
        <v>20</v>
      </c>
      <c r="G85" s="253"/>
      <c r="H85" s="251" t="s">
        <v>209</v>
      </c>
      <c r="I85" s="54">
        <f>'LISTRIK 2026'!J85-'LISTRIK 2026'!I85</f>
        <v>2563.8000000000175</v>
      </c>
      <c r="J85" s="54">
        <f>'LISTRIK 2026'!K85-'LISTRIK 2026'!J85</f>
        <v>2257.0999999999767</v>
      </c>
      <c r="K85" s="54">
        <f>'LISTRIK 2026'!L85-'LISTRIK 2026'!K85</f>
        <v>2592.9000000000233</v>
      </c>
      <c r="L85" s="54">
        <f>'LISTRIK 2026'!M85-'LISTRIK 2026'!L85</f>
        <v>2377.3999999999942</v>
      </c>
      <c r="M85" s="265"/>
    </row>
    <row r="86" spans="1:13" s="8" customFormat="1" ht="39.950000000000003" customHeight="1" x14ac:dyDescent="0.3">
      <c r="A86" s="354"/>
      <c r="B86" s="144" t="s">
        <v>343</v>
      </c>
      <c r="C86" s="256" t="s">
        <v>21</v>
      </c>
      <c r="D86" s="275" t="s">
        <v>401</v>
      </c>
      <c r="E86" s="248" t="s">
        <v>16</v>
      </c>
      <c r="F86" s="242" t="s">
        <v>10</v>
      </c>
      <c r="G86" s="253" t="s">
        <v>253</v>
      </c>
      <c r="H86" s="251">
        <v>48503058</v>
      </c>
      <c r="I86" s="54">
        <f>'LISTRIK 2026'!J86-'LISTRIK 2026'!I86</f>
        <v>168.60000000000014</v>
      </c>
      <c r="J86" s="54">
        <f>'LISTRIK 2026'!K86-'LISTRIK 2026'!J86</f>
        <v>149.09999999999991</v>
      </c>
      <c r="K86" s="54">
        <f>'LISTRIK 2026'!L86-'LISTRIK 2026'!K86</f>
        <v>20998.5</v>
      </c>
      <c r="L86" s="54">
        <f>'LISTRIK 2026'!M86-'LISTRIK 2026'!L86</f>
        <v>-20671.7</v>
      </c>
      <c r="M86" s="265"/>
    </row>
    <row r="87" spans="1:13" s="8" customFormat="1" ht="39.950000000000003" customHeight="1" x14ac:dyDescent="0.3">
      <c r="A87" s="259">
        <v>43</v>
      </c>
      <c r="B87" s="144" t="s">
        <v>370</v>
      </c>
      <c r="C87" s="256" t="s">
        <v>40</v>
      </c>
      <c r="D87" s="275" t="s">
        <v>400</v>
      </c>
      <c r="E87" s="248" t="s">
        <v>23</v>
      </c>
      <c r="F87" s="242" t="s">
        <v>20</v>
      </c>
      <c r="G87" s="243"/>
      <c r="H87" s="245" t="s">
        <v>371</v>
      </c>
      <c r="I87" s="54">
        <f>'LISTRIK 2026'!J87-'LISTRIK 2026'!I87</f>
        <v>1135.8999999999996</v>
      </c>
      <c r="J87" s="54">
        <f>'LISTRIK 2026'!K87-'LISTRIK 2026'!J87</f>
        <v>1029.4000000000005</v>
      </c>
      <c r="K87" s="54">
        <f>'LISTRIK 2026'!L87-'LISTRIK 2026'!K87</f>
        <v>176.39999999999964</v>
      </c>
      <c r="L87" s="54">
        <f>'LISTRIK 2026'!M87-'LISTRIK 2026'!L87</f>
        <v>2079.6999999999998</v>
      </c>
      <c r="M87" s="265"/>
    </row>
    <row r="88" spans="1:13" s="8" customFormat="1" ht="39.950000000000003" customHeight="1" x14ac:dyDescent="0.3">
      <c r="A88" s="353">
        <v>44</v>
      </c>
      <c r="B88" s="300" t="s">
        <v>373</v>
      </c>
      <c r="C88" s="256" t="s">
        <v>40</v>
      </c>
      <c r="D88" s="275" t="s">
        <v>398</v>
      </c>
      <c r="E88" s="248"/>
      <c r="F88" s="242"/>
      <c r="G88" s="242"/>
      <c r="H88" s="251"/>
      <c r="I88" s="54">
        <f>'LISTRIK 2026'!J88-'LISTRIK 2026'!I88</f>
        <v>8912.1999999999989</v>
      </c>
      <c r="J88" s="54">
        <f>'LISTRIK 2026'!K88-'LISTRIK 2026'!J88</f>
        <v>7980.3000000000029</v>
      </c>
      <c r="K88" s="54">
        <f>'LISTRIK 2026'!L88-'LISTRIK 2026'!K88</f>
        <v>9321.1999999999971</v>
      </c>
      <c r="L88" s="54">
        <f>'LISTRIK 2026'!M88-'LISTRIK 2026'!L88</f>
        <v>8337.4000000000015</v>
      </c>
      <c r="M88" s="265"/>
    </row>
    <row r="89" spans="1:13" s="8" customFormat="1" ht="39.950000000000003" customHeight="1" x14ac:dyDescent="0.3">
      <c r="A89" s="354"/>
      <c r="B89" s="300" t="s">
        <v>378</v>
      </c>
      <c r="C89" s="256" t="s">
        <v>40</v>
      </c>
      <c r="D89" s="275" t="s">
        <v>399</v>
      </c>
      <c r="E89" s="248"/>
      <c r="F89" s="242"/>
      <c r="G89" s="242"/>
      <c r="H89" s="251"/>
      <c r="I89" s="54">
        <f>'LISTRIK 2026'!J89-'LISTRIK 2026'!I89</f>
        <v>3707.4</v>
      </c>
      <c r="J89" s="54">
        <f>'LISTRIK 2026'!K89-'LISTRIK 2026'!J89</f>
        <v>50.699999999999818</v>
      </c>
      <c r="K89" s="54">
        <f>'LISTRIK 2026'!L89-'LISTRIK 2026'!K89</f>
        <v>58.099999999999909</v>
      </c>
      <c r="L89" s="54">
        <f>'LISTRIK 2026'!M89-'LISTRIK 2026'!L89</f>
        <v>51.200000000000273</v>
      </c>
      <c r="M89" s="265"/>
    </row>
    <row r="90" spans="1:13" s="8" customFormat="1" ht="39.950000000000003" customHeight="1" x14ac:dyDescent="0.3">
      <c r="A90" s="260">
        <v>45</v>
      </c>
      <c r="B90" s="296" t="s">
        <v>372</v>
      </c>
      <c r="C90" s="256" t="s">
        <v>40</v>
      </c>
      <c r="D90" s="255" t="s">
        <v>397</v>
      </c>
      <c r="E90" s="254"/>
      <c r="F90" s="253"/>
      <c r="G90" s="253"/>
      <c r="H90" s="251"/>
      <c r="I90" s="54">
        <f>'LISTRIK 2026'!J90-'LISTRIK 2026'!I90</f>
        <v>916.30000000000018</v>
      </c>
      <c r="J90" s="54">
        <f>'LISTRIK 2026'!K90-'LISTRIK 2026'!J90</f>
        <v>729.19999999999982</v>
      </c>
      <c r="K90" s="54">
        <f>'LISTRIK 2026'!L90-'LISTRIK 2026'!K90</f>
        <v>851.30000000000018</v>
      </c>
      <c r="L90" s="54">
        <f>'LISTRIK 2026'!M90-'LISTRIK 2026'!L90</f>
        <v>775.09999999999945</v>
      </c>
      <c r="M90" s="265"/>
    </row>
    <row r="91" spans="1:13" s="8" customFormat="1" ht="39.950000000000003" customHeight="1" x14ac:dyDescent="0.3">
      <c r="A91" s="260">
        <v>46</v>
      </c>
      <c r="B91" s="164" t="s">
        <v>222</v>
      </c>
      <c r="C91" s="263" t="s">
        <v>40</v>
      </c>
      <c r="D91" s="255" t="s">
        <v>223</v>
      </c>
      <c r="E91" s="254" t="s">
        <v>71</v>
      </c>
      <c r="F91" s="253" t="s">
        <v>10</v>
      </c>
      <c r="G91" s="242" t="s">
        <v>251</v>
      </c>
      <c r="H91" s="242"/>
      <c r="I91" s="54">
        <f>'LISTRIK 2026'!J91-'LISTRIK 2026'!I91</f>
        <v>823</v>
      </c>
      <c r="J91" s="54">
        <f>'LISTRIK 2026'!K91-'LISTRIK 2026'!J91</f>
        <v>731</v>
      </c>
      <c r="K91" s="54">
        <f>'LISTRIK 2026'!L91-'LISTRIK 2026'!K91</f>
        <v>801</v>
      </c>
      <c r="L91" s="54">
        <f>'LISTRIK 2026'!M91-'LISTRIK 2026'!L91</f>
        <v>729</v>
      </c>
      <c r="M91" s="265"/>
    </row>
    <row r="92" spans="1:13" s="8" customFormat="1" ht="39.950000000000003" customHeight="1" x14ac:dyDescent="0.3">
      <c r="A92" s="260">
        <v>47</v>
      </c>
      <c r="B92" s="143" t="s">
        <v>210</v>
      </c>
      <c r="C92" s="263" t="s">
        <v>40</v>
      </c>
      <c r="D92" s="255" t="s">
        <v>212</v>
      </c>
      <c r="E92" s="254" t="s">
        <v>46</v>
      </c>
      <c r="F92" s="253" t="s">
        <v>10</v>
      </c>
      <c r="G92" s="242" t="s">
        <v>251</v>
      </c>
      <c r="H92" s="242"/>
      <c r="I92" s="54">
        <f>'LISTRIK 2026'!J92-'LISTRIK 2026'!I92</f>
        <v>847</v>
      </c>
      <c r="J92" s="54">
        <f>'LISTRIK 2026'!K92-'LISTRIK 2026'!J92</f>
        <v>767</v>
      </c>
      <c r="K92" s="54">
        <f>'LISTRIK 2026'!L92-'LISTRIK 2026'!K92</f>
        <v>858</v>
      </c>
      <c r="L92" s="54">
        <f>'LISTRIK 2026'!M92-'LISTRIK 2026'!L92</f>
        <v>772</v>
      </c>
      <c r="M92" s="265"/>
    </row>
    <row r="93" spans="1:13" s="8" customFormat="1" ht="39.950000000000003" customHeight="1" x14ac:dyDescent="0.3">
      <c r="A93" s="260">
        <v>48</v>
      </c>
      <c r="B93" s="144" t="s">
        <v>190</v>
      </c>
      <c r="C93" s="370"/>
      <c r="D93" s="73"/>
      <c r="E93" s="254"/>
      <c r="F93" s="267"/>
      <c r="G93" s="267"/>
      <c r="H93" s="251"/>
      <c r="I93" s="54">
        <f>'LISTRIK 2026'!J93-'LISTRIK 2026'!I93</f>
        <v>1189</v>
      </c>
      <c r="J93" s="54">
        <f>'LISTRIK 2026'!K93-'LISTRIK 2026'!J93</f>
        <v>991</v>
      </c>
      <c r="K93" s="54">
        <f>'LISTRIK 2026'!L93-'LISTRIK 2026'!K93</f>
        <v>1265</v>
      </c>
      <c r="L93" s="54">
        <f>'LISTRIK 2026'!M93-'LISTRIK 2026'!L93</f>
        <v>854</v>
      </c>
      <c r="M93" s="265"/>
    </row>
    <row r="94" spans="1:13" s="8" customFormat="1" ht="39.950000000000003" customHeight="1" x14ac:dyDescent="0.3">
      <c r="A94" s="260">
        <v>49</v>
      </c>
      <c r="B94" s="144" t="s">
        <v>192</v>
      </c>
      <c r="C94" s="371"/>
      <c r="D94" s="73" t="s">
        <v>191</v>
      </c>
      <c r="E94" s="254" t="s">
        <v>19</v>
      </c>
      <c r="F94" s="267" t="s">
        <v>10</v>
      </c>
      <c r="G94" s="267" t="s">
        <v>251</v>
      </c>
      <c r="H94" s="251">
        <v>13482010639</v>
      </c>
      <c r="I94" s="54">
        <f>'LISTRIK 2026'!J94-'LISTRIK 2026'!I94</f>
        <v>1288</v>
      </c>
      <c r="J94" s="54">
        <f>'LISTRIK 2026'!K94-'LISTRIK 2026'!J94</f>
        <v>994</v>
      </c>
      <c r="K94" s="54">
        <f>'LISTRIK 2026'!L94-'LISTRIK 2026'!K94</f>
        <v>1263</v>
      </c>
      <c r="L94" s="54">
        <f>'LISTRIK 2026'!M94-'LISTRIK 2026'!L94</f>
        <v>1144</v>
      </c>
      <c r="M94" s="265"/>
    </row>
    <row r="95" spans="1:13" s="8" customFormat="1" ht="39.950000000000003" customHeight="1" x14ac:dyDescent="0.3">
      <c r="A95" s="353">
        <v>50</v>
      </c>
      <c r="B95" s="162" t="s">
        <v>369</v>
      </c>
      <c r="C95" s="375" t="s">
        <v>40</v>
      </c>
      <c r="D95" s="73" t="s">
        <v>242</v>
      </c>
      <c r="E95" s="250" t="s">
        <v>23</v>
      </c>
      <c r="F95" s="267" t="s">
        <v>10</v>
      </c>
      <c r="G95" s="267" t="s">
        <v>251</v>
      </c>
      <c r="H95" s="251">
        <v>17312010468</v>
      </c>
      <c r="I95" s="54">
        <f>'LISTRIK 2026'!J95-'LISTRIK 2026'!I95</f>
        <v>1974</v>
      </c>
      <c r="J95" s="54">
        <f>'LISTRIK 2026'!K95-'LISTRIK 2026'!J95</f>
        <v>2235</v>
      </c>
      <c r="K95" s="54">
        <f>'LISTRIK 2026'!L95-'LISTRIK 2026'!K95</f>
        <v>3512</v>
      </c>
      <c r="L95" s="54">
        <f>'LISTRIK 2026'!M95-'LISTRIK 2026'!L95</f>
        <v>676</v>
      </c>
      <c r="M95" s="37"/>
    </row>
    <row r="96" spans="1:13" s="8" customFormat="1" ht="39.950000000000003" customHeight="1" x14ac:dyDescent="0.3">
      <c r="A96" s="355"/>
      <c r="B96" s="159" t="s">
        <v>276</v>
      </c>
      <c r="C96" s="370"/>
      <c r="D96" s="112"/>
      <c r="E96" s="250" t="s">
        <v>17</v>
      </c>
      <c r="F96" s="267" t="s">
        <v>10</v>
      </c>
      <c r="G96" s="267" t="s">
        <v>251</v>
      </c>
      <c r="H96" s="251"/>
      <c r="I96" s="54">
        <f>'LISTRIK 2026'!J96-'LISTRIK 2026'!I96</f>
        <v>190</v>
      </c>
      <c r="J96" s="54">
        <f>'LISTRIK 2026'!K96-'LISTRIK 2026'!J96</f>
        <v>172</v>
      </c>
      <c r="K96" s="54">
        <f>'LISTRIK 2026'!L96-'LISTRIK 2026'!K96</f>
        <v>207</v>
      </c>
      <c r="L96" s="54">
        <f>'LISTRIK 2026'!M96-'LISTRIK 2026'!L96</f>
        <v>164</v>
      </c>
      <c r="M96" s="266"/>
    </row>
    <row r="97" spans="1:14" s="8" customFormat="1" ht="39.950000000000003" customHeight="1" x14ac:dyDescent="0.3">
      <c r="A97" s="354"/>
      <c r="B97" s="159" t="s">
        <v>277</v>
      </c>
      <c r="C97" s="371"/>
      <c r="D97" s="112"/>
      <c r="E97" s="254" t="s">
        <v>16</v>
      </c>
      <c r="F97" s="267" t="s">
        <v>10</v>
      </c>
      <c r="G97" s="267" t="s">
        <v>253</v>
      </c>
      <c r="H97" s="251" t="s">
        <v>278</v>
      </c>
      <c r="I97" s="54">
        <f>'LISTRIK 2026'!J97-'LISTRIK 2026'!I97</f>
        <v>19.100000000000023</v>
      </c>
      <c r="J97" s="54">
        <f>'LISTRIK 2026'!K97-'LISTRIK 2026'!J97</f>
        <v>5.2999999999999545</v>
      </c>
      <c r="K97" s="54">
        <f>'LISTRIK 2026'!L97-'LISTRIK 2026'!K97</f>
        <v>25.200000000000045</v>
      </c>
      <c r="L97" s="54">
        <f>'LISTRIK 2026'!M97-'LISTRIK 2026'!L97</f>
        <v>22</v>
      </c>
      <c r="M97" s="266"/>
    </row>
    <row r="98" spans="1:14" s="8" customFormat="1" ht="39.950000000000003" customHeight="1" x14ac:dyDescent="0.3">
      <c r="A98" s="260">
        <v>51</v>
      </c>
      <c r="B98" s="126" t="s">
        <v>245</v>
      </c>
      <c r="C98" s="258" t="s">
        <v>41</v>
      </c>
      <c r="D98" s="247" t="s">
        <v>246</v>
      </c>
      <c r="E98" s="254" t="s">
        <v>23</v>
      </c>
      <c r="F98" s="267" t="s">
        <v>10</v>
      </c>
      <c r="G98" s="24" t="s">
        <v>257</v>
      </c>
      <c r="H98" s="26"/>
      <c r="I98" s="54">
        <f>'LISTRIK 2026'!J98-'LISTRIK 2026'!I98</f>
        <v>1191</v>
      </c>
      <c r="J98" s="54">
        <f>'LISTRIK 2026'!K98-'LISTRIK 2026'!J98</f>
        <v>1166</v>
      </c>
      <c r="K98" s="54">
        <f>'LISTRIK 2026'!L98-'LISTRIK 2026'!K98</f>
        <v>1330</v>
      </c>
      <c r="L98" s="54">
        <f>'LISTRIK 2026'!M98-'LISTRIK 2026'!L98</f>
        <v>1185</v>
      </c>
      <c r="M98" s="266"/>
    </row>
    <row r="99" spans="1:14" s="8" customFormat="1" ht="39.950000000000003" customHeight="1" x14ac:dyDescent="0.3">
      <c r="A99" s="262">
        <v>52</v>
      </c>
      <c r="B99" s="126" t="s">
        <v>74</v>
      </c>
      <c r="C99" s="258" t="s">
        <v>41</v>
      </c>
      <c r="D99" s="247" t="s">
        <v>80</v>
      </c>
      <c r="E99" s="250" t="s">
        <v>23</v>
      </c>
      <c r="F99" s="253" t="s">
        <v>10</v>
      </c>
      <c r="G99" s="244" t="s">
        <v>254</v>
      </c>
      <c r="H99" s="244">
        <v>13152011224</v>
      </c>
      <c r="I99" s="54">
        <f>'LISTRIK 2026'!J99-'LISTRIK 2026'!I99</f>
        <v>773</v>
      </c>
      <c r="J99" s="54">
        <f>'LISTRIK 2026'!K99-'LISTRIK 2026'!J99</f>
        <v>697</v>
      </c>
      <c r="K99" s="54">
        <f>'LISTRIK 2026'!L99-'LISTRIK 2026'!K99</f>
        <v>794</v>
      </c>
      <c r="L99" s="54">
        <f>'LISTRIK 2026'!M99-'LISTRIK 2026'!L99</f>
        <v>722</v>
      </c>
      <c r="M99" s="266"/>
    </row>
    <row r="100" spans="1:14" s="8" customFormat="1" ht="39.950000000000003" customHeight="1" x14ac:dyDescent="0.3">
      <c r="A100" s="260">
        <v>53</v>
      </c>
      <c r="B100" s="126" t="s">
        <v>379</v>
      </c>
      <c r="C100" s="258" t="s">
        <v>41</v>
      </c>
      <c r="D100" s="247" t="s">
        <v>291</v>
      </c>
      <c r="E100" s="250" t="s">
        <v>46</v>
      </c>
      <c r="F100" s="244" t="s">
        <v>20</v>
      </c>
      <c r="G100" s="253" t="s">
        <v>251</v>
      </c>
      <c r="H100" s="252"/>
      <c r="I100" s="54">
        <f>'LISTRIK 2026'!J100-'LISTRIK 2026'!I100</f>
        <v>1173</v>
      </c>
      <c r="J100" s="54">
        <f>'LISTRIK 2026'!K100-'LISTRIK 2026'!J100</f>
        <v>1036</v>
      </c>
      <c r="K100" s="54">
        <f>'LISTRIK 2026'!L100-'LISTRIK 2026'!K100</f>
        <v>1165</v>
      </c>
      <c r="L100" s="54">
        <f>'LISTRIK 2026'!M100-'LISTRIK 2026'!L100</f>
        <v>1058</v>
      </c>
      <c r="M100" s="266"/>
      <c r="N100" s="286"/>
    </row>
    <row r="101" spans="1:14" s="8" customFormat="1" ht="39.950000000000003" customHeight="1" x14ac:dyDescent="0.3">
      <c r="A101" s="262">
        <v>54</v>
      </c>
      <c r="B101" s="126" t="s">
        <v>290</v>
      </c>
      <c r="C101" s="258" t="s">
        <v>41</v>
      </c>
      <c r="D101" s="247" t="s">
        <v>291</v>
      </c>
      <c r="E101" s="250" t="s">
        <v>46</v>
      </c>
      <c r="F101" s="244" t="s">
        <v>20</v>
      </c>
      <c r="G101" s="253" t="s">
        <v>251</v>
      </c>
      <c r="H101" s="252"/>
      <c r="I101" s="54">
        <f>'LISTRIK 2026'!J101-'LISTRIK 2026'!I101</f>
        <v>590</v>
      </c>
      <c r="J101" s="54">
        <f>'LISTRIK 2026'!K101-'LISTRIK 2026'!J101</f>
        <v>533</v>
      </c>
      <c r="K101" s="54">
        <f>'LISTRIK 2026'!L101-'LISTRIK 2026'!K101</f>
        <v>598</v>
      </c>
      <c r="L101" s="54">
        <f>'LISTRIK 2026'!M101-'LISTRIK 2026'!L101</f>
        <v>542</v>
      </c>
      <c r="M101" s="266"/>
      <c r="N101" s="286"/>
    </row>
    <row r="102" spans="1:14" s="8" customFormat="1" ht="39.950000000000003" customHeight="1" x14ac:dyDescent="0.3">
      <c r="A102" s="260">
        <v>55</v>
      </c>
      <c r="B102" s="126" t="s">
        <v>311</v>
      </c>
      <c r="C102" s="258" t="s">
        <v>41</v>
      </c>
      <c r="D102" s="247" t="s">
        <v>291</v>
      </c>
      <c r="E102" s="250"/>
      <c r="F102" s="244"/>
      <c r="G102" s="253"/>
      <c r="H102" s="252"/>
      <c r="I102" s="54">
        <f>'LISTRIK 2026'!J102-'LISTRIK 2026'!I102</f>
        <v>198.09999999999991</v>
      </c>
      <c r="J102" s="54">
        <f>'LISTRIK 2026'!K102-'LISTRIK 2026'!J102</f>
        <v>187.40000000000009</v>
      </c>
      <c r="K102" s="54">
        <f>'LISTRIK 2026'!L102-'LISTRIK 2026'!K102</f>
        <v>208.80000000000018</v>
      </c>
      <c r="L102" s="54">
        <f>'LISTRIK 2026'!M102-'LISTRIK 2026'!L102</f>
        <v>185.09999999999991</v>
      </c>
      <c r="M102" s="266"/>
      <c r="N102" s="286"/>
    </row>
    <row r="103" spans="1:14" s="8" customFormat="1" ht="39.950000000000003" customHeight="1" x14ac:dyDescent="0.3">
      <c r="A103" s="262">
        <v>56</v>
      </c>
      <c r="B103" s="126" t="s">
        <v>357</v>
      </c>
      <c r="C103" s="258" t="s">
        <v>41</v>
      </c>
      <c r="D103" s="247">
        <v>11</v>
      </c>
      <c r="E103" s="250" t="s">
        <v>23</v>
      </c>
      <c r="F103" s="253" t="s">
        <v>10</v>
      </c>
      <c r="G103" s="253" t="s">
        <v>251</v>
      </c>
      <c r="H103" s="252"/>
      <c r="I103" s="54">
        <f>'LISTRIK 2026'!J103-'LISTRIK 2026'!I103</f>
        <v>3406</v>
      </c>
      <c r="J103" s="54">
        <f>'LISTRIK 2026'!K103-'LISTRIK 2026'!J103</f>
        <v>3023</v>
      </c>
      <c r="K103" s="54">
        <f>'LISTRIK 2026'!L103-'LISTRIK 2026'!K103</f>
        <v>3456</v>
      </c>
      <c r="L103" s="54">
        <f>'LISTRIK 2026'!M103-'LISTRIK 2026'!L103</f>
        <v>3097</v>
      </c>
      <c r="M103" s="266"/>
      <c r="N103" s="286"/>
    </row>
    <row r="104" spans="1:14" s="8" customFormat="1" ht="39.950000000000003" customHeight="1" x14ac:dyDescent="0.3">
      <c r="A104" s="260">
        <v>57</v>
      </c>
      <c r="B104" s="126" t="s">
        <v>266</v>
      </c>
      <c r="C104" s="258" t="s">
        <v>41</v>
      </c>
      <c r="D104" s="247" t="s">
        <v>267</v>
      </c>
      <c r="E104" s="250" t="s">
        <v>23</v>
      </c>
      <c r="F104" s="253" t="s">
        <v>10</v>
      </c>
      <c r="G104" s="253" t="s">
        <v>251</v>
      </c>
      <c r="H104" s="252"/>
      <c r="I104" s="54">
        <f>'LISTRIK 2026'!J104-'LISTRIK 2026'!I104</f>
        <v>1290</v>
      </c>
      <c r="J104" s="54">
        <f>'LISTRIK 2026'!K104-'LISTRIK 2026'!J104</f>
        <v>1170</v>
      </c>
      <c r="K104" s="54">
        <f>'LISTRIK 2026'!L104-'LISTRIK 2026'!K104</f>
        <v>1351</v>
      </c>
      <c r="L104" s="54">
        <f>'LISTRIK 2026'!M104-'LISTRIK 2026'!L104</f>
        <v>1193</v>
      </c>
      <c r="M104" s="266"/>
      <c r="N104" s="286"/>
    </row>
    <row r="105" spans="1:14" s="8" customFormat="1" ht="39.950000000000003" customHeight="1" x14ac:dyDescent="0.3">
      <c r="A105" s="262">
        <v>58</v>
      </c>
      <c r="B105" s="272" t="s">
        <v>283</v>
      </c>
      <c r="C105" s="258" t="s">
        <v>41</v>
      </c>
      <c r="D105" s="247">
        <v>8</v>
      </c>
      <c r="E105" s="254" t="s">
        <v>71</v>
      </c>
      <c r="F105" s="253" t="s">
        <v>10</v>
      </c>
      <c r="G105" s="253" t="s">
        <v>251</v>
      </c>
      <c r="H105" s="252"/>
      <c r="I105" s="54">
        <f>'LISTRIK 2026'!J105-'LISTRIK 2026'!I105</f>
        <v>1686</v>
      </c>
      <c r="J105" s="54">
        <f>'LISTRIK 2026'!K105-'LISTRIK 2026'!J105</f>
        <v>1519</v>
      </c>
      <c r="K105" s="54">
        <f>'LISTRIK 2026'!L105-'LISTRIK 2026'!K105</f>
        <v>1741</v>
      </c>
      <c r="L105" s="54">
        <f>'LISTRIK 2026'!M105-'LISTRIK 2026'!L105</f>
        <v>1548</v>
      </c>
      <c r="M105" s="266"/>
      <c r="N105" s="286"/>
    </row>
    <row r="106" spans="1:14" s="8" customFormat="1" ht="39.950000000000003" customHeight="1" x14ac:dyDescent="0.3">
      <c r="A106" s="260">
        <v>59</v>
      </c>
      <c r="B106" s="272" t="s">
        <v>284</v>
      </c>
      <c r="C106" s="258" t="s">
        <v>41</v>
      </c>
      <c r="D106" s="247">
        <v>3</v>
      </c>
      <c r="E106" s="254" t="s">
        <v>9</v>
      </c>
      <c r="F106" s="253" t="s">
        <v>10</v>
      </c>
      <c r="G106" s="253" t="s">
        <v>251</v>
      </c>
      <c r="H106" s="252" t="s">
        <v>289</v>
      </c>
      <c r="I106" s="54">
        <f>'LISTRIK 2026'!J106-'LISTRIK 2026'!I106</f>
        <v>1469</v>
      </c>
      <c r="J106" s="54">
        <f>'LISTRIK 2026'!K106-'LISTRIK 2026'!J106</f>
        <v>1259</v>
      </c>
      <c r="K106" s="54">
        <f>'LISTRIK 2026'!L106-'LISTRIK 2026'!K106</f>
        <v>1412</v>
      </c>
      <c r="L106" s="54">
        <f>'LISTRIK 2026'!M106-'LISTRIK 2026'!L106</f>
        <v>1266</v>
      </c>
      <c r="M106" s="266"/>
      <c r="N106" s="286"/>
    </row>
    <row r="107" spans="1:14" s="8" customFormat="1" ht="39.950000000000003" customHeight="1" x14ac:dyDescent="0.3">
      <c r="A107" s="262">
        <v>60</v>
      </c>
      <c r="B107" s="272" t="s">
        <v>285</v>
      </c>
      <c r="C107" s="258" t="s">
        <v>41</v>
      </c>
      <c r="D107" s="247">
        <v>2</v>
      </c>
      <c r="E107" s="254" t="s">
        <v>23</v>
      </c>
      <c r="F107" s="253" t="s">
        <v>10</v>
      </c>
      <c r="G107" s="253" t="s">
        <v>251</v>
      </c>
      <c r="H107" s="252" t="s">
        <v>288</v>
      </c>
      <c r="I107" s="54">
        <f>'LISTRIK 2026'!J107-'LISTRIK 2026'!I107</f>
        <v>974</v>
      </c>
      <c r="J107" s="54">
        <f>'LISTRIK 2026'!K107-'LISTRIK 2026'!J107</f>
        <v>885</v>
      </c>
      <c r="K107" s="54">
        <f>'LISTRIK 2026'!L107-'LISTRIK 2026'!K107</f>
        <v>1174</v>
      </c>
      <c r="L107" s="54">
        <f>'LISTRIK 2026'!M107-'LISTRIK 2026'!L107</f>
        <v>946</v>
      </c>
      <c r="M107" s="266"/>
      <c r="N107" s="286"/>
    </row>
    <row r="108" spans="1:14" s="8" customFormat="1" ht="39.950000000000003" customHeight="1" x14ac:dyDescent="0.3">
      <c r="A108" s="260">
        <v>61</v>
      </c>
      <c r="B108" s="126" t="s">
        <v>374</v>
      </c>
      <c r="C108" s="258" t="s">
        <v>41</v>
      </c>
      <c r="D108" s="247">
        <v>10</v>
      </c>
      <c r="E108" s="250" t="s">
        <v>23</v>
      </c>
      <c r="F108" s="253" t="s">
        <v>10</v>
      </c>
      <c r="G108" s="244" t="s">
        <v>251</v>
      </c>
      <c r="H108" s="252"/>
      <c r="I108" s="54">
        <f>'LISTRIK 2026'!J108-'LISTRIK 2026'!I108</f>
        <v>1003</v>
      </c>
      <c r="J108" s="54">
        <f>'LISTRIK 2026'!K108-'LISTRIK 2026'!J108</f>
        <v>894</v>
      </c>
      <c r="K108" s="54">
        <f>'LISTRIK 2026'!L108-'LISTRIK 2026'!K108</f>
        <v>1043</v>
      </c>
      <c r="L108" s="54">
        <f>'LISTRIK 2026'!M108-'LISTRIK 2026'!L108</f>
        <v>948</v>
      </c>
      <c r="M108" s="266"/>
      <c r="N108" s="286"/>
    </row>
    <row r="109" spans="1:14" s="8" customFormat="1" ht="39.950000000000003" customHeight="1" x14ac:dyDescent="0.3">
      <c r="A109" s="262">
        <v>62</v>
      </c>
      <c r="B109" s="126" t="s">
        <v>377</v>
      </c>
      <c r="C109" s="258" t="s">
        <v>41</v>
      </c>
      <c r="D109" s="247">
        <v>10</v>
      </c>
      <c r="E109" s="250" t="s">
        <v>46</v>
      </c>
      <c r="F109" s="253" t="s">
        <v>20</v>
      </c>
      <c r="G109" s="244"/>
      <c r="H109" s="252"/>
      <c r="I109" s="54">
        <f>'LISTRIK 2026'!J109-'LISTRIK 2026'!I109</f>
        <v>1632.3</v>
      </c>
      <c r="J109" s="54">
        <f>'LISTRIK 2026'!K109-'LISTRIK 2026'!J109</f>
        <v>1350.8999999999999</v>
      </c>
      <c r="K109" s="54">
        <f>'LISTRIK 2026'!L109-'LISTRIK 2026'!K109</f>
        <v>1561</v>
      </c>
      <c r="L109" s="54">
        <f>'LISTRIK 2026'!M109-'LISTRIK 2026'!L109</f>
        <v>1403.6000000000004</v>
      </c>
      <c r="M109" s="266"/>
      <c r="N109" s="286"/>
    </row>
    <row r="110" spans="1:14" s="8" customFormat="1" ht="39.950000000000003" customHeight="1" x14ac:dyDescent="0.3">
      <c r="A110" s="260">
        <v>63</v>
      </c>
      <c r="B110" s="126" t="s">
        <v>211</v>
      </c>
      <c r="C110" s="263" t="s">
        <v>41</v>
      </c>
      <c r="D110" s="46" t="s">
        <v>213</v>
      </c>
      <c r="E110" s="254" t="s">
        <v>23</v>
      </c>
      <c r="F110" s="253" t="s">
        <v>10</v>
      </c>
      <c r="G110" s="253" t="s">
        <v>251</v>
      </c>
      <c r="H110" s="26" t="s">
        <v>275</v>
      </c>
      <c r="I110" s="54">
        <f>'LISTRIK 2026'!J110-'LISTRIK 2026'!I110</f>
        <v>2362</v>
      </c>
      <c r="J110" s="54">
        <f>'LISTRIK 2026'!K110-'LISTRIK 2026'!J110</f>
        <v>2138</v>
      </c>
      <c r="K110" s="54">
        <f>'LISTRIK 2026'!L110-'LISTRIK 2026'!K110</f>
        <v>2413</v>
      </c>
      <c r="L110" s="54">
        <f>'LISTRIK 2026'!M110-'LISTRIK 2026'!L110</f>
        <v>2220</v>
      </c>
      <c r="M110" s="266"/>
    </row>
    <row r="111" spans="1:14" s="8" customFormat="1" ht="39.950000000000003" customHeight="1" x14ac:dyDescent="0.3">
      <c r="A111" s="262">
        <v>64</v>
      </c>
      <c r="B111" s="132" t="s">
        <v>300</v>
      </c>
      <c r="C111" s="263" t="s">
        <v>41</v>
      </c>
      <c r="D111" s="269">
        <v>15</v>
      </c>
      <c r="E111" s="254" t="s">
        <v>9</v>
      </c>
      <c r="F111" s="253" t="s">
        <v>20</v>
      </c>
      <c r="G111" s="253"/>
      <c r="H111" s="26" t="s">
        <v>99</v>
      </c>
      <c r="I111" s="54">
        <f>'LISTRIK 2026'!J111-'LISTRIK 2026'!I111</f>
        <v>1316</v>
      </c>
      <c r="J111" s="54">
        <f>'LISTRIK 2026'!K111-'LISTRIK 2026'!J111</f>
        <v>1168</v>
      </c>
      <c r="K111" s="54">
        <f>'LISTRIK 2026'!L111-'LISTRIK 2026'!K111</f>
        <v>1459</v>
      </c>
      <c r="L111" s="54">
        <f>'LISTRIK 2026'!M111-'LISTRIK 2026'!L111</f>
        <v>1312</v>
      </c>
      <c r="M111" s="266"/>
    </row>
    <row r="112" spans="1:14" s="8" customFormat="1" ht="39.950000000000003" customHeight="1" x14ac:dyDescent="0.3">
      <c r="A112" s="260">
        <v>65</v>
      </c>
      <c r="B112" s="132" t="s">
        <v>238</v>
      </c>
      <c r="C112" s="263" t="s">
        <v>41</v>
      </c>
      <c r="D112" s="269" t="s">
        <v>239</v>
      </c>
      <c r="E112" s="248" t="s">
        <v>23</v>
      </c>
      <c r="F112" s="253" t="s">
        <v>10</v>
      </c>
      <c r="G112" s="244" t="s">
        <v>251</v>
      </c>
      <c r="H112" s="252" t="s">
        <v>273</v>
      </c>
      <c r="I112" s="54">
        <f>'LISTRIK 2026'!J112-'LISTRIK 2026'!I112</f>
        <v>778</v>
      </c>
      <c r="J112" s="54">
        <f>'LISTRIK 2026'!K112-'LISTRIK 2026'!J112</f>
        <v>677</v>
      </c>
      <c r="K112" s="54">
        <f>'LISTRIK 2026'!L112-'LISTRIK 2026'!K112</f>
        <v>795</v>
      </c>
      <c r="L112" s="54">
        <f>'LISTRIK 2026'!M112-'LISTRIK 2026'!L112</f>
        <v>704</v>
      </c>
      <c r="M112" s="266"/>
      <c r="N112" s="286"/>
    </row>
    <row r="113" spans="1:13" s="8" customFormat="1" ht="39.950000000000003" customHeight="1" x14ac:dyDescent="0.3">
      <c r="A113" s="262">
        <v>66</v>
      </c>
      <c r="B113" s="143" t="s">
        <v>79</v>
      </c>
      <c r="C113" s="263" t="s">
        <v>41</v>
      </c>
      <c r="D113" s="255">
        <v>16</v>
      </c>
      <c r="E113" s="248" t="s">
        <v>23</v>
      </c>
      <c r="F113" s="253" t="s">
        <v>10</v>
      </c>
      <c r="G113" s="244" t="s">
        <v>251</v>
      </c>
      <c r="H113" s="252"/>
      <c r="I113" s="54">
        <f>'LISTRIK 2026'!J113-'LISTRIK 2026'!I113</f>
        <v>1238</v>
      </c>
      <c r="J113" s="54">
        <f>'LISTRIK 2026'!K113-'LISTRIK 2026'!J113</f>
        <v>1269</v>
      </c>
      <c r="K113" s="54">
        <f>'LISTRIK 2026'!L113-'LISTRIK 2026'!K113</f>
        <v>1410</v>
      </c>
      <c r="L113" s="54">
        <f>'LISTRIK 2026'!M113-'LISTRIK 2026'!L113</f>
        <v>1293</v>
      </c>
      <c r="M113" s="266"/>
    </row>
    <row r="114" spans="1:13" s="8" customFormat="1" ht="39.950000000000003" customHeight="1" x14ac:dyDescent="0.3">
      <c r="A114" s="260">
        <v>67</v>
      </c>
      <c r="B114" s="126" t="s">
        <v>75</v>
      </c>
      <c r="C114" s="258" t="s">
        <v>41</v>
      </c>
      <c r="D114" s="269">
        <v>17</v>
      </c>
      <c r="E114" s="254" t="s">
        <v>23</v>
      </c>
      <c r="F114" s="244" t="s">
        <v>10</v>
      </c>
      <c r="G114" s="244" t="s">
        <v>254</v>
      </c>
      <c r="H114" s="244">
        <v>13152011229</v>
      </c>
      <c r="I114" s="54">
        <f>'LISTRIK 2026'!J114-'LISTRIK 2026'!I114</f>
        <v>1455</v>
      </c>
      <c r="J114" s="54">
        <f>'LISTRIK 2026'!K114-'LISTRIK 2026'!J114</f>
        <v>1318</v>
      </c>
      <c r="K114" s="54">
        <f>'LISTRIK 2026'!L114-'LISTRIK 2026'!K114</f>
        <v>1535</v>
      </c>
      <c r="L114" s="54">
        <f>'LISTRIK 2026'!M114-'LISTRIK 2026'!L114</f>
        <v>1353</v>
      </c>
      <c r="M114" s="266"/>
    </row>
    <row r="115" spans="1:13" s="8" customFormat="1" ht="39.950000000000003" customHeight="1" x14ac:dyDescent="0.3">
      <c r="A115" s="262">
        <v>68</v>
      </c>
      <c r="B115" s="143" t="s">
        <v>76</v>
      </c>
      <c r="C115" s="263" t="s">
        <v>41</v>
      </c>
      <c r="D115" s="267" t="s">
        <v>45</v>
      </c>
      <c r="E115" s="248" t="s">
        <v>71</v>
      </c>
      <c r="F115" s="242" t="s">
        <v>10</v>
      </c>
      <c r="G115" s="253" t="s">
        <v>254</v>
      </c>
      <c r="H115" s="253">
        <v>13152011175</v>
      </c>
      <c r="I115" s="54">
        <f>'LISTRIK 2026'!J115-'LISTRIK 2026'!I115</f>
        <v>2653</v>
      </c>
      <c r="J115" s="54">
        <f>'LISTRIK 2026'!K115-'LISTRIK 2026'!J115</f>
        <v>2430</v>
      </c>
      <c r="K115" s="54">
        <f>'LISTRIK 2026'!L115-'LISTRIK 2026'!K115</f>
        <v>3434</v>
      </c>
      <c r="L115" s="54">
        <f>'LISTRIK 2026'!M115-'LISTRIK 2026'!L115</f>
        <v>3031</v>
      </c>
      <c r="M115" s="266"/>
    </row>
    <row r="116" spans="1:13" s="8" customFormat="1" ht="39.950000000000003" customHeight="1" x14ac:dyDescent="0.3">
      <c r="A116" s="260">
        <v>69</v>
      </c>
      <c r="B116" s="126" t="s">
        <v>77</v>
      </c>
      <c r="C116" s="258" t="s">
        <v>41</v>
      </c>
      <c r="D116" s="24">
        <v>20</v>
      </c>
      <c r="E116" s="254" t="s">
        <v>23</v>
      </c>
      <c r="F116" s="253" t="s">
        <v>10</v>
      </c>
      <c r="G116" s="244" t="s">
        <v>251</v>
      </c>
      <c r="H116" s="252" t="s">
        <v>83</v>
      </c>
      <c r="I116" s="54">
        <f>'LISTRIK 2026'!J116-'LISTRIK 2026'!I116</f>
        <v>1150</v>
      </c>
      <c r="J116" s="54">
        <f>'LISTRIK 2026'!K116-'LISTRIK 2026'!J116</f>
        <v>1057</v>
      </c>
      <c r="K116" s="54">
        <f>'LISTRIK 2026'!L116-'LISTRIK 2026'!K116</f>
        <v>1231</v>
      </c>
      <c r="L116" s="54">
        <f>'LISTRIK 2026'!M116-'LISTRIK 2026'!L116</f>
        <v>1086</v>
      </c>
      <c r="M116" s="266"/>
    </row>
    <row r="117" spans="1:13" s="8" customFormat="1" ht="39.950000000000003" customHeight="1" x14ac:dyDescent="0.3">
      <c r="A117" s="353">
        <v>70</v>
      </c>
      <c r="B117" s="126" t="s">
        <v>194</v>
      </c>
      <c r="C117" s="258" t="s">
        <v>41</v>
      </c>
      <c r="D117" s="269">
        <v>21</v>
      </c>
      <c r="E117" s="250" t="s">
        <v>71</v>
      </c>
      <c r="F117" s="253" t="s">
        <v>10</v>
      </c>
      <c r="G117" s="244" t="s">
        <v>254</v>
      </c>
      <c r="H117" s="252">
        <v>17222010887</v>
      </c>
      <c r="I117" s="54">
        <f>'LISTRIK 2026'!J117-'LISTRIK 2026'!I117</f>
        <v>1218</v>
      </c>
      <c r="J117" s="54">
        <f>'LISTRIK 2026'!K117-'LISTRIK 2026'!J117</f>
        <v>1100</v>
      </c>
      <c r="K117" s="54">
        <f>'LISTRIK 2026'!L117-'LISTRIK 2026'!K117</f>
        <v>1334</v>
      </c>
      <c r="L117" s="54">
        <f>'LISTRIK 2026'!M117-'LISTRIK 2026'!L117</f>
        <v>1063</v>
      </c>
      <c r="M117" s="304"/>
    </row>
    <row r="118" spans="1:13" s="8" customFormat="1" ht="39.950000000000003" customHeight="1" x14ac:dyDescent="0.3">
      <c r="A118" s="355"/>
      <c r="B118" s="126" t="s">
        <v>215</v>
      </c>
      <c r="C118" s="258" t="s">
        <v>41</v>
      </c>
      <c r="D118" s="269">
        <v>21</v>
      </c>
      <c r="E118" s="250" t="s">
        <v>16</v>
      </c>
      <c r="F118" s="244" t="s">
        <v>10</v>
      </c>
      <c r="G118" s="244" t="s">
        <v>258</v>
      </c>
      <c r="H118" s="252"/>
      <c r="I118" s="54">
        <f>'LISTRIK 2026'!J118-'LISTRIK 2026'!I118</f>
        <v>52.30000000000291</v>
      </c>
      <c r="J118" s="54">
        <f>'LISTRIK 2026'!K118-'LISTRIK 2026'!J118</f>
        <v>72.099999999998545</v>
      </c>
      <c r="K118" s="54">
        <f>'LISTRIK 2026'!L118-'LISTRIK 2026'!K118</f>
        <v>81.400000000001455</v>
      </c>
      <c r="L118" s="54">
        <f>'LISTRIK 2026'!M118-'LISTRIK 2026'!L118</f>
        <v>73.099999999998545</v>
      </c>
      <c r="M118" s="266"/>
    </row>
    <row r="119" spans="1:13" s="8" customFormat="1" ht="39.950000000000003" customHeight="1" x14ac:dyDescent="0.3">
      <c r="A119" s="355"/>
      <c r="B119" s="126" t="s">
        <v>217</v>
      </c>
      <c r="C119" s="258" t="s">
        <v>8</v>
      </c>
      <c r="D119" s="269" t="s">
        <v>218</v>
      </c>
      <c r="E119" s="250" t="s">
        <v>23</v>
      </c>
      <c r="F119" s="244" t="s">
        <v>10</v>
      </c>
      <c r="G119" s="244" t="s">
        <v>254</v>
      </c>
      <c r="H119" s="252"/>
      <c r="I119" s="54">
        <f>'LISTRIK 2026'!J119-'LISTRIK 2026'!I119</f>
        <v>1646</v>
      </c>
      <c r="J119" s="54">
        <f>'LISTRIK 2026'!K119-'LISTRIK 2026'!J119</f>
        <v>1377</v>
      </c>
      <c r="K119" s="54">
        <f>'LISTRIK 2026'!L119-'LISTRIK 2026'!K119</f>
        <v>1397</v>
      </c>
      <c r="L119" s="54">
        <f>'LISTRIK 2026'!M119-'LISTRIK 2026'!L119</f>
        <v>1428</v>
      </c>
      <c r="M119" s="266"/>
    </row>
    <row r="120" spans="1:13" s="8" customFormat="1" ht="39.950000000000003" customHeight="1" x14ac:dyDescent="0.3">
      <c r="A120" s="354"/>
      <c r="B120" s="143" t="s">
        <v>195</v>
      </c>
      <c r="C120" s="258" t="s">
        <v>41</v>
      </c>
      <c r="D120" s="255" t="s">
        <v>103</v>
      </c>
      <c r="E120" s="254" t="s">
        <v>46</v>
      </c>
      <c r="F120" s="253" t="s">
        <v>20</v>
      </c>
      <c r="G120" s="253" t="s">
        <v>251</v>
      </c>
      <c r="H120" s="26">
        <v>17261010151</v>
      </c>
      <c r="I120" s="54">
        <f>'LISTRIK 2026'!J120-'LISTRIK 2026'!I120</f>
        <v>405</v>
      </c>
      <c r="J120" s="54">
        <f>'LISTRIK 2026'!K120-'LISTRIK 2026'!J120</f>
        <v>360</v>
      </c>
      <c r="K120" s="54">
        <f>'LISTRIK 2026'!L120-'LISTRIK 2026'!K120</f>
        <v>432</v>
      </c>
      <c r="L120" s="54">
        <f>'LISTRIK 2026'!M120-'LISTRIK 2026'!L120</f>
        <v>396</v>
      </c>
      <c r="M120" s="266"/>
    </row>
    <row r="121" spans="1:13" s="8" customFormat="1" ht="39.950000000000003" customHeight="1" x14ac:dyDescent="0.3">
      <c r="A121" s="262">
        <v>71</v>
      </c>
      <c r="B121" s="126" t="s">
        <v>247</v>
      </c>
      <c r="C121" s="258" t="s">
        <v>41</v>
      </c>
      <c r="D121" s="269">
        <v>22</v>
      </c>
      <c r="E121" s="254" t="s">
        <v>9</v>
      </c>
      <c r="F121" s="244" t="s">
        <v>10</v>
      </c>
      <c r="G121" s="244" t="s">
        <v>251</v>
      </c>
      <c r="H121" s="252"/>
      <c r="I121" s="54">
        <f>'LISTRIK 2026'!J121-'LISTRIK 2026'!I121</f>
        <v>1781</v>
      </c>
      <c r="J121" s="54">
        <f>'LISTRIK 2026'!K121-'LISTRIK 2026'!J121</f>
        <v>1620</v>
      </c>
      <c r="K121" s="54">
        <f>'LISTRIK 2026'!L121-'LISTRIK 2026'!K121</f>
        <v>1837</v>
      </c>
      <c r="L121" s="54">
        <f>'LISTRIK 2026'!M121-'LISTRIK 2026'!L121</f>
        <v>1656</v>
      </c>
      <c r="M121" s="266"/>
    </row>
    <row r="122" spans="1:13" s="8" customFormat="1" ht="39.950000000000003" customHeight="1" x14ac:dyDescent="0.3">
      <c r="A122" s="262">
        <v>72</v>
      </c>
      <c r="B122" s="126" t="s">
        <v>108</v>
      </c>
      <c r="C122" s="258" t="s">
        <v>41</v>
      </c>
      <c r="D122" s="269" t="s">
        <v>109</v>
      </c>
      <c r="E122" s="250" t="s">
        <v>46</v>
      </c>
      <c r="F122" s="244" t="s">
        <v>10</v>
      </c>
      <c r="G122" s="244" t="s">
        <v>251</v>
      </c>
      <c r="H122" s="252">
        <v>18072010563</v>
      </c>
      <c r="I122" s="54">
        <f>'LISTRIK 2026'!J122-'LISTRIK 2026'!I122</f>
        <v>930</v>
      </c>
      <c r="J122" s="54">
        <f>'LISTRIK 2026'!K122-'LISTRIK 2026'!J122</f>
        <v>840</v>
      </c>
      <c r="K122" s="54">
        <f>'LISTRIK 2026'!L122-'LISTRIK 2026'!K122</f>
        <v>941</v>
      </c>
      <c r="L122" s="54">
        <f>'LISTRIK 2026'!M122-'LISTRIK 2026'!L122</f>
        <v>809</v>
      </c>
      <c r="M122" s="266"/>
    </row>
    <row r="123" spans="1:13" s="8" customFormat="1" ht="39.950000000000003" customHeight="1" x14ac:dyDescent="0.3">
      <c r="A123" s="262">
        <v>73</v>
      </c>
      <c r="B123" s="126" t="s">
        <v>193</v>
      </c>
      <c r="C123" s="258" t="s">
        <v>41</v>
      </c>
      <c r="D123" s="269">
        <v>26</v>
      </c>
      <c r="E123" s="250" t="s">
        <v>46</v>
      </c>
      <c r="F123" s="244" t="s">
        <v>20</v>
      </c>
      <c r="G123" s="244"/>
      <c r="H123" s="252">
        <v>224016017</v>
      </c>
      <c r="I123" s="54">
        <f>'LISTRIK 2026'!J123-'LISTRIK 2026'!I123</f>
        <v>524.20000000000073</v>
      </c>
      <c r="J123" s="54">
        <f>'LISTRIK 2026'!K123-'LISTRIK 2026'!J123</f>
        <v>478</v>
      </c>
      <c r="K123" s="54">
        <f>'LISTRIK 2026'!L123-'LISTRIK 2026'!K123</f>
        <v>524.29999999999927</v>
      </c>
      <c r="L123" s="54">
        <f>'LISTRIK 2026'!M123-'LISTRIK 2026'!L123</f>
        <v>469.20000000000073</v>
      </c>
      <c r="M123" s="266"/>
    </row>
    <row r="124" spans="1:13" s="8" customFormat="1" ht="39.950000000000003" customHeight="1" x14ac:dyDescent="0.3">
      <c r="A124" s="262">
        <v>74</v>
      </c>
      <c r="B124" s="126" t="s">
        <v>356</v>
      </c>
      <c r="C124" s="258" t="s">
        <v>41</v>
      </c>
      <c r="D124" s="269">
        <v>23</v>
      </c>
      <c r="E124" s="250" t="s">
        <v>71</v>
      </c>
      <c r="F124" s="244" t="s">
        <v>20</v>
      </c>
      <c r="G124" s="244"/>
      <c r="H124" s="252">
        <v>214496036</v>
      </c>
      <c r="I124" s="54">
        <f>'LISTRIK 2026'!J124-'LISTRIK 2026'!I124</f>
        <v>1063.0999999999985</v>
      </c>
      <c r="J124" s="54">
        <f>'LISTRIK 2026'!K124-'LISTRIK 2026'!J124</f>
        <v>964</v>
      </c>
      <c r="K124" s="54">
        <f>'LISTRIK 2026'!L124-'LISTRIK 2026'!K124</f>
        <v>1113.2000000000044</v>
      </c>
      <c r="L124" s="54">
        <f>'LISTRIK 2026'!M124-'LISTRIK 2026'!L124</f>
        <v>959.79999999999563</v>
      </c>
      <c r="M124" s="266"/>
    </row>
    <row r="125" spans="1:13" s="8" customFormat="1" ht="39.950000000000003" customHeight="1" x14ac:dyDescent="0.3">
      <c r="A125" s="262">
        <v>75</v>
      </c>
      <c r="B125" s="126" t="s">
        <v>337</v>
      </c>
      <c r="C125" s="258" t="s">
        <v>41</v>
      </c>
      <c r="D125" s="269" t="s">
        <v>338</v>
      </c>
      <c r="E125" s="250" t="s">
        <v>46</v>
      </c>
      <c r="F125" s="244" t="s">
        <v>20</v>
      </c>
      <c r="G125" s="244"/>
      <c r="H125" s="252" t="s">
        <v>339</v>
      </c>
      <c r="I125" s="54">
        <f>'LISTRIK 2026'!J125-'LISTRIK 2026'!I125</f>
        <v>280.5</v>
      </c>
      <c r="J125" s="54">
        <f>'LISTRIK 2026'!K125-'LISTRIK 2026'!J125</f>
        <v>246.40000000000055</v>
      </c>
      <c r="K125" s="54">
        <f>'LISTRIK 2026'!L125-'LISTRIK 2026'!K125</f>
        <v>278.29999999999927</v>
      </c>
      <c r="L125" s="54">
        <f>'LISTRIK 2026'!M125-'LISTRIK 2026'!L125</f>
        <v>254.5</v>
      </c>
      <c r="M125" s="266"/>
    </row>
    <row r="126" spans="1:13" s="8" customFormat="1" ht="39.950000000000003" customHeight="1" x14ac:dyDescent="0.3">
      <c r="A126" s="353">
        <v>76</v>
      </c>
      <c r="B126" s="126" t="s">
        <v>331</v>
      </c>
      <c r="C126" s="258" t="s">
        <v>41</v>
      </c>
      <c r="D126" s="269" t="s">
        <v>81</v>
      </c>
      <c r="E126" s="250" t="s">
        <v>19</v>
      </c>
      <c r="F126" s="244" t="s">
        <v>20</v>
      </c>
      <c r="G126" s="244"/>
      <c r="H126" s="252">
        <v>223431023</v>
      </c>
      <c r="I126" s="54">
        <f>'LISTRIK 2026'!J126-'LISTRIK 2026'!I126</f>
        <v>1807</v>
      </c>
      <c r="J126" s="54">
        <f>'LISTRIK 2026'!K126-'LISTRIK 2026'!J126</f>
        <v>1580.4000000000015</v>
      </c>
      <c r="K126" s="54">
        <f>'LISTRIK 2026'!L126-'LISTRIK 2026'!K126</f>
        <v>2064.7999999999993</v>
      </c>
      <c r="L126" s="54">
        <f>'LISTRIK 2026'!M126-'LISTRIK 2026'!L126</f>
        <v>1652.7000000000007</v>
      </c>
      <c r="M126" s="266"/>
    </row>
    <row r="127" spans="1:13" s="8" customFormat="1" ht="39.950000000000003" customHeight="1" x14ac:dyDescent="0.3">
      <c r="A127" s="354"/>
      <c r="B127" s="126" t="s">
        <v>348</v>
      </c>
      <c r="C127" s="258" t="s">
        <v>21</v>
      </c>
      <c r="D127" s="269" t="s">
        <v>396</v>
      </c>
      <c r="E127" s="250"/>
      <c r="F127" s="244"/>
      <c r="G127" s="244"/>
      <c r="H127" s="252"/>
      <c r="I127" s="54">
        <f>'LISTRIK 2026'!J127-'LISTRIK 2026'!I127</f>
        <v>310.40000000000009</v>
      </c>
      <c r="J127" s="54">
        <f>'LISTRIK 2026'!K127-'LISTRIK 2026'!J127</f>
        <v>271</v>
      </c>
      <c r="K127" s="54">
        <f>'LISTRIK 2026'!L127-'LISTRIK 2026'!K127</f>
        <v>314.69999999999982</v>
      </c>
      <c r="L127" s="54">
        <f>'LISTRIK 2026'!M127-'LISTRIK 2026'!L127</f>
        <v>227.19999999999982</v>
      </c>
      <c r="M127" s="266"/>
    </row>
    <row r="128" spans="1:13" s="8" customFormat="1" ht="39.950000000000003" customHeight="1" x14ac:dyDescent="0.3">
      <c r="A128" s="259">
        <v>77</v>
      </c>
      <c r="B128" s="126" t="s">
        <v>262</v>
      </c>
      <c r="C128" s="257" t="s">
        <v>41</v>
      </c>
      <c r="D128" s="247" t="s">
        <v>336</v>
      </c>
      <c r="E128" s="250" t="s">
        <v>16</v>
      </c>
      <c r="F128" s="244" t="s">
        <v>10</v>
      </c>
      <c r="G128" s="244" t="s">
        <v>253</v>
      </c>
      <c r="H128" s="252"/>
      <c r="I128" s="54">
        <f>'LISTRIK 2026'!J128-'LISTRIK 2026'!I128</f>
        <v>936</v>
      </c>
      <c r="J128" s="54">
        <f>'LISTRIK 2026'!K128-'LISTRIK 2026'!J128</f>
        <v>735</v>
      </c>
      <c r="K128" s="54">
        <f>'LISTRIK 2026'!L128-'LISTRIK 2026'!K128</f>
        <v>0</v>
      </c>
      <c r="L128" s="54">
        <f>'LISTRIK 2026'!M128-'LISTRIK 2026'!L128</f>
        <v>0</v>
      </c>
      <c r="M128" s="266"/>
    </row>
    <row r="129" spans="1:13" s="8" customFormat="1" ht="39.950000000000003" customHeight="1" x14ac:dyDescent="0.3">
      <c r="A129" s="353">
        <v>78</v>
      </c>
      <c r="B129" s="143" t="s">
        <v>224</v>
      </c>
      <c r="C129" s="32" t="s">
        <v>41</v>
      </c>
      <c r="D129" s="269">
        <v>29</v>
      </c>
      <c r="E129" s="250" t="s">
        <v>17</v>
      </c>
      <c r="F129" s="244" t="s">
        <v>10</v>
      </c>
      <c r="G129" s="244" t="s">
        <v>251</v>
      </c>
      <c r="H129" s="252"/>
      <c r="I129" s="54">
        <f>'LISTRIK 2026'!J129-'LISTRIK 2026'!I129</f>
        <v>2710</v>
      </c>
      <c r="J129" s="54">
        <f>'LISTRIK 2026'!K129-'LISTRIK 2026'!J129</f>
        <v>2307</v>
      </c>
      <c r="K129" s="54">
        <f>'LISTRIK 2026'!L129-'LISTRIK 2026'!K129</f>
        <v>3167</v>
      </c>
      <c r="L129" s="54">
        <f>'LISTRIK 2026'!M129-'LISTRIK 2026'!L129</f>
        <v>2476</v>
      </c>
      <c r="M129" s="266"/>
    </row>
    <row r="130" spans="1:13" s="8" customFormat="1" ht="39.950000000000003" customHeight="1" x14ac:dyDescent="0.3">
      <c r="A130" s="354"/>
      <c r="B130" s="126" t="s">
        <v>225</v>
      </c>
      <c r="C130" s="88" t="s">
        <v>120</v>
      </c>
      <c r="D130" s="269" t="s">
        <v>120</v>
      </c>
      <c r="E130" s="250" t="s">
        <v>46</v>
      </c>
      <c r="F130" s="244" t="s">
        <v>10</v>
      </c>
      <c r="G130" s="244" t="s">
        <v>251</v>
      </c>
      <c r="H130" s="252">
        <v>19242010070</v>
      </c>
      <c r="I130" s="54">
        <f>'LISTRIK 2026'!J130-'LISTRIK 2026'!I130</f>
        <v>967</v>
      </c>
      <c r="J130" s="54">
        <f>'LISTRIK 2026'!K130-'LISTRIK 2026'!J130</f>
        <v>749</v>
      </c>
      <c r="K130" s="54">
        <f>'LISTRIK 2026'!L130-'LISTRIK 2026'!K130</f>
        <v>943</v>
      </c>
      <c r="L130" s="54">
        <f>'LISTRIK 2026'!M130-'LISTRIK 2026'!L130</f>
        <v>803</v>
      </c>
      <c r="M130" s="266"/>
    </row>
    <row r="131" spans="1:13" s="8" customFormat="1" ht="39.950000000000003" customHeight="1" x14ac:dyDescent="0.3">
      <c r="A131" s="262">
        <v>79</v>
      </c>
      <c r="B131" s="143" t="s">
        <v>332</v>
      </c>
      <c r="C131" s="32" t="s">
        <v>41</v>
      </c>
      <c r="D131" s="245" t="s">
        <v>94</v>
      </c>
      <c r="E131" s="254" t="s">
        <v>23</v>
      </c>
      <c r="F131" s="253" t="s">
        <v>20</v>
      </c>
      <c r="G131" s="253"/>
      <c r="H131" s="26" t="s">
        <v>333</v>
      </c>
      <c r="I131" s="54">
        <f>'LISTRIK 2026'!J131-'LISTRIK 2026'!I131</f>
        <v>496.39999999999964</v>
      </c>
      <c r="J131" s="54">
        <f>'LISTRIK 2026'!K131-'LISTRIK 2026'!J131</f>
        <v>619.60000000000036</v>
      </c>
      <c r="K131" s="54">
        <f>'LISTRIK 2026'!L131-'LISTRIK 2026'!K131</f>
        <v>-8730.5</v>
      </c>
      <c r="L131" s="54">
        <f>'LISTRIK 2026'!M131-'LISTRIK 2026'!L131</f>
        <v>0</v>
      </c>
      <c r="M131" s="266"/>
    </row>
    <row r="132" spans="1:13" s="8" customFormat="1" ht="39.950000000000003" customHeight="1" x14ac:dyDescent="0.3">
      <c r="A132" s="262">
        <v>80</v>
      </c>
      <c r="B132" s="143" t="s">
        <v>155</v>
      </c>
      <c r="C132" s="256" t="s">
        <v>41</v>
      </c>
      <c r="D132" s="245">
        <v>38</v>
      </c>
      <c r="E132" s="248" t="s">
        <v>46</v>
      </c>
      <c r="F132" s="242" t="s">
        <v>20</v>
      </c>
      <c r="G132" s="242"/>
      <c r="H132" s="251" t="s">
        <v>100</v>
      </c>
      <c r="I132" s="54">
        <f>'LISTRIK 2026'!J132-'LISTRIK 2026'!I132</f>
        <v>529.40000000000873</v>
      </c>
      <c r="J132" s="54">
        <f>'LISTRIK 2026'!K132-'LISTRIK 2026'!J132</f>
        <v>476.39999999999418</v>
      </c>
      <c r="K132" s="54">
        <f>'LISTRIK 2026'!L132-'LISTRIK 2026'!K132</f>
        <v>551.69999999999709</v>
      </c>
      <c r="L132" s="54">
        <f>'LISTRIK 2026'!M132-'LISTRIK 2026'!L132</f>
        <v>485.10000000000582</v>
      </c>
      <c r="M132" s="266"/>
    </row>
    <row r="133" spans="1:13" s="8" customFormat="1" ht="39.950000000000003" customHeight="1" x14ac:dyDescent="0.3">
      <c r="A133" s="262">
        <v>81</v>
      </c>
      <c r="B133" s="143" t="s">
        <v>352</v>
      </c>
      <c r="C133" s="263" t="s">
        <v>41</v>
      </c>
      <c r="D133" s="245">
        <v>39</v>
      </c>
      <c r="E133" s="248" t="s">
        <v>46</v>
      </c>
      <c r="F133" s="242" t="s">
        <v>20</v>
      </c>
      <c r="G133" s="242"/>
      <c r="H133" s="251">
        <v>224026177</v>
      </c>
      <c r="I133" s="54">
        <f>'LISTRIK 2026'!J133-'LISTRIK 2026'!I133</f>
        <v>177</v>
      </c>
      <c r="J133" s="54">
        <f>'LISTRIK 2026'!K133-'LISTRIK 2026'!J133</f>
        <v>158.30000000000018</v>
      </c>
      <c r="K133" s="54">
        <f>'LISTRIK 2026'!L133-'LISTRIK 2026'!K133</f>
        <v>182.59999999999991</v>
      </c>
      <c r="L133" s="54">
        <f>'LISTRIK 2026'!M133-'LISTRIK 2026'!L133</f>
        <v>162.5</v>
      </c>
      <c r="M133" s="266"/>
    </row>
    <row r="134" spans="1:13" s="8" customFormat="1" ht="39.950000000000003" customHeight="1" x14ac:dyDescent="0.3">
      <c r="A134" s="262">
        <v>82</v>
      </c>
      <c r="B134" s="143" t="s">
        <v>243</v>
      </c>
      <c r="C134" s="258" t="s">
        <v>41</v>
      </c>
      <c r="D134" s="245"/>
      <c r="E134" s="248" t="s">
        <v>16</v>
      </c>
      <c r="F134" s="242" t="s">
        <v>10</v>
      </c>
      <c r="G134" s="242" t="s">
        <v>258</v>
      </c>
      <c r="H134" s="251"/>
      <c r="I134" s="54">
        <f>'LISTRIK 2026'!J134-'LISTRIK 2026'!I134</f>
        <v>179</v>
      </c>
      <c r="J134" s="54">
        <f>'LISTRIK 2026'!K134-'LISTRIK 2026'!J134</f>
        <v>145.60000000000036</v>
      </c>
      <c r="K134" s="54">
        <f>'LISTRIK 2026'!L134-'LISTRIK 2026'!K134</f>
        <v>223.20000000000073</v>
      </c>
      <c r="L134" s="54">
        <f>'LISTRIK 2026'!M134-'LISTRIK 2026'!L134</f>
        <v>164.09999999999854</v>
      </c>
      <c r="M134" s="266"/>
    </row>
    <row r="135" spans="1:13" s="78" customFormat="1" ht="39.950000000000003" customHeight="1" x14ac:dyDescent="0.3">
      <c r="A135" s="262">
        <v>83</v>
      </c>
      <c r="B135" s="143" t="s">
        <v>353</v>
      </c>
      <c r="C135" s="258" t="s">
        <v>41</v>
      </c>
      <c r="D135" s="255">
        <v>43</v>
      </c>
      <c r="E135" s="254" t="s">
        <v>71</v>
      </c>
      <c r="F135" s="253" t="s">
        <v>20</v>
      </c>
      <c r="G135" s="253"/>
      <c r="H135" s="26">
        <v>223144017</v>
      </c>
      <c r="I135" s="54">
        <f>'LISTRIK 2026'!J135-'LISTRIK 2026'!I135</f>
        <v>2108.2999999999993</v>
      </c>
      <c r="J135" s="54">
        <f>'LISTRIK 2026'!K135-'LISTRIK 2026'!J135</f>
        <v>1885.7999999999993</v>
      </c>
      <c r="K135" s="54">
        <f>'LISTRIK 2026'!L135-'LISTRIK 2026'!K135</f>
        <v>2146.7000000000007</v>
      </c>
      <c r="L135" s="54">
        <f>'LISTRIK 2026'!M135-'LISTRIK 2026'!L135</f>
        <v>1966.2999999999993</v>
      </c>
      <c r="M135" s="266"/>
    </row>
    <row r="136" spans="1:13" s="8" customFormat="1" ht="39.950000000000003" customHeight="1" x14ac:dyDescent="0.3">
      <c r="A136" s="262">
        <v>84</v>
      </c>
      <c r="B136" s="143" t="s">
        <v>78</v>
      </c>
      <c r="C136" s="258" t="s">
        <v>41</v>
      </c>
      <c r="D136" s="24" t="s">
        <v>82</v>
      </c>
      <c r="E136" s="254" t="s">
        <v>17</v>
      </c>
      <c r="F136" s="253" t="s">
        <v>10</v>
      </c>
      <c r="G136" s="253" t="s">
        <v>254</v>
      </c>
      <c r="H136" s="253">
        <v>13152011172</v>
      </c>
      <c r="I136" s="54">
        <f>'LISTRIK 2026'!J136-'LISTRIK 2026'!I136</f>
        <v>1641</v>
      </c>
      <c r="J136" s="54">
        <f>'LISTRIK 2026'!K136-'LISTRIK 2026'!J136</f>
        <v>1466</v>
      </c>
      <c r="K136" s="54">
        <f>'LISTRIK 2026'!L136-'LISTRIK 2026'!K136</f>
        <v>1686</v>
      </c>
      <c r="L136" s="54">
        <f>'LISTRIK 2026'!M136-'LISTRIK 2026'!L136</f>
        <v>1515</v>
      </c>
      <c r="M136" s="35"/>
    </row>
    <row r="137" spans="1:13" s="8" customFormat="1" ht="39.950000000000003" customHeight="1" x14ac:dyDescent="0.3">
      <c r="A137" s="262">
        <v>85</v>
      </c>
      <c r="B137" s="143" t="s">
        <v>302</v>
      </c>
      <c r="C137" s="258" t="s">
        <v>41</v>
      </c>
      <c r="D137" s="269">
        <v>45</v>
      </c>
      <c r="E137" s="254" t="s">
        <v>17</v>
      </c>
      <c r="F137" s="253" t="s">
        <v>10</v>
      </c>
      <c r="G137" s="253" t="s">
        <v>251</v>
      </c>
      <c r="H137" s="26"/>
      <c r="I137" s="54">
        <f>'LISTRIK 2026'!J137-'LISTRIK 2026'!I137</f>
        <v>3322</v>
      </c>
      <c r="J137" s="54">
        <f>'LISTRIK 2026'!K137-'LISTRIK 2026'!J137</f>
        <v>2720</v>
      </c>
      <c r="K137" s="54">
        <f>'LISTRIK 2026'!L137-'LISTRIK 2026'!K137</f>
        <v>3056</v>
      </c>
      <c r="L137" s="54">
        <f>'LISTRIK 2026'!M137-'LISTRIK 2026'!L137</f>
        <v>2766</v>
      </c>
      <c r="M137" s="35"/>
    </row>
    <row r="138" spans="1:13" s="8" customFormat="1" ht="39.950000000000003" customHeight="1" x14ac:dyDescent="0.3">
      <c r="A138" s="262">
        <v>86</v>
      </c>
      <c r="B138" s="143" t="s">
        <v>270</v>
      </c>
      <c r="C138" s="258" t="s">
        <v>41</v>
      </c>
      <c r="D138" s="269">
        <v>46</v>
      </c>
      <c r="E138" s="254" t="s">
        <v>17</v>
      </c>
      <c r="F138" s="253" t="s">
        <v>10</v>
      </c>
      <c r="G138" s="253" t="s">
        <v>251</v>
      </c>
      <c r="H138" s="26"/>
      <c r="I138" s="54">
        <f>'LISTRIK 2026'!J138-'LISTRIK 2026'!I138</f>
        <v>3739</v>
      </c>
      <c r="J138" s="54">
        <f>'LISTRIK 2026'!K138-'LISTRIK 2026'!J138</f>
        <v>3233</v>
      </c>
      <c r="K138" s="54">
        <f>'LISTRIK 2026'!L138-'LISTRIK 2026'!K138</f>
        <v>3559</v>
      </c>
      <c r="L138" s="54">
        <f>'LISTRIK 2026'!M138-'LISTRIK 2026'!L138</f>
        <v>3118</v>
      </c>
      <c r="M138" s="37"/>
    </row>
    <row r="139" spans="1:13" s="78" customFormat="1" ht="39.950000000000003" customHeight="1" x14ac:dyDescent="0.3">
      <c r="A139" s="262">
        <v>87</v>
      </c>
      <c r="B139" s="143" t="s">
        <v>93</v>
      </c>
      <c r="C139" s="263" t="s">
        <v>41</v>
      </c>
      <c r="D139" s="24">
        <v>47</v>
      </c>
      <c r="E139" s="254" t="s">
        <v>23</v>
      </c>
      <c r="F139" s="253" t="s">
        <v>20</v>
      </c>
      <c r="G139" s="253"/>
      <c r="H139" s="26" t="s">
        <v>274</v>
      </c>
      <c r="I139" s="54">
        <f>'LISTRIK 2026'!J139-'LISTRIK 2026'!I139</f>
        <v>1349</v>
      </c>
      <c r="J139" s="54">
        <f>'LISTRIK 2026'!K139-'LISTRIK 2026'!J139</f>
        <v>1194</v>
      </c>
      <c r="K139" s="54">
        <f>'LISTRIK 2026'!L139-'LISTRIK 2026'!K139</f>
        <v>1371</v>
      </c>
      <c r="L139" s="54">
        <f>'LISTRIK 2026'!M139-'LISTRIK 2026'!L139</f>
        <v>1180</v>
      </c>
      <c r="M139" s="37"/>
    </row>
    <row r="140" spans="1:13" s="8" customFormat="1" ht="39.950000000000003" customHeight="1" x14ac:dyDescent="0.3">
      <c r="A140" s="262">
        <v>88</v>
      </c>
      <c r="B140" s="144" t="s">
        <v>104</v>
      </c>
      <c r="C140" s="263" t="s">
        <v>41</v>
      </c>
      <c r="D140" s="24">
        <v>48</v>
      </c>
      <c r="E140" s="254" t="s">
        <v>19</v>
      </c>
      <c r="F140" s="253" t="s">
        <v>20</v>
      </c>
      <c r="G140" s="253"/>
      <c r="H140" s="26" t="s">
        <v>102</v>
      </c>
      <c r="I140" s="54">
        <f>'LISTRIK 2026'!J140-'LISTRIK 2026'!I140</f>
        <v>2254.1000000000058</v>
      </c>
      <c r="J140" s="54">
        <f>'LISTRIK 2026'!K140-'LISTRIK 2026'!J140</f>
        <v>2030.5999999999767</v>
      </c>
      <c r="K140" s="54">
        <f>'LISTRIK 2026'!L140-'LISTRIK 2026'!K140</f>
        <v>2341.9000000000233</v>
      </c>
      <c r="L140" s="54">
        <f>'LISTRIK 2026'!M140-'LISTRIK 2026'!L140</f>
        <v>2222.1999999999825</v>
      </c>
      <c r="M140" s="35"/>
    </row>
    <row r="141" spans="1:13" s="8" customFormat="1" ht="39.950000000000003" customHeight="1" x14ac:dyDescent="0.3">
      <c r="A141" s="262">
        <v>89</v>
      </c>
      <c r="B141" s="144" t="s">
        <v>248</v>
      </c>
      <c r="C141" s="256" t="s">
        <v>41</v>
      </c>
      <c r="D141" s="267">
        <v>49</v>
      </c>
      <c r="E141" s="254" t="s">
        <v>23</v>
      </c>
      <c r="F141" s="242" t="s">
        <v>10</v>
      </c>
      <c r="G141" s="242" t="s">
        <v>251</v>
      </c>
      <c r="H141" s="251"/>
      <c r="I141" s="54">
        <f>'LISTRIK 2026'!J141-'LISTRIK 2026'!I141</f>
        <v>1042</v>
      </c>
      <c r="J141" s="54">
        <f>'LISTRIK 2026'!K141-'LISTRIK 2026'!J141</f>
        <v>943</v>
      </c>
      <c r="K141" s="54">
        <f>'LISTRIK 2026'!L141-'LISTRIK 2026'!K141</f>
        <v>1070</v>
      </c>
      <c r="L141" s="54">
        <f>'LISTRIK 2026'!M141-'LISTRIK 2026'!L141</f>
        <v>974</v>
      </c>
      <c r="M141" s="265"/>
    </row>
    <row r="142" spans="1:13" s="8" customFormat="1" ht="39.950000000000003" customHeight="1" x14ac:dyDescent="0.3">
      <c r="A142" s="376">
        <v>90</v>
      </c>
      <c r="B142" s="144" t="s">
        <v>344</v>
      </c>
      <c r="C142" s="256" t="s">
        <v>41</v>
      </c>
      <c r="D142" s="267" t="s">
        <v>395</v>
      </c>
      <c r="E142" s="254" t="s">
        <v>14</v>
      </c>
      <c r="F142" s="253" t="s">
        <v>10</v>
      </c>
      <c r="G142" s="242" t="s">
        <v>256</v>
      </c>
      <c r="H142" s="251"/>
      <c r="I142" s="54">
        <f>'LISTRIK 2026'!J142-'LISTRIK 2026'!I142</f>
        <v>20807</v>
      </c>
      <c r="J142" s="54">
        <f>'LISTRIK 2026'!K142-'LISTRIK 2026'!J142</f>
        <v>18585</v>
      </c>
      <c r="K142" s="54">
        <f>'LISTRIK 2026'!L142-'LISTRIK 2026'!K142</f>
        <v>20941</v>
      </c>
      <c r="L142" s="54">
        <f>'LISTRIK 2026'!M142-'LISTRIK 2026'!L142</f>
        <v>18770</v>
      </c>
      <c r="M142" s="265"/>
    </row>
    <row r="143" spans="1:13" s="8" customFormat="1" ht="39.950000000000003" customHeight="1" x14ac:dyDescent="0.3">
      <c r="A143" s="376"/>
      <c r="B143" s="144" t="s">
        <v>345</v>
      </c>
      <c r="C143" s="256" t="s">
        <v>42</v>
      </c>
      <c r="D143" s="267" t="s">
        <v>394</v>
      </c>
      <c r="E143" s="248" t="s">
        <v>16</v>
      </c>
      <c r="F143" s="253" t="s">
        <v>10</v>
      </c>
      <c r="G143" s="242" t="s">
        <v>258</v>
      </c>
      <c r="H143" s="251"/>
      <c r="I143" s="54">
        <f>'LISTRIK 2026'!J143-'LISTRIK 2026'!I143</f>
        <v>26.299999999999272</v>
      </c>
      <c r="J143" s="54">
        <f>'LISTRIK 2026'!K143-'LISTRIK 2026'!J143</f>
        <v>23.200000000000728</v>
      </c>
      <c r="K143" s="54">
        <f>'LISTRIK 2026'!L143-'LISTRIK 2026'!K143</f>
        <v>26.5</v>
      </c>
      <c r="L143" s="54">
        <f>'LISTRIK 2026'!M143-'LISTRIK 2026'!L143</f>
        <v>22.100000000002183</v>
      </c>
      <c r="M143" s="265"/>
    </row>
    <row r="144" spans="1:13" s="8" customFormat="1" ht="39.950000000000003" customHeight="1" x14ac:dyDescent="0.3">
      <c r="A144" s="261">
        <v>91</v>
      </c>
      <c r="B144" s="144" t="s">
        <v>264</v>
      </c>
      <c r="C144" s="256" t="s">
        <v>41</v>
      </c>
      <c r="D144" s="245" t="s">
        <v>265</v>
      </c>
      <c r="E144" s="248"/>
      <c r="F144" s="242" t="s">
        <v>20</v>
      </c>
      <c r="G144" s="242"/>
      <c r="H144" s="251" t="s">
        <v>327</v>
      </c>
      <c r="I144" s="54">
        <f>'LISTRIK 2026'!J144-'LISTRIK 2026'!I144</f>
        <v>5668.6999999999825</v>
      </c>
      <c r="J144" s="54">
        <f>'LISTRIK 2026'!K144-'LISTRIK 2026'!J144</f>
        <v>5128.8000000000175</v>
      </c>
      <c r="K144" s="54">
        <f>'LISTRIK 2026'!L144-'LISTRIK 2026'!K144</f>
        <v>6955.2999999999884</v>
      </c>
      <c r="L144" s="54">
        <f>'LISTRIK 2026'!M144-'LISTRIK 2026'!L144</f>
        <v>5616.7000000000116</v>
      </c>
      <c r="M144" s="265"/>
    </row>
    <row r="145" spans="1:13" s="8" customFormat="1" ht="39.950000000000003" customHeight="1" x14ac:dyDescent="0.3">
      <c r="A145" s="259">
        <v>92</v>
      </c>
      <c r="B145" s="144" t="s">
        <v>95</v>
      </c>
      <c r="C145" s="256" t="s">
        <v>41</v>
      </c>
      <c r="D145" s="267" t="s">
        <v>96</v>
      </c>
      <c r="E145" s="248" t="s">
        <v>71</v>
      </c>
      <c r="F145" s="242" t="s">
        <v>20</v>
      </c>
      <c r="G145" s="242"/>
      <c r="H145" s="251" t="s">
        <v>221</v>
      </c>
      <c r="I145" s="54">
        <f>'LISTRIK 2026'!J145-'LISTRIK 2026'!I145</f>
        <v>4519.1999999999825</v>
      </c>
      <c r="J145" s="54">
        <f>'LISTRIK 2026'!K145-'LISTRIK 2026'!J145</f>
        <v>4111.3000000000175</v>
      </c>
      <c r="K145" s="54">
        <f>'LISTRIK 2026'!L145-'LISTRIK 2026'!K145</f>
        <v>4654.6000000000058</v>
      </c>
      <c r="L145" s="54">
        <f>'LISTRIK 2026'!M145-'LISTRIK 2026'!L145</f>
        <v>4040.8999999999942</v>
      </c>
      <c r="M145" s="265"/>
    </row>
    <row r="146" spans="1:13" s="8" customFormat="1" ht="39.950000000000003" customHeight="1" x14ac:dyDescent="0.3">
      <c r="A146" s="261">
        <v>93</v>
      </c>
      <c r="B146" s="143" t="s">
        <v>37</v>
      </c>
      <c r="C146" s="263" t="s">
        <v>41</v>
      </c>
      <c r="D146" s="24">
        <v>42</v>
      </c>
      <c r="E146" s="254" t="s">
        <v>23</v>
      </c>
      <c r="F146" s="253" t="s">
        <v>10</v>
      </c>
      <c r="G146" s="253" t="s">
        <v>251</v>
      </c>
      <c r="H146" s="253">
        <v>13152011234</v>
      </c>
      <c r="I146" s="54">
        <f>'LISTRIK 2026'!J146-'LISTRIK 2026'!I146</f>
        <v>774</v>
      </c>
      <c r="J146" s="54">
        <f>'LISTRIK 2026'!K146-'LISTRIK 2026'!J146</f>
        <v>688</v>
      </c>
      <c r="K146" s="54">
        <f>'LISTRIK 2026'!L146-'LISTRIK 2026'!K146</f>
        <v>836</v>
      </c>
      <c r="L146" s="54">
        <f>'LISTRIK 2026'!M146-'LISTRIK 2026'!L146</f>
        <v>744</v>
      </c>
      <c r="M146" s="37"/>
    </row>
    <row r="147" spans="1:13" s="8" customFormat="1" ht="39.950000000000003" customHeight="1" x14ac:dyDescent="0.3">
      <c r="A147" s="259">
        <v>94</v>
      </c>
      <c r="B147" s="143" t="s">
        <v>279</v>
      </c>
      <c r="C147" s="256" t="s">
        <v>41</v>
      </c>
      <c r="D147" s="282">
        <v>11</v>
      </c>
      <c r="E147" s="248" t="s">
        <v>71</v>
      </c>
      <c r="F147" s="242" t="s">
        <v>10</v>
      </c>
      <c r="G147" s="253" t="s">
        <v>251</v>
      </c>
      <c r="H147" s="242">
        <v>17012010229</v>
      </c>
      <c r="I147" s="54">
        <f>'LISTRIK 2026'!J147-'LISTRIK 2026'!I147</f>
        <v>1758</v>
      </c>
      <c r="J147" s="54">
        <f>'LISTRIK 2026'!K147-'LISTRIK 2026'!J147</f>
        <v>1528</v>
      </c>
      <c r="K147" s="54">
        <f>'LISTRIK 2026'!L147-'LISTRIK 2026'!K147</f>
        <v>1749</v>
      </c>
      <c r="L147" s="54">
        <f>'LISTRIK 2026'!M147-'LISTRIK 2026'!L147</f>
        <v>1682</v>
      </c>
      <c r="M147" s="305"/>
    </row>
    <row r="148" spans="1:13" s="8" customFormat="1" ht="39.950000000000003" customHeight="1" x14ac:dyDescent="0.3">
      <c r="A148" s="261">
        <v>95</v>
      </c>
      <c r="B148" s="143" t="s">
        <v>241</v>
      </c>
      <c r="C148" s="256" t="s">
        <v>41</v>
      </c>
      <c r="D148" s="267" t="s">
        <v>30</v>
      </c>
      <c r="E148" s="254" t="s">
        <v>19</v>
      </c>
      <c r="F148" s="242" t="s">
        <v>10</v>
      </c>
      <c r="G148" s="242" t="s">
        <v>255</v>
      </c>
      <c r="H148" s="242"/>
      <c r="I148" s="54">
        <f>'LISTRIK 2026'!J148-'LISTRIK 2026'!I148</f>
        <v>12769</v>
      </c>
      <c r="J148" s="54">
        <f>'LISTRIK 2026'!K148-'LISTRIK 2026'!J148</f>
        <v>11454</v>
      </c>
      <c r="K148" s="54">
        <f>'LISTRIK 2026'!L148-'LISTRIK 2026'!K148</f>
        <v>13414</v>
      </c>
      <c r="L148" s="54">
        <f>'LISTRIK 2026'!M148-'LISTRIK 2026'!L148</f>
        <v>11627</v>
      </c>
      <c r="M148" s="37"/>
    </row>
    <row r="149" spans="1:13" s="8" customFormat="1" ht="39.950000000000003" customHeight="1" x14ac:dyDescent="0.3">
      <c r="A149" s="259">
        <v>96</v>
      </c>
      <c r="B149" s="143" t="s">
        <v>280</v>
      </c>
      <c r="C149" s="375" t="s">
        <v>41</v>
      </c>
      <c r="D149" s="400" t="s">
        <v>393</v>
      </c>
      <c r="E149" s="248" t="s">
        <v>71</v>
      </c>
      <c r="F149" s="242" t="s">
        <v>10</v>
      </c>
      <c r="G149" s="253" t="s">
        <v>251</v>
      </c>
      <c r="H149" s="242">
        <v>19242010196</v>
      </c>
      <c r="I149" s="54">
        <f>'LISTRIK 2026'!J149-'LISTRIK 2026'!I149</f>
        <v>1208</v>
      </c>
      <c r="J149" s="54">
        <f>'LISTRIK 2026'!K149-'LISTRIK 2026'!J149</f>
        <v>1097</v>
      </c>
      <c r="K149" s="54">
        <f>'LISTRIK 2026'!L149-'LISTRIK 2026'!K149</f>
        <v>1232</v>
      </c>
      <c r="L149" s="54">
        <f>'LISTRIK 2026'!M149-'LISTRIK 2026'!L149</f>
        <v>1142</v>
      </c>
      <c r="M149" s="37"/>
    </row>
    <row r="150" spans="1:13" s="8" customFormat="1" ht="39.950000000000003" customHeight="1" x14ac:dyDescent="0.3">
      <c r="A150" s="261">
        <v>97</v>
      </c>
      <c r="B150" s="143" t="s">
        <v>281</v>
      </c>
      <c r="C150" s="370"/>
      <c r="D150" s="373"/>
      <c r="E150" s="248" t="s">
        <v>71</v>
      </c>
      <c r="F150" s="242" t="s">
        <v>10</v>
      </c>
      <c r="G150" s="253" t="s">
        <v>251</v>
      </c>
      <c r="H150" s="242">
        <v>17272011505</v>
      </c>
      <c r="I150" s="54">
        <f>'LISTRIK 2026'!J150-'LISTRIK 2026'!I150</f>
        <v>1800</v>
      </c>
      <c r="J150" s="54">
        <f>'LISTRIK 2026'!K150-'LISTRIK 2026'!J150</f>
        <v>1579</v>
      </c>
      <c r="K150" s="54">
        <f>'LISTRIK 2026'!L150-'LISTRIK 2026'!K150</f>
        <v>1819</v>
      </c>
      <c r="L150" s="54">
        <f>'LISTRIK 2026'!M150-'LISTRIK 2026'!L150</f>
        <v>1639</v>
      </c>
      <c r="M150" s="37"/>
    </row>
    <row r="151" spans="1:13" s="8" customFormat="1" ht="39.950000000000003" customHeight="1" x14ac:dyDescent="0.3">
      <c r="A151" s="259">
        <v>98</v>
      </c>
      <c r="B151" s="143" t="s">
        <v>282</v>
      </c>
      <c r="C151" s="371"/>
      <c r="D151" s="374"/>
      <c r="E151" s="248" t="s">
        <v>23</v>
      </c>
      <c r="F151" s="242" t="s">
        <v>10</v>
      </c>
      <c r="G151" s="253" t="s">
        <v>251</v>
      </c>
      <c r="H151" s="242">
        <v>17302011319</v>
      </c>
      <c r="I151" s="54">
        <f>'LISTRIK 2026'!J151-'LISTRIK 2026'!I151</f>
        <v>3007</v>
      </c>
      <c r="J151" s="54">
        <f>'LISTRIK 2026'!K151-'LISTRIK 2026'!J151</f>
        <v>2769</v>
      </c>
      <c r="K151" s="54">
        <f>'LISTRIK 2026'!L151-'LISTRIK 2026'!K151</f>
        <v>3137</v>
      </c>
      <c r="L151" s="54">
        <f>'LISTRIK 2026'!M151-'LISTRIK 2026'!L151</f>
        <v>2803</v>
      </c>
      <c r="M151" s="37"/>
    </row>
    <row r="152" spans="1:13" s="8" customFormat="1" ht="39.950000000000003" customHeight="1" x14ac:dyDescent="0.3">
      <c r="A152" s="261">
        <v>99</v>
      </c>
      <c r="B152" s="126" t="s">
        <v>176</v>
      </c>
      <c r="C152" s="256" t="s">
        <v>42</v>
      </c>
      <c r="D152" s="267" t="s">
        <v>392</v>
      </c>
      <c r="E152" s="248" t="s">
        <v>17</v>
      </c>
      <c r="F152" s="242" t="s">
        <v>10</v>
      </c>
      <c r="G152" s="253" t="s">
        <v>251</v>
      </c>
      <c r="H152" s="242"/>
      <c r="I152" s="54">
        <f>'LISTRIK 2026'!J152-'LISTRIK 2026'!I152</f>
        <v>3492</v>
      </c>
      <c r="J152" s="54">
        <f>'LISTRIK 2026'!K152-'LISTRIK 2026'!J152</f>
        <v>3361</v>
      </c>
      <c r="K152" s="54">
        <f>'LISTRIK 2026'!L152-'LISTRIK 2026'!K152</f>
        <v>3713</v>
      </c>
      <c r="L152" s="54">
        <f>'LISTRIK 2026'!M152-'LISTRIK 2026'!L152</f>
        <v>3399</v>
      </c>
      <c r="M152" s="265"/>
    </row>
    <row r="153" spans="1:13" s="8" customFormat="1" ht="39.950000000000003" customHeight="1" x14ac:dyDescent="0.3">
      <c r="A153" s="259">
        <v>100</v>
      </c>
      <c r="B153" s="126" t="s">
        <v>359</v>
      </c>
      <c r="C153" s="256" t="s">
        <v>42</v>
      </c>
      <c r="D153" s="267">
        <v>61</v>
      </c>
      <c r="E153" s="248" t="s">
        <v>23</v>
      </c>
      <c r="F153" s="242" t="s">
        <v>20</v>
      </c>
      <c r="G153" s="253" t="s">
        <v>360</v>
      </c>
      <c r="H153" s="242"/>
      <c r="I153" s="54">
        <f>'LISTRIK 2026'!J153-'LISTRIK 2026'!I153</f>
        <v>1865.5</v>
      </c>
      <c r="J153" s="54">
        <f>'LISTRIK 2026'!K153-'LISTRIK 2026'!J153</f>
        <v>1685.2000000000007</v>
      </c>
      <c r="K153" s="54">
        <f>'LISTRIK 2026'!L153-'LISTRIK 2026'!K153</f>
        <v>1921.7999999999993</v>
      </c>
      <c r="L153" s="54">
        <f>'LISTRIK 2026'!M153-'LISTRIK 2026'!L153</f>
        <v>1708.7999999999993</v>
      </c>
      <c r="M153" s="265"/>
    </row>
    <row r="154" spans="1:13" s="8" customFormat="1" ht="39.950000000000003" customHeight="1" x14ac:dyDescent="0.3">
      <c r="A154" s="261">
        <v>101</v>
      </c>
      <c r="B154" s="126" t="s">
        <v>307</v>
      </c>
      <c r="C154" s="256" t="s">
        <v>42</v>
      </c>
      <c r="D154" s="267" t="s">
        <v>391</v>
      </c>
      <c r="E154" s="248" t="s">
        <v>17</v>
      </c>
      <c r="F154" s="242" t="s">
        <v>10</v>
      </c>
      <c r="G154" s="253" t="s">
        <v>251</v>
      </c>
      <c r="H154" s="242"/>
      <c r="I154" s="54">
        <f>'LISTRIK 2026'!J154-'LISTRIK 2026'!I154</f>
        <v>2557</v>
      </c>
      <c r="J154" s="54">
        <f>'LISTRIK 2026'!K154-'LISTRIK 2026'!J154</f>
        <v>2322</v>
      </c>
      <c r="K154" s="54">
        <f>'LISTRIK 2026'!L154-'LISTRIK 2026'!K154</f>
        <v>2645</v>
      </c>
      <c r="L154" s="54">
        <f>'LISTRIK 2026'!M154-'LISTRIK 2026'!L154</f>
        <v>2328</v>
      </c>
      <c r="M154" s="265"/>
    </row>
    <row r="155" spans="1:13" s="8" customFormat="1" ht="39.950000000000003" customHeight="1" x14ac:dyDescent="0.3">
      <c r="A155" s="259">
        <v>102</v>
      </c>
      <c r="B155" s="126" t="s">
        <v>303</v>
      </c>
      <c r="C155" s="256" t="s">
        <v>42</v>
      </c>
      <c r="D155" s="267" t="s">
        <v>390</v>
      </c>
      <c r="E155" s="248" t="s">
        <v>17</v>
      </c>
      <c r="F155" s="242" t="s">
        <v>10</v>
      </c>
      <c r="G155" s="253" t="s">
        <v>251</v>
      </c>
      <c r="H155" s="251" t="s">
        <v>308</v>
      </c>
      <c r="I155" s="54">
        <f>'LISTRIK 2026'!J155-'LISTRIK 2026'!I155</f>
        <v>520</v>
      </c>
      <c r="J155" s="54">
        <f>'LISTRIK 2026'!K155-'LISTRIK 2026'!J155</f>
        <v>507</v>
      </c>
      <c r="K155" s="54">
        <f>'LISTRIK 2026'!L155-'LISTRIK 2026'!K155</f>
        <v>572</v>
      </c>
      <c r="L155" s="54">
        <f>'LISTRIK 2026'!M155-'LISTRIK 2026'!L155</f>
        <v>513</v>
      </c>
      <c r="M155" s="37"/>
    </row>
    <row r="156" spans="1:13" s="8" customFormat="1" ht="39.950000000000003" customHeight="1" x14ac:dyDescent="0.3">
      <c r="A156" s="261">
        <v>103</v>
      </c>
      <c r="B156" s="126" t="s">
        <v>340</v>
      </c>
      <c r="C156" s="256" t="s">
        <v>42</v>
      </c>
      <c r="D156" s="267" t="s">
        <v>389</v>
      </c>
      <c r="E156" s="248" t="s">
        <v>71</v>
      </c>
      <c r="F156" s="242" t="s">
        <v>20</v>
      </c>
      <c r="G156" s="253"/>
      <c r="H156" s="251">
        <v>217383044</v>
      </c>
      <c r="I156" s="54">
        <f>'LISTRIK 2026'!J156-'LISTRIK 2026'!I156</f>
        <v>1815.5</v>
      </c>
      <c r="J156" s="54">
        <f>'LISTRIK 2026'!K156-'LISTRIK 2026'!J156</f>
        <v>1668</v>
      </c>
      <c r="K156" s="54">
        <f>'LISTRIK 2026'!L156-'LISTRIK 2026'!K156</f>
        <v>1911</v>
      </c>
      <c r="L156" s="54">
        <f>'LISTRIK 2026'!M156-'LISTRIK 2026'!L156</f>
        <v>1649.4000000000015</v>
      </c>
      <c r="M156" s="266"/>
    </row>
    <row r="157" spans="1:13" s="8" customFormat="1" ht="39.950000000000003" customHeight="1" x14ac:dyDescent="0.3">
      <c r="A157" s="353">
        <v>104</v>
      </c>
      <c r="B157" s="159" t="s">
        <v>321</v>
      </c>
      <c r="C157" s="412" t="s">
        <v>42</v>
      </c>
      <c r="D157" s="351" t="s">
        <v>139</v>
      </c>
      <c r="E157" s="248"/>
      <c r="F157" s="242" t="s">
        <v>10</v>
      </c>
      <c r="G157" s="253" t="s">
        <v>251</v>
      </c>
      <c r="H157" s="251"/>
      <c r="I157" s="54">
        <f>'LISTRIK 2026'!J157-'LISTRIK 2026'!I157</f>
        <v>2652</v>
      </c>
      <c r="J157" s="54">
        <f>'LISTRIK 2026'!K157-'LISTRIK 2026'!J157</f>
        <v>2275</v>
      </c>
      <c r="K157" s="54">
        <f>'LISTRIK 2026'!L157-'LISTRIK 2026'!K157</f>
        <v>2632</v>
      </c>
      <c r="L157" s="54">
        <f>'LISTRIK 2026'!M157-'LISTRIK 2026'!L157</f>
        <v>1996</v>
      </c>
      <c r="M157" s="266"/>
    </row>
    <row r="158" spans="1:13" s="8" customFormat="1" ht="39.950000000000003" customHeight="1" x14ac:dyDescent="0.3">
      <c r="A158" s="355"/>
      <c r="B158" s="307" t="s">
        <v>196</v>
      </c>
      <c r="C158" s="413"/>
      <c r="D158" s="397"/>
      <c r="E158" s="381" t="s">
        <v>34</v>
      </c>
      <c r="F158" s="400" t="s">
        <v>10</v>
      </c>
      <c r="G158" s="267" t="s">
        <v>256</v>
      </c>
      <c r="H158" s="383">
        <v>18092010461</v>
      </c>
      <c r="I158" s="54">
        <f>'LISTRIK 2026'!J158-'LISTRIK 2026'!I158</f>
        <v>2492</v>
      </c>
      <c r="J158" s="54">
        <f>'LISTRIK 2026'!K158-'LISTRIK 2026'!J158</f>
        <v>2461</v>
      </c>
      <c r="K158" s="54">
        <f>'LISTRIK 2026'!L158-'LISTRIK 2026'!K158</f>
        <v>3037</v>
      </c>
      <c r="L158" s="54">
        <f>'LISTRIK 2026'!M158-'LISTRIK 2026'!L158</f>
        <v>2904</v>
      </c>
      <c r="M158" s="133"/>
    </row>
    <row r="159" spans="1:13" s="8" customFormat="1" ht="39.950000000000003" customHeight="1" x14ac:dyDescent="0.3">
      <c r="A159" s="355"/>
      <c r="B159" s="126" t="s">
        <v>197</v>
      </c>
      <c r="C159" s="413"/>
      <c r="D159" s="397"/>
      <c r="E159" s="382"/>
      <c r="F159" s="373"/>
      <c r="G159" s="24" t="s">
        <v>256</v>
      </c>
      <c r="H159" s="379"/>
      <c r="I159" s="54">
        <f>'LISTRIK 2026'!J159-'LISTRIK 2026'!I159</f>
        <v>2492</v>
      </c>
      <c r="J159" s="54">
        <f>'LISTRIK 2026'!K159-'LISTRIK 2026'!J159</f>
        <v>2461</v>
      </c>
      <c r="K159" s="54">
        <f>'LISTRIK 2026'!L159-'LISTRIK 2026'!K159</f>
        <v>3037</v>
      </c>
      <c r="L159" s="54">
        <f>'LISTRIK 2026'!M159-'LISTRIK 2026'!L159</f>
        <v>2905</v>
      </c>
      <c r="M159" s="133"/>
    </row>
    <row r="160" spans="1:13" s="8" customFormat="1" ht="39.950000000000003" customHeight="1" x14ac:dyDescent="0.3">
      <c r="A160" s="355"/>
      <c r="B160" s="126" t="s">
        <v>198</v>
      </c>
      <c r="C160" s="413"/>
      <c r="D160" s="397"/>
      <c r="E160" s="384"/>
      <c r="F160" s="374"/>
      <c r="G160" s="268" t="s">
        <v>256</v>
      </c>
      <c r="H160" s="380"/>
      <c r="I160" s="54">
        <f>'LISTRIK 2026'!J160-'LISTRIK 2026'!I160</f>
        <v>0</v>
      </c>
      <c r="J160" s="54">
        <f>'LISTRIK 2026'!K160-'LISTRIK 2026'!J160</f>
        <v>0</v>
      </c>
      <c r="K160" s="54">
        <f>'LISTRIK 2026'!L160-'LISTRIK 2026'!K160</f>
        <v>0</v>
      </c>
      <c r="L160" s="54">
        <f>'LISTRIK 2026'!M160-'LISTRIK 2026'!L160</f>
        <v>0</v>
      </c>
      <c r="M160" s="133"/>
    </row>
    <row r="161" spans="1:13" s="8" customFormat="1" ht="39.950000000000003" customHeight="1" x14ac:dyDescent="0.3">
      <c r="A161" s="355"/>
      <c r="B161" s="308" t="s">
        <v>199</v>
      </c>
      <c r="C161" s="413"/>
      <c r="D161" s="397"/>
      <c r="E161" s="381" t="s">
        <v>14</v>
      </c>
      <c r="F161" s="400" t="s">
        <v>10</v>
      </c>
      <c r="G161" s="267" t="s">
        <v>256</v>
      </c>
      <c r="H161" s="383">
        <v>18052011252</v>
      </c>
      <c r="I161" s="54">
        <f>'LISTRIK 2026'!J161-'LISTRIK 2026'!I161</f>
        <v>6099</v>
      </c>
      <c r="J161" s="54">
        <f>'LISTRIK 2026'!K161-'LISTRIK 2026'!J161</f>
        <v>5321</v>
      </c>
      <c r="K161" s="54">
        <f>'LISTRIK 2026'!L161-'LISTRIK 2026'!K161</f>
        <v>6212</v>
      </c>
      <c r="L161" s="54">
        <f>'LISTRIK 2026'!M161-'LISTRIK 2026'!L161</f>
        <v>4841</v>
      </c>
      <c r="M161" s="133"/>
    </row>
    <row r="162" spans="1:13" s="8" customFormat="1" ht="39.950000000000003" customHeight="1" x14ac:dyDescent="0.3">
      <c r="A162" s="355"/>
      <c r="B162" s="126" t="s">
        <v>200</v>
      </c>
      <c r="C162" s="413"/>
      <c r="D162" s="397"/>
      <c r="E162" s="382"/>
      <c r="F162" s="373"/>
      <c r="G162" s="267" t="s">
        <v>256</v>
      </c>
      <c r="H162" s="379"/>
      <c r="I162" s="54">
        <f>'LISTRIK 2026'!J162-'LISTRIK 2026'!I162</f>
        <v>6099</v>
      </c>
      <c r="J162" s="54">
        <f>'LISTRIK 2026'!K162-'LISTRIK 2026'!J162</f>
        <v>5320</v>
      </c>
      <c r="K162" s="54">
        <f>'LISTRIK 2026'!L162-'LISTRIK 2026'!K162</f>
        <v>6212</v>
      </c>
      <c r="L162" s="54">
        <f>'LISTRIK 2026'!M162-'LISTRIK 2026'!L162</f>
        <v>4842</v>
      </c>
      <c r="M162" s="133"/>
    </row>
    <row r="163" spans="1:13" s="8" customFormat="1" ht="39.950000000000003" customHeight="1" x14ac:dyDescent="0.3">
      <c r="A163" s="355"/>
      <c r="B163" s="126" t="s">
        <v>204</v>
      </c>
      <c r="C163" s="413"/>
      <c r="D163" s="352"/>
      <c r="E163" s="384"/>
      <c r="F163" s="374"/>
      <c r="G163" s="24" t="s">
        <v>256</v>
      </c>
      <c r="H163" s="380"/>
      <c r="I163" s="54">
        <f>'LISTRIK 2026'!J163-'LISTRIK 2026'!I163</f>
        <v>0</v>
      </c>
      <c r="J163" s="54">
        <f>'LISTRIK 2026'!K163-'LISTRIK 2026'!J163</f>
        <v>0</v>
      </c>
      <c r="K163" s="54">
        <f>'LISTRIK 2026'!L163-'LISTRIK 2026'!K163</f>
        <v>0</v>
      </c>
      <c r="L163" s="54">
        <f>'LISTRIK 2026'!M163-'LISTRIK 2026'!L163</f>
        <v>0</v>
      </c>
      <c r="M163" s="133"/>
    </row>
    <row r="164" spans="1:13" s="8" customFormat="1" ht="39.950000000000003" customHeight="1" x14ac:dyDescent="0.3">
      <c r="A164" s="355"/>
      <c r="B164" s="309" t="s">
        <v>403</v>
      </c>
      <c r="C164" s="413"/>
      <c r="D164" s="351" t="s">
        <v>139</v>
      </c>
      <c r="E164" s="254" t="s">
        <v>9</v>
      </c>
      <c r="F164" s="24" t="s">
        <v>10</v>
      </c>
      <c r="G164" s="269" t="s">
        <v>251</v>
      </c>
      <c r="H164" s="244"/>
      <c r="I164" s="54">
        <f>'LISTRIK 2026'!J164-'LISTRIK 2026'!I164</f>
        <v>252</v>
      </c>
      <c r="J164" s="54">
        <f>'LISTRIK 2026'!K164-'LISTRIK 2026'!J164</f>
        <v>229</v>
      </c>
      <c r="K164" s="54">
        <f>'LISTRIK 2026'!L164-'LISTRIK 2026'!K164</f>
        <v>293</v>
      </c>
      <c r="L164" s="54">
        <f>'LISTRIK 2026'!M164-'LISTRIK 2026'!L164</f>
        <v>249</v>
      </c>
      <c r="M164" s="266"/>
    </row>
    <row r="165" spans="1:13" s="8" customFormat="1" ht="39.950000000000003" customHeight="1" x14ac:dyDescent="0.3">
      <c r="A165" s="355"/>
      <c r="B165" s="309" t="s">
        <v>404</v>
      </c>
      <c r="C165" s="413"/>
      <c r="D165" s="397"/>
      <c r="E165" s="254" t="s">
        <v>9</v>
      </c>
      <c r="F165" s="24" t="s">
        <v>10</v>
      </c>
      <c r="G165" s="269" t="s">
        <v>251</v>
      </c>
      <c r="H165" s="244"/>
      <c r="I165" s="54">
        <f>'LISTRIK 2026'!J165-'LISTRIK 2026'!I165</f>
        <v>67</v>
      </c>
      <c r="J165" s="54">
        <f>'LISTRIK 2026'!K165-'LISTRIK 2026'!J165</f>
        <v>61</v>
      </c>
      <c r="K165" s="54">
        <f>'LISTRIK 2026'!L165-'LISTRIK 2026'!K165</f>
        <v>52</v>
      </c>
      <c r="L165" s="54">
        <f>'LISTRIK 2026'!M165-'LISTRIK 2026'!L165</f>
        <v>134</v>
      </c>
      <c r="M165" s="266"/>
    </row>
    <row r="166" spans="1:13" s="8" customFormat="1" ht="39.950000000000003" customHeight="1" x14ac:dyDescent="0.3">
      <c r="A166" s="355"/>
      <c r="B166" s="309" t="s">
        <v>405</v>
      </c>
      <c r="C166" s="413"/>
      <c r="D166" s="397"/>
      <c r="E166" s="254" t="s">
        <v>9</v>
      </c>
      <c r="F166" s="24" t="s">
        <v>10</v>
      </c>
      <c r="G166" s="269" t="s">
        <v>251</v>
      </c>
      <c r="H166" s="244"/>
      <c r="I166" s="54">
        <f>'LISTRIK 2026'!J166-'LISTRIK 2026'!I166</f>
        <v>364</v>
      </c>
      <c r="J166" s="54">
        <f>'LISTRIK 2026'!K166-'LISTRIK 2026'!J166</f>
        <v>309</v>
      </c>
      <c r="K166" s="54">
        <f>'LISTRIK 2026'!L166-'LISTRIK 2026'!K166</f>
        <v>353</v>
      </c>
      <c r="L166" s="54">
        <f>'LISTRIK 2026'!M166-'LISTRIK 2026'!L166</f>
        <v>332</v>
      </c>
      <c r="M166" s="266"/>
    </row>
    <row r="167" spans="1:13" s="8" customFormat="1" ht="39.950000000000003" customHeight="1" x14ac:dyDescent="0.3">
      <c r="A167" s="355"/>
      <c r="B167" s="309" t="s">
        <v>406</v>
      </c>
      <c r="C167" s="413"/>
      <c r="D167" s="397"/>
      <c r="E167" s="254" t="s">
        <v>9</v>
      </c>
      <c r="F167" s="24" t="s">
        <v>10</v>
      </c>
      <c r="G167" s="269" t="s">
        <v>251</v>
      </c>
      <c r="H167" s="244"/>
      <c r="I167" s="54">
        <f>'LISTRIK 2026'!J167-'LISTRIK 2026'!I167</f>
        <v>114</v>
      </c>
      <c r="J167" s="54">
        <f>'LISTRIK 2026'!K167-'LISTRIK 2026'!J167</f>
        <v>183</v>
      </c>
      <c r="K167" s="54">
        <f>'LISTRIK 2026'!L167-'LISTRIK 2026'!K167</f>
        <v>283</v>
      </c>
      <c r="L167" s="54">
        <f>'LISTRIK 2026'!M167-'LISTRIK 2026'!L167</f>
        <v>249</v>
      </c>
      <c r="M167" s="266"/>
    </row>
    <row r="168" spans="1:13" s="8" customFormat="1" ht="39.950000000000003" customHeight="1" x14ac:dyDescent="0.3">
      <c r="A168" s="355"/>
      <c r="B168" s="309" t="s">
        <v>407</v>
      </c>
      <c r="C168" s="413"/>
      <c r="D168" s="397"/>
      <c r="E168" s="254" t="s">
        <v>9</v>
      </c>
      <c r="F168" s="24" t="s">
        <v>10</v>
      </c>
      <c r="G168" s="269" t="s">
        <v>251</v>
      </c>
      <c r="H168" s="244"/>
      <c r="I168" s="54">
        <f>'LISTRIK 2026'!J168-'LISTRIK 2026'!I168</f>
        <v>456</v>
      </c>
      <c r="J168" s="54">
        <f>'LISTRIK 2026'!K168-'LISTRIK 2026'!J168</f>
        <v>422</v>
      </c>
      <c r="K168" s="54">
        <f>'LISTRIK 2026'!L168-'LISTRIK 2026'!K168</f>
        <v>502</v>
      </c>
      <c r="L168" s="54">
        <f>'LISTRIK 2026'!M168-'LISTRIK 2026'!L168</f>
        <v>461</v>
      </c>
      <c r="M168" s="266"/>
    </row>
    <row r="169" spans="1:13" s="8" customFormat="1" ht="39.950000000000003" customHeight="1" x14ac:dyDescent="0.3">
      <c r="A169" s="355"/>
      <c r="B169" s="309" t="s">
        <v>408</v>
      </c>
      <c r="C169" s="413"/>
      <c r="D169" s="397"/>
      <c r="E169" s="254" t="s">
        <v>9</v>
      </c>
      <c r="F169" s="24" t="s">
        <v>10</v>
      </c>
      <c r="G169" s="269" t="s">
        <v>251</v>
      </c>
      <c r="H169" s="244"/>
      <c r="I169" s="54">
        <f>'LISTRIK 2026'!J169-'LISTRIK 2026'!I169</f>
        <v>472</v>
      </c>
      <c r="J169" s="54">
        <f>'LISTRIK 2026'!K169-'LISTRIK 2026'!J169</f>
        <v>399</v>
      </c>
      <c r="K169" s="54">
        <f>'LISTRIK 2026'!L169-'LISTRIK 2026'!K169</f>
        <v>454</v>
      </c>
      <c r="L169" s="54">
        <f>'LISTRIK 2026'!M169-'LISTRIK 2026'!L169</f>
        <v>406</v>
      </c>
      <c r="M169" s="266"/>
    </row>
    <row r="170" spans="1:13" s="8" customFormat="1" ht="39.950000000000003" customHeight="1" x14ac:dyDescent="0.3">
      <c r="A170" s="355"/>
      <c r="B170" s="309" t="s">
        <v>409</v>
      </c>
      <c r="C170" s="413"/>
      <c r="D170" s="397"/>
      <c r="E170" s="254" t="s">
        <v>9</v>
      </c>
      <c r="F170" s="24" t="s">
        <v>10</v>
      </c>
      <c r="G170" s="269" t="s">
        <v>251</v>
      </c>
      <c r="H170" s="244"/>
      <c r="I170" s="54">
        <f>'LISTRIK 2026'!J170-'LISTRIK 2026'!I170</f>
        <v>689</v>
      </c>
      <c r="J170" s="54">
        <f>'LISTRIK 2026'!K170-'LISTRIK 2026'!J170</f>
        <v>598</v>
      </c>
      <c r="K170" s="54">
        <f>'LISTRIK 2026'!L170-'LISTRIK 2026'!K170</f>
        <v>749</v>
      </c>
      <c r="L170" s="54">
        <f>'LISTRIK 2026'!M170-'LISTRIK 2026'!L170</f>
        <v>648</v>
      </c>
      <c r="M170" s="266"/>
    </row>
    <row r="171" spans="1:13" s="8" customFormat="1" ht="39.950000000000003" customHeight="1" x14ac:dyDescent="0.3">
      <c r="A171" s="355"/>
      <c r="B171" s="309" t="s">
        <v>410</v>
      </c>
      <c r="C171" s="413"/>
      <c r="D171" s="397"/>
      <c r="E171" s="254" t="s">
        <v>9</v>
      </c>
      <c r="F171" s="24" t="s">
        <v>10</v>
      </c>
      <c r="G171" s="269" t="s">
        <v>251</v>
      </c>
      <c r="H171" s="244"/>
      <c r="I171" s="54">
        <f>'LISTRIK 2026'!J171-'LISTRIK 2026'!I171</f>
        <v>326</v>
      </c>
      <c r="J171" s="54">
        <f>'LISTRIK 2026'!K171-'LISTRIK 2026'!J171</f>
        <v>290</v>
      </c>
      <c r="K171" s="54">
        <f>'LISTRIK 2026'!L171-'LISTRIK 2026'!K171</f>
        <v>355</v>
      </c>
      <c r="L171" s="54">
        <f>'LISTRIK 2026'!M171-'LISTRIK 2026'!L171</f>
        <v>315</v>
      </c>
      <c r="M171" s="266"/>
    </row>
    <row r="172" spans="1:13" s="8" customFormat="1" ht="39.950000000000003" customHeight="1" x14ac:dyDescent="0.3">
      <c r="A172" s="355"/>
      <c r="B172" s="309" t="s">
        <v>411</v>
      </c>
      <c r="C172" s="413"/>
      <c r="D172" s="397"/>
      <c r="E172" s="254" t="s">
        <v>9</v>
      </c>
      <c r="F172" s="24" t="s">
        <v>10</v>
      </c>
      <c r="G172" s="269" t="s">
        <v>251</v>
      </c>
      <c r="H172" s="244"/>
      <c r="I172" s="54">
        <f>'LISTRIK 2026'!J172-'LISTRIK 2026'!I172</f>
        <v>281</v>
      </c>
      <c r="J172" s="54">
        <f>'LISTRIK 2026'!K172-'LISTRIK 2026'!J172</f>
        <v>239</v>
      </c>
      <c r="K172" s="54">
        <f>'LISTRIK 2026'!L172-'LISTRIK 2026'!K172</f>
        <v>328</v>
      </c>
      <c r="L172" s="54">
        <f>'LISTRIK 2026'!M172-'LISTRIK 2026'!L172</f>
        <v>278</v>
      </c>
      <c r="M172" s="266"/>
    </row>
    <row r="173" spans="1:13" s="8" customFormat="1" ht="39.950000000000003" customHeight="1" x14ac:dyDescent="0.3">
      <c r="A173" s="355"/>
      <c r="B173" s="309" t="s">
        <v>412</v>
      </c>
      <c r="C173" s="413"/>
      <c r="D173" s="397"/>
      <c r="E173" s="254" t="s">
        <v>9</v>
      </c>
      <c r="F173" s="24" t="s">
        <v>10</v>
      </c>
      <c r="G173" s="269" t="s">
        <v>251</v>
      </c>
      <c r="H173" s="244"/>
      <c r="I173" s="54">
        <f>'LISTRIK 2026'!J173-'LISTRIK 2026'!I173</f>
        <v>417</v>
      </c>
      <c r="J173" s="54">
        <f>'LISTRIK 2026'!K173-'LISTRIK 2026'!J173</f>
        <v>343</v>
      </c>
      <c r="K173" s="54">
        <f>'LISTRIK 2026'!L173-'LISTRIK 2026'!K173</f>
        <v>377</v>
      </c>
      <c r="L173" s="54">
        <f>'LISTRIK 2026'!M173-'LISTRIK 2026'!L173</f>
        <v>384</v>
      </c>
      <c r="M173" s="266"/>
    </row>
    <row r="174" spans="1:13" s="8" customFormat="1" ht="39.950000000000003" customHeight="1" x14ac:dyDescent="0.3">
      <c r="A174" s="355"/>
      <c r="B174" s="309" t="s">
        <v>413</v>
      </c>
      <c r="C174" s="413"/>
      <c r="D174" s="397"/>
      <c r="E174" s="254" t="s">
        <v>9</v>
      </c>
      <c r="F174" s="24" t="s">
        <v>10</v>
      </c>
      <c r="G174" s="269" t="s">
        <v>251</v>
      </c>
      <c r="H174" s="244"/>
      <c r="I174" s="54">
        <f>'LISTRIK 2026'!J174-'LISTRIK 2026'!I174</f>
        <v>438</v>
      </c>
      <c r="J174" s="54">
        <f>'LISTRIK 2026'!K174-'LISTRIK 2026'!J174</f>
        <v>386</v>
      </c>
      <c r="K174" s="54">
        <f>'LISTRIK 2026'!L174-'LISTRIK 2026'!K174</f>
        <v>451</v>
      </c>
      <c r="L174" s="54">
        <f>'LISTRIK 2026'!M174-'LISTRIK 2026'!L174</f>
        <v>395</v>
      </c>
      <c r="M174" s="266"/>
    </row>
    <row r="175" spans="1:13" s="8" customFormat="1" ht="39.950000000000003" customHeight="1" x14ac:dyDescent="0.3">
      <c r="A175" s="355"/>
      <c r="B175" s="309" t="s">
        <v>414</v>
      </c>
      <c r="C175" s="413"/>
      <c r="D175" s="397"/>
      <c r="E175" s="254" t="s">
        <v>9</v>
      </c>
      <c r="F175" s="24" t="s">
        <v>10</v>
      </c>
      <c r="G175" s="269" t="s">
        <v>251</v>
      </c>
      <c r="H175" s="244"/>
      <c r="I175" s="54">
        <f>'LISTRIK 2026'!J175-'LISTRIK 2026'!I175</f>
        <v>258</v>
      </c>
      <c r="J175" s="54">
        <f>'LISTRIK 2026'!K175-'LISTRIK 2026'!J175</f>
        <v>218</v>
      </c>
      <c r="K175" s="54">
        <f>'LISTRIK 2026'!L175-'LISTRIK 2026'!K175</f>
        <v>246</v>
      </c>
      <c r="L175" s="54">
        <f>'LISTRIK 2026'!M175-'LISTRIK 2026'!L175</f>
        <v>146</v>
      </c>
      <c r="M175" s="266"/>
    </row>
    <row r="176" spans="1:13" s="8" customFormat="1" ht="39.950000000000003" customHeight="1" x14ac:dyDescent="0.3">
      <c r="A176" s="355"/>
      <c r="B176" s="309" t="s">
        <v>415</v>
      </c>
      <c r="C176" s="413"/>
      <c r="D176" s="397"/>
      <c r="E176" s="254" t="s">
        <v>71</v>
      </c>
      <c r="F176" s="24" t="s">
        <v>10</v>
      </c>
      <c r="G176" s="269" t="s">
        <v>251</v>
      </c>
      <c r="H176" s="244"/>
      <c r="I176" s="54">
        <f>'LISTRIK 2026'!J176-'LISTRIK 2026'!I176</f>
        <v>219</v>
      </c>
      <c r="J176" s="54">
        <f>'LISTRIK 2026'!K176-'LISTRIK 2026'!J176</f>
        <v>218</v>
      </c>
      <c r="K176" s="54">
        <f>'LISTRIK 2026'!L176-'LISTRIK 2026'!K176</f>
        <v>264</v>
      </c>
      <c r="L176" s="54">
        <f>'LISTRIK 2026'!M176-'LISTRIK 2026'!L176</f>
        <v>0</v>
      </c>
      <c r="M176" s="266"/>
    </row>
    <row r="177" spans="1:13" s="8" customFormat="1" ht="39.950000000000003" customHeight="1" x14ac:dyDescent="0.3">
      <c r="A177" s="355"/>
      <c r="B177" s="164" t="s">
        <v>250</v>
      </c>
      <c r="C177" s="413"/>
      <c r="D177" s="351"/>
      <c r="E177" s="254" t="s">
        <v>16</v>
      </c>
      <c r="F177" s="24" t="s">
        <v>10</v>
      </c>
      <c r="G177" s="269" t="s">
        <v>253</v>
      </c>
      <c r="H177" s="244"/>
      <c r="I177" s="54">
        <f>'LISTRIK 2026'!J177-'LISTRIK 2026'!I177</f>
        <v>204.79999999999927</v>
      </c>
      <c r="J177" s="54">
        <f>'LISTRIK 2026'!K177-'LISTRIK 2026'!J177</f>
        <v>60617.599999999999</v>
      </c>
      <c r="K177" s="54">
        <f>'LISTRIK 2026'!L177-'LISTRIK 2026'!K177</f>
        <v>-60194.7</v>
      </c>
      <c r="L177" s="54">
        <f>'LISTRIK 2026'!M177-'LISTRIK 2026'!L177</f>
        <v>212.39999999999964</v>
      </c>
      <c r="M177" s="266"/>
    </row>
    <row r="178" spans="1:13" s="8" customFormat="1" ht="39.950000000000003" customHeight="1" x14ac:dyDescent="0.3">
      <c r="A178" s="355"/>
      <c r="B178" s="143" t="s">
        <v>313</v>
      </c>
      <c r="C178" s="414"/>
      <c r="D178" s="397"/>
      <c r="E178" s="254" t="s">
        <v>16</v>
      </c>
      <c r="F178" s="24" t="s">
        <v>10</v>
      </c>
      <c r="G178" s="269" t="s">
        <v>253</v>
      </c>
      <c r="H178" s="244"/>
      <c r="I178" s="54">
        <f>'LISTRIK 2026'!J178-'LISTRIK 2026'!I178</f>
        <v>255.5</v>
      </c>
      <c r="J178" s="54">
        <f>'LISTRIK 2026'!K178-'LISTRIK 2026'!J178</f>
        <v>230.10000000000036</v>
      </c>
      <c r="K178" s="54">
        <f>'LISTRIK 2026'!L178-'LISTRIK 2026'!K178</f>
        <v>266.29999999999927</v>
      </c>
      <c r="L178" s="54">
        <f>'LISTRIK 2026'!M178-'LISTRIK 2026'!L178</f>
        <v>227.60000000000036</v>
      </c>
      <c r="M178" s="266"/>
    </row>
    <row r="179" spans="1:13" s="8" customFormat="1" ht="39.950000000000003" customHeight="1" x14ac:dyDescent="0.3">
      <c r="A179" s="354"/>
      <c r="B179" s="163" t="s">
        <v>201</v>
      </c>
      <c r="C179" s="36" t="s">
        <v>120</v>
      </c>
      <c r="D179" s="47" t="s">
        <v>121</v>
      </c>
      <c r="E179" s="254" t="s">
        <v>22</v>
      </c>
      <c r="F179" s="24" t="s">
        <v>10</v>
      </c>
      <c r="G179" s="269" t="s">
        <v>258</v>
      </c>
      <c r="H179" s="244"/>
      <c r="I179" s="54">
        <f>'LISTRIK 2026'!J179-'LISTRIK 2026'!I179</f>
        <v>54.100000000000364</v>
      </c>
      <c r="J179" s="54">
        <f>'LISTRIK 2026'!K179-'LISTRIK 2026'!J179</f>
        <v>49</v>
      </c>
      <c r="K179" s="54">
        <f>'LISTRIK 2026'!L179-'LISTRIK 2026'!K179</f>
        <v>56.099999999999909</v>
      </c>
      <c r="L179" s="54">
        <f>'LISTRIK 2026'!M179-'LISTRIK 2026'!L179</f>
        <v>50.5</v>
      </c>
      <c r="M179" s="266"/>
    </row>
    <row r="180" spans="1:13" s="8" customFormat="1" ht="39.950000000000003" customHeight="1" x14ac:dyDescent="0.3">
      <c r="A180" s="315">
        <v>105</v>
      </c>
      <c r="B180" s="132"/>
      <c r="C180" s="327"/>
      <c r="D180" s="314"/>
      <c r="E180" s="248"/>
      <c r="F180" s="242"/>
      <c r="G180" s="243"/>
      <c r="H180" s="252"/>
      <c r="I180" s="54">
        <f>'LISTRIK 2026'!J180-'LISTRIK 2026'!I180</f>
        <v>0</v>
      </c>
      <c r="J180" s="54">
        <f>'LISTRIK 2026'!K180-'LISTRIK 2026'!J180</f>
        <v>399.6</v>
      </c>
      <c r="K180" s="54">
        <f>'LISTRIK 2026'!L180-'LISTRIK 2026'!K180</f>
        <v>2065.4</v>
      </c>
      <c r="L180" s="54">
        <f>'LISTRIK 2026'!M180-'LISTRIK 2026'!L180</f>
        <v>1965.8000000000002</v>
      </c>
      <c r="M180" s="266"/>
    </row>
    <row r="181" spans="1:13" s="8" customFormat="1" ht="39.950000000000003" customHeight="1" x14ac:dyDescent="0.3">
      <c r="A181" s="330">
        <v>106</v>
      </c>
      <c r="B181" s="143" t="s">
        <v>36</v>
      </c>
      <c r="C181" s="324" t="s">
        <v>42</v>
      </c>
      <c r="D181" s="48" t="s">
        <v>44</v>
      </c>
      <c r="E181" s="254" t="s">
        <v>19</v>
      </c>
      <c r="F181" s="253" t="s">
        <v>10</v>
      </c>
      <c r="G181" s="253" t="s">
        <v>254</v>
      </c>
      <c r="H181" s="253">
        <v>13152011174</v>
      </c>
      <c r="I181" s="54">
        <f>'LISTRIK 2026'!J181-'LISTRIK 2026'!I181</f>
        <v>791</v>
      </c>
      <c r="J181" s="54">
        <f>'LISTRIK 2026'!K181-'LISTRIK 2026'!J181</f>
        <v>760</v>
      </c>
      <c r="K181" s="54">
        <f>'LISTRIK 2026'!L181-'LISTRIK 2026'!K181</f>
        <v>832</v>
      </c>
      <c r="L181" s="54">
        <f>'LISTRIK 2026'!M181-'LISTRIK 2026'!L181</f>
        <v>729</v>
      </c>
      <c r="M181" s="37"/>
    </row>
    <row r="182" spans="1:13" s="8" customFormat="1" ht="39.950000000000003" customHeight="1" x14ac:dyDescent="0.3">
      <c r="A182" s="353">
        <v>107</v>
      </c>
      <c r="B182" s="143" t="s">
        <v>188</v>
      </c>
      <c r="C182" s="375" t="s">
        <v>42</v>
      </c>
      <c r="D182" s="48" t="s">
        <v>386</v>
      </c>
      <c r="E182" s="254" t="s">
        <v>17</v>
      </c>
      <c r="F182" s="242" t="s">
        <v>20</v>
      </c>
      <c r="G182" s="253"/>
      <c r="H182" s="253">
        <v>2240251610</v>
      </c>
      <c r="I182" s="54">
        <f>'LISTRIK 2026'!J182-'LISTRIK 2026'!I182</f>
        <v>1007</v>
      </c>
      <c r="J182" s="54">
        <f>'LISTRIK 2026'!K182-'LISTRIK 2026'!J182</f>
        <v>889</v>
      </c>
      <c r="K182" s="54">
        <f>'LISTRIK 2026'!L182-'LISTRIK 2026'!K182</f>
        <v>1032</v>
      </c>
      <c r="L182" s="54">
        <f>'LISTRIK 2026'!M182-'LISTRIK 2026'!L182</f>
        <v>889</v>
      </c>
      <c r="M182" s="37"/>
    </row>
    <row r="183" spans="1:13" s="8" customFormat="1" ht="39.950000000000003" customHeight="1" x14ac:dyDescent="0.3">
      <c r="A183" s="354"/>
      <c r="B183" s="143" t="s">
        <v>298</v>
      </c>
      <c r="C183" s="371"/>
      <c r="D183" s="104" t="s">
        <v>387</v>
      </c>
      <c r="E183" s="254" t="s">
        <v>17</v>
      </c>
      <c r="F183" s="253" t="s">
        <v>10</v>
      </c>
      <c r="G183" s="253" t="s">
        <v>251</v>
      </c>
      <c r="H183" s="253"/>
      <c r="I183" s="54">
        <f>'LISTRIK 2026'!J183-'LISTRIK 2026'!I183</f>
        <v>207</v>
      </c>
      <c r="J183" s="54">
        <f>'LISTRIK 2026'!K183-'LISTRIK 2026'!J183</f>
        <v>178</v>
      </c>
      <c r="K183" s="54">
        <f>'LISTRIK 2026'!L183-'LISTRIK 2026'!K183</f>
        <v>180</v>
      </c>
      <c r="L183" s="54">
        <f>'LISTRIK 2026'!M183-'LISTRIK 2026'!L183</f>
        <v>186</v>
      </c>
      <c r="M183" s="265"/>
    </row>
    <row r="184" spans="1:13" s="8" customFormat="1" ht="39.950000000000003" customHeight="1" x14ac:dyDescent="0.3">
      <c r="A184" s="260">
        <v>108</v>
      </c>
      <c r="B184" s="126" t="s">
        <v>296</v>
      </c>
      <c r="C184" s="256" t="s">
        <v>42</v>
      </c>
      <c r="D184" s="104">
        <v>15</v>
      </c>
      <c r="E184" s="254" t="s">
        <v>17</v>
      </c>
      <c r="F184" s="253" t="s">
        <v>10</v>
      </c>
      <c r="G184" s="253" t="s">
        <v>251</v>
      </c>
      <c r="H184" s="253">
        <v>13152011185</v>
      </c>
      <c r="I184" s="54">
        <f>'LISTRIK 2026'!J184-'LISTRIK 2026'!I184</f>
        <v>469</v>
      </c>
      <c r="J184" s="54">
        <f>'LISTRIK 2026'!K184-'LISTRIK 2026'!J184</f>
        <v>447</v>
      </c>
      <c r="K184" s="54">
        <f>'LISTRIK 2026'!L184-'LISTRIK 2026'!K184</f>
        <v>526</v>
      </c>
      <c r="L184" s="54">
        <f>'LISTRIK 2026'!M184-'LISTRIK 2026'!L184</f>
        <v>476</v>
      </c>
      <c r="M184" s="265"/>
    </row>
    <row r="185" spans="1:13" s="8" customFormat="1" ht="39.950000000000003" customHeight="1" x14ac:dyDescent="0.3">
      <c r="A185" s="260">
        <v>109</v>
      </c>
      <c r="B185" s="126" t="s">
        <v>259</v>
      </c>
      <c r="C185" s="36" t="s">
        <v>42</v>
      </c>
      <c r="D185" s="104" t="s">
        <v>260</v>
      </c>
      <c r="E185" s="248" t="s">
        <v>23</v>
      </c>
      <c r="F185" s="253" t="s">
        <v>10</v>
      </c>
      <c r="G185" s="253" t="s">
        <v>251</v>
      </c>
      <c r="H185" s="253"/>
      <c r="I185" s="54">
        <f>'LISTRIK 2026'!J185-'LISTRIK 2026'!I185</f>
        <v>303</v>
      </c>
      <c r="J185" s="54">
        <f>'LISTRIK 2026'!K185-'LISTRIK 2026'!J185</f>
        <v>273</v>
      </c>
      <c r="K185" s="54">
        <f>'LISTRIK 2026'!L185-'LISTRIK 2026'!K185</f>
        <v>287</v>
      </c>
      <c r="L185" s="54">
        <f>'LISTRIK 2026'!M185-'LISTRIK 2026'!L185</f>
        <v>272</v>
      </c>
      <c r="M185" s="265"/>
    </row>
    <row r="186" spans="1:13" s="8" customFormat="1" ht="39.950000000000003" customHeight="1" x14ac:dyDescent="0.3">
      <c r="A186" s="260">
        <v>110</v>
      </c>
      <c r="B186" s="164" t="s">
        <v>269</v>
      </c>
      <c r="C186" s="36" t="s">
        <v>42</v>
      </c>
      <c r="D186" s="104" t="s">
        <v>388</v>
      </c>
      <c r="E186" s="248" t="s">
        <v>71</v>
      </c>
      <c r="F186" s="253" t="s">
        <v>10</v>
      </c>
      <c r="G186" s="253" t="s">
        <v>251</v>
      </c>
      <c r="H186" s="253"/>
      <c r="I186" s="54">
        <f>'LISTRIK 2026'!J186-'LISTRIK 2026'!I186</f>
        <v>1116</v>
      </c>
      <c r="J186" s="54">
        <f>'LISTRIK 2026'!K186-'LISTRIK 2026'!J186</f>
        <v>0</v>
      </c>
      <c r="K186" s="54">
        <f>'LISTRIK 2026'!L186-'LISTRIK 2026'!K186</f>
        <v>1076</v>
      </c>
      <c r="L186" s="54">
        <f>'LISTRIK 2026'!M186-'LISTRIK 2026'!L186</f>
        <v>834</v>
      </c>
      <c r="M186" s="265"/>
    </row>
    <row r="187" spans="1:13" s="8" customFormat="1" ht="39.950000000000003" customHeight="1" x14ac:dyDescent="0.3">
      <c r="A187" s="260">
        <v>111</v>
      </c>
      <c r="B187" s="144" t="s">
        <v>38</v>
      </c>
      <c r="C187" s="256" t="s">
        <v>42</v>
      </c>
      <c r="D187" s="267">
        <v>46</v>
      </c>
      <c r="E187" s="248" t="s">
        <v>23</v>
      </c>
      <c r="F187" s="253" t="s">
        <v>20</v>
      </c>
      <c r="G187" s="253" t="s">
        <v>254</v>
      </c>
      <c r="H187" s="26">
        <v>215141017</v>
      </c>
      <c r="I187" s="54">
        <f>'LISTRIK 2026'!J187-'LISTRIK 2026'!I187</f>
        <v>2172.6999999999971</v>
      </c>
      <c r="J187" s="54">
        <f>'LISTRIK 2026'!K187-'LISTRIK 2026'!J187</f>
        <v>1935.2000000000044</v>
      </c>
      <c r="K187" s="54">
        <f>'LISTRIK 2026'!L187-'LISTRIK 2026'!K187</f>
        <v>2235.1999999999971</v>
      </c>
      <c r="L187" s="54">
        <f>'LISTRIK 2026'!M187-'LISTRIK 2026'!L187</f>
        <v>1982.0999999999985</v>
      </c>
      <c r="M187" s="265"/>
    </row>
    <row r="188" spans="1:13" s="8" customFormat="1" ht="39.950000000000003" customHeight="1" x14ac:dyDescent="0.3">
      <c r="A188" s="260">
        <v>112</v>
      </c>
      <c r="B188" s="143" t="s">
        <v>39</v>
      </c>
      <c r="C188" s="263" t="s">
        <v>42</v>
      </c>
      <c r="D188" s="24">
        <v>47</v>
      </c>
      <c r="E188" s="248" t="s">
        <v>23</v>
      </c>
      <c r="F188" s="253" t="s">
        <v>10</v>
      </c>
      <c r="G188" s="253" t="s">
        <v>254</v>
      </c>
      <c r="H188" s="253">
        <v>13152011217</v>
      </c>
      <c r="I188" s="54">
        <f>'LISTRIK 2026'!J188-'LISTRIK 2026'!I188</f>
        <v>816</v>
      </c>
      <c r="J188" s="54">
        <f>'LISTRIK 2026'!K188-'LISTRIK 2026'!J188</f>
        <v>726</v>
      </c>
      <c r="K188" s="54">
        <f>'LISTRIK 2026'!L188-'LISTRIK 2026'!K188</f>
        <v>819</v>
      </c>
      <c r="L188" s="54">
        <f>'LISTRIK 2026'!M188-'LISTRIK 2026'!L188</f>
        <v>729</v>
      </c>
      <c r="M188" s="37"/>
    </row>
    <row r="189" spans="1:13" s="8" customFormat="1" ht="39.950000000000003" customHeight="1" x14ac:dyDescent="0.3">
      <c r="A189" s="353">
        <v>113</v>
      </c>
      <c r="B189" s="144" t="s">
        <v>314</v>
      </c>
      <c r="C189" s="263" t="s">
        <v>42</v>
      </c>
      <c r="D189" s="24">
        <v>43</v>
      </c>
      <c r="E189" s="248" t="s">
        <v>17</v>
      </c>
      <c r="F189" s="253" t="s">
        <v>10</v>
      </c>
      <c r="G189" s="253" t="s">
        <v>251</v>
      </c>
      <c r="H189" s="253">
        <v>17252010345</v>
      </c>
      <c r="I189" s="54">
        <f>'LISTRIK 2026'!J189-'LISTRIK 2026'!I189</f>
        <v>3265</v>
      </c>
      <c r="J189" s="54">
        <f>'LISTRIK 2026'!K189-'LISTRIK 2026'!J189</f>
        <v>2939</v>
      </c>
      <c r="K189" s="54">
        <f>'LISTRIK 2026'!L189-'LISTRIK 2026'!K189</f>
        <v>3367</v>
      </c>
      <c r="L189" s="54">
        <f>'LISTRIK 2026'!M189-'LISTRIK 2026'!L189</f>
        <v>3037</v>
      </c>
      <c r="M189" s="265"/>
    </row>
    <row r="190" spans="1:13" s="8" customFormat="1" ht="39.950000000000003" customHeight="1" x14ac:dyDescent="0.3">
      <c r="A190" s="354"/>
      <c r="B190" s="144" t="s">
        <v>425</v>
      </c>
      <c r="C190" s="324" t="s">
        <v>42</v>
      </c>
      <c r="D190" s="314"/>
      <c r="E190" s="319"/>
      <c r="F190" s="325"/>
      <c r="G190" s="321"/>
      <c r="H190" s="321"/>
      <c r="I190" s="54"/>
      <c r="J190" s="54"/>
      <c r="K190" s="54">
        <f>'LISTRIK 2026'!L190-'LISTRIK 2026'!K190</f>
        <v>679.1</v>
      </c>
      <c r="L190" s="54">
        <f>'LISTRIK 2026'!M190-'LISTRIK 2026'!L190</f>
        <v>781.30000000000007</v>
      </c>
      <c r="M190" s="265"/>
    </row>
    <row r="191" spans="1:13" s="8" customFormat="1" ht="39.950000000000003" customHeight="1" x14ac:dyDescent="0.3">
      <c r="A191" s="260">
        <v>114</v>
      </c>
      <c r="B191" s="144" t="s">
        <v>364</v>
      </c>
      <c r="C191" s="263" t="s">
        <v>42</v>
      </c>
      <c r="D191" s="269">
        <v>50</v>
      </c>
      <c r="E191" s="248"/>
      <c r="F191" s="253" t="s">
        <v>20</v>
      </c>
      <c r="G191" s="244"/>
      <c r="H191" s="252" t="s">
        <v>365</v>
      </c>
      <c r="I191" s="54">
        <f>'LISTRIK 2026'!J191-'LISTRIK 2026'!I191</f>
        <v>6937.7999999999993</v>
      </c>
      <c r="J191" s="54">
        <f>'LISTRIK 2026'!K191-'LISTRIK 2026'!J191</f>
        <v>6321.1000000000022</v>
      </c>
      <c r="K191" s="54">
        <f>'LISTRIK 2026'!L191-'LISTRIK 2026'!K191</f>
        <v>7354.5</v>
      </c>
      <c r="L191" s="54">
        <f>'LISTRIK 2026'!M191-'LISTRIK 2026'!L191</f>
        <v>6503.1999999999971</v>
      </c>
      <c r="M191" s="265"/>
    </row>
    <row r="192" spans="1:13" s="8" customFormat="1" ht="39.950000000000003" customHeight="1" x14ac:dyDescent="0.3">
      <c r="A192" s="260">
        <v>115</v>
      </c>
      <c r="B192" s="144" t="s">
        <v>249</v>
      </c>
      <c r="C192" s="256" t="s">
        <v>42</v>
      </c>
      <c r="D192" s="269" t="s">
        <v>384</v>
      </c>
      <c r="E192" s="248" t="s">
        <v>9</v>
      </c>
      <c r="F192" s="253" t="s">
        <v>20</v>
      </c>
      <c r="G192" s="244" t="s">
        <v>360</v>
      </c>
      <c r="H192" s="252">
        <v>224026200</v>
      </c>
      <c r="I192" s="54">
        <f>'LISTRIK 2026'!J192-'LISTRIK 2026'!I192</f>
        <v>2268.8999999999996</v>
      </c>
      <c r="J192" s="54">
        <f>'LISTRIK 2026'!K192-'LISTRIK 2026'!J192</f>
        <v>2040.6999999999998</v>
      </c>
      <c r="K192" s="54">
        <f>'LISTRIK 2026'!L192-'LISTRIK 2026'!K192</f>
        <v>2354.2000000000007</v>
      </c>
      <c r="L192" s="54">
        <f>'LISTRIK 2026'!M192-'LISTRIK 2026'!L192</f>
        <v>2113.2999999999993</v>
      </c>
      <c r="M192" s="265"/>
    </row>
    <row r="193" spans="1:13" s="8" customFormat="1" ht="39.950000000000003" customHeight="1" x14ac:dyDescent="0.3">
      <c r="A193" s="353">
        <v>116</v>
      </c>
      <c r="B193" s="144" t="s">
        <v>354</v>
      </c>
      <c r="C193" s="32" t="s">
        <v>42</v>
      </c>
      <c r="D193" s="269" t="s">
        <v>385</v>
      </c>
      <c r="E193" s="248" t="s">
        <v>72</v>
      </c>
      <c r="F193" s="253" t="s">
        <v>20</v>
      </c>
      <c r="G193" s="244"/>
      <c r="H193" s="244">
        <v>723454003</v>
      </c>
      <c r="I193" s="54">
        <f>'LISTRIK 2026'!J193-'LISTRIK 2026'!I193</f>
        <v>5779</v>
      </c>
      <c r="J193" s="54">
        <f>'LISTRIK 2026'!K193-'LISTRIK 2026'!J193</f>
        <v>5033.3999999999942</v>
      </c>
      <c r="K193" s="54">
        <f>'LISTRIK 2026'!L193-'LISTRIK 2026'!K193</f>
        <v>6319</v>
      </c>
      <c r="L193" s="54">
        <f>'LISTRIK 2026'!M193-'LISTRIK 2026'!L193</f>
        <v>5369.8000000000029</v>
      </c>
      <c r="M193" s="265"/>
    </row>
    <row r="194" spans="1:13" s="8" customFormat="1" ht="39.950000000000003" customHeight="1" x14ac:dyDescent="0.3">
      <c r="A194" s="354"/>
      <c r="B194" s="144" t="s">
        <v>355</v>
      </c>
      <c r="C194" s="88" t="s">
        <v>21</v>
      </c>
      <c r="D194" s="269" t="s">
        <v>21</v>
      </c>
      <c r="E194" s="248" t="s">
        <v>23</v>
      </c>
      <c r="F194" s="253" t="s">
        <v>10</v>
      </c>
      <c r="G194" s="253" t="s">
        <v>254</v>
      </c>
      <c r="H194" s="244">
        <v>17232010598</v>
      </c>
      <c r="I194" s="54">
        <f>'LISTRIK 2026'!J194-'LISTRIK 2026'!I194</f>
        <v>1129.1999999999989</v>
      </c>
      <c r="J194" s="54">
        <f>'LISTRIK 2026'!K194-'LISTRIK 2026'!J194</f>
        <v>1101.8000000000011</v>
      </c>
      <c r="K194" s="54">
        <f>'LISTRIK 2026'!L194-'LISTRIK 2026'!K194</f>
        <v>1492.8999999999978</v>
      </c>
      <c r="L194" s="54">
        <f>'LISTRIK 2026'!M194-'LISTRIK 2026'!L194</f>
        <v>1155.7000000000007</v>
      </c>
      <c r="M194" s="265"/>
    </row>
    <row r="195" spans="1:13" s="8" customFormat="1" ht="39.950000000000003" customHeight="1" x14ac:dyDescent="0.3">
      <c r="A195" s="353">
        <v>117</v>
      </c>
      <c r="B195" s="144" t="s">
        <v>349</v>
      </c>
      <c r="C195" s="263" t="s">
        <v>42</v>
      </c>
      <c r="D195" s="269">
        <v>51</v>
      </c>
      <c r="E195" s="248" t="s">
        <v>14</v>
      </c>
      <c r="F195" s="253" t="s">
        <v>10</v>
      </c>
      <c r="G195" s="244" t="s">
        <v>255</v>
      </c>
      <c r="H195" s="244"/>
      <c r="I195" s="54">
        <f>'LISTRIK 2026'!J195-'LISTRIK 2026'!I195</f>
        <v>16064</v>
      </c>
      <c r="J195" s="54">
        <f>'LISTRIK 2026'!K195-'LISTRIK 2026'!J195</f>
        <v>13587</v>
      </c>
      <c r="K195" s="54">
        <f>'LISTRIK 2026'!L195-'LISTRIK 2026'!K195</f>
        <v>15589</v>
      </c>
      <c r="L195" s="54">
        <f>'LISTRIK 2026'!M195-'LISTRIK 2026'!L195</f>
        <v>14823</v>
      </c>
      <c r="M195" s="265"/>
    </row>
    <row r="196" spans="1:13" s="8" customFormat="1" ht="39.950000000000003" customHeight="1" x14ac:dyDescent="0.3">
      <c r="A196" s="355"/>
      <c r="B196" s="144" t="s">
        <v>351</v>
      </c>
      <c r="C196" s="258" t="s">
        <v>40</v>
      </c>
      <c r="D196" s="269" t="s">
        <v>40</v>
      </c>
      <c r="E196" s="248" t="s">
        <v>19</v>
      </c>
      <c r="F196" s="242" t="s">
        <v>20</v>
      </c>
      <c r="G196" s="244"/>
      <c r="H196" s="244">
        <v>221095041</v>
      </c>
      <c r="I196" s="54">
        <f>'LISTRIK 2026'!J196-'LISTRIK 2026'!I196</f>
        <v>5102.4000000000015</v>
      </c>
      <c r="J196" s="54">
        <f>'LISTRIK 2026'!K196-'LISTRIK 2026'!J196</f>
        <v>4578.0000000000073</v>
      </c>
      <c r="K196" s="54">
        <f>'LISTRIK 2026'!L196-'LISTRIK 2026'!K196</f>
        <v>5269.8999999999942</v>
      </c>
      <c r="L196" s="54">
        <f>'LISTRIK 2026'!M196-'LISTRIK 2026'!L196</f>
        <v>4739</v>
      </c>
      <c r="M196" s="265"/>
    </row>
    <row r="197" spans="1:13" s="8" customFormat="1" ht="39.950000000000003" customHeight="1" x14ac:dyDescent="0.3">
      <c r="A197" s="354"/>
      <c r="B197" s="144" t="s">
        <v>350</v>
      </c>
      <c r="C197" s="258" t="s">
        <v>41</v>
      </c>
      <c r="D197" s="269" t="s">
        <v>41</v>
      </c>
      <c r="E197" s="248" t="s">
        <v>17</v>
      </c>
      <c r="F197" s="242" t="s">
        <v>20</v>
      </c>
      <c r="G197" s="244"/>
      <c r="H197" s="244">
        <v>224155136</v>
      </c>
      <c r="I197" s="54">
        <f>'LISTRIK 2026'!J197-'LISTRIK 2026'!I197</f>
        <v>3033.3000000000029</v>
      </c>
      <c r="J197" s="54">
        <f>'LISTRIK 2026'!K197-'LISTRIK 2026'!J197</f>
        <v>2669.4000000000015</v>
      </c>
      <c r="K197" s="54">
        <f>'LISTRIK 2026'!L197-'LISTRIK 2026'!K197</f>
        <v>3045.0999999999985</v>
      </c>
      <c r="L197" s="54">
        <f>'LISTRIK 2026'!M197-'LISTRIK 2026'!L197</f>
        <v>2832.5999999999985</v>
      </c>
      <c r="M197" s="265"/>
    </row>
    <row r="198" spans="1:13" s="8" customFormat="1" ht="39.950000000000003" customHeight="1" x14ac:dyDescent="0.3">
      <c r="A198" s="353">
        <v>118</v>
      </c>
      <c r="B198" s="144" t="s">
        <v>381</v>
      </c>
      <c r="C198" s="258" t="s">
        <v>42</v>
      </c>
      <c r="D198" s="247" t="s">
        <v>383</v>
      </c>
      <c r="E198" s="254" t="s">
        <v>312</v>
      </c>
      <c r="F198" s="253" t="s">
        <v>20</v>
      </c>
      <c r="G198" s="244"/>
      <c r="H198" s="252">
        <v>719331046</v>
      </c>
      <c r="I198" s="54">
        <f>'LISTRIK 2026'!J198-'LISTRIK 2026'!I198</f>
        <v>19831.5</v>
      </c>
      <c r="J198" s="54">
        <f>'LISTRIK 2026'!K198-'LISTRIK 2026'!J198</f>
        <v>18087.299999999988</v>
      </c>
      <c r="K198" s="54">
        <f>'LISTRIK 2026'!L198-'LISTRIK 2026'!K198</f>
        <v>19917.299999999988</v>
      </c>
      <c r="L198" s="54">
        <f>'LISTRIK 2026'!M198-'LISTRIK 2026'!L198</f>
        <v>16943.300000000047</v>
      </c>
      <c r="M198" s="37"/>
    </row>
    <row r="199" spans="1:13" s="8" customFormat="1" ht="39.950000000000003" customHeight="1" x14ac:dyDescent="0.3">
      <c r="A199" s="354"/>
      <c r="B199" s="143" t="s">
        <v>24</v>
      </c>
      <c r="C199" s="263" t="s">
        <v>120</v>
      </c>
      <c r="D199" s="24" t="s">
        <v>120</v>
      </c>
      <c r="E199" s="254" t="s">
        <v>22</v>
      </c>
      <c r="F199" s="253" t="s">
        <v>10</v>
      </c>
      <c r="G199" s="253" t="s">
        <v>258</v>
      </c>
      <c r="H199" s="253">
        <v>6206321</v>
      </c>
      <c r="I199" s="54">
        <f>'LISTRIK 2026'!J199-'LISTRIK 2026'!I199</f>
        <v>37.799999999999272</v>
      </c>
      <c r="J199" s="54">
        <f>'LISTRIK 2026'!K199-'LISTRIK 2026'!J199</f>
        <v>34.600000000002183</v>
      </c>
      <c r="K199" s="54">
        <f>'LISTRIK 2026'!L199-'LISTRIK 2026'!K199</f>
        <v>48.299999999999272</v>
      </c>
      <c r="L199" s="54">
        <f>'LISTRIK 2026'!M199-'LISTRIK 2026'!L199</f>
        <v>41.400000000001455</v>
      </c>
      <c r="M199" s="37"/>
    </row>
    <row r="200" spans="1:13" s="8" customFormat="1" ht="39.950000000000003" customHeight="1" x14ac:dyDescent="0.3">
      <c r="A200" s="261">
        <v>119</v>
      </c>
      <c r="B200" s="144" t="s">
        <v>330</v>
      </c>
      <c r="C200" s="256" t="s">
        <v>42</v>
      </c>
      <c r="D200" s="245">
        <v>63</v>
      </c>
      <c r="E200" s="248" t="s">
        <v>46</v>
      </c>
      <c r="F200" s="242" t="s">
        <v>10</v>
      </c>
      <c r="G200" s="253" t="s">
        <v>251</v>
      </c>
      <c r="H200" s="242"/>
      <c r="I200" s="54">
        <f>'LISTRIK 2026'!J200-'LISTRIK 2026'!I200</f>
        <v>682</v>
      </c>
      <c r="J200" s="54">
        <f>'LISTRIK 2026'!K200-'LISTRIK 2026'!J200</f>
        <v>611</v>
      </c>
      <c r="K200" s="54">
        <f>'LISTRIK 2026'!L200-'LISTRIK 2026'!K200</f>
        <v>676</v>
      </c>
      <c r="L200" s="54">
        <f>'LISTRIK 2026'!M200-'LISTRIK 2026'!L200</f>
        <v>604</v>
      </c>
      <c r="M200" s="167"/>
    </row>
    <row r="201" spans="1:13" s="8" customFormat="1" ht="39.950000000000003" customHeight="1" x14ac:dyDescent="0.3">
      <c r="A201" s="353">
        <v>120</v>
      </c>
      <c r="B201" s="162" t="s">
        <v>110</v>
      </c>
      <c r="C201" s="417" t="s">
        <v>42</v>
      </c>
      <c r="D201" s="405" t="s">
        <v>113</v>
      </c>
      <c r="E201" s="404" t="s">
        <v>73</v>
      </c>
      <c r="F201" s="403" t="s">
        <v>10</v>
      </c>
      <c r="G201" s="253" t="s">
        <v>256</v>
      </c>
      <c r="H201" s="403">
        <v>13222010257</v>
      </c>
      <c r="I201" s="54">
        <f>'LISTRIK 2026'!J201-'LISTRIK 2026'!I201</f>
        <v>8512</v>
      </c>
      <c r="J201" s="54">
        <f>'LISTRIK 2026'!K201-'LISTRIK 2026'!J201</f>
        <v>7566</v>
      </c>
      <c r="K201" s="54">
        <f>'LISTRIK 2026'!L201-'LISTRIK 2026'!K201</f>
        <v>8301</v>
      </c>
      <c r="L201" s="54">
        <f>'LISTRIK 2026'!M201-'LISTRIK 2026'!L201</f>
        <v>8583</v>
      </c>
      <c r="M201" s="35"/>
    </row>
    <row r="202" spans="1:13" s="8" customFormat="1" ht="39.950000000000003" customHeight="1" x14ac:dyDescent="0.3">
      <c r="A202" s="355"/>
      <c r="B202" s="143" t="s">
        <v>111</v>
      </c>
      <c r="C202" s="417"/>
      <c r="D202" s="405"/>
      <c r="E202" s="404"/>
      <c r="F202" s="403"/>
      <c r="G202" s="253" t="s">
        <v>256</v>
      </c>
      <c r="H202" s="403"/>
      <c r="I202" s="54">
        <f>'LISTRIK 2026'!J202-'LISTRIK 2026'!I202</f>
        <v>6883</v>
      </c>
      <c r="J202" s="54">
        <f>'LISTRIK 2026'!K202-'LISTRIK 2026'!J202</f>
        <v>5960</v>
      </c>
      <c r="K202" s="54">
        <f>'LISTRIK 2026'!L202-'LISTRIK 2026'!K202</f>
        <v>6608</v>
      </c>
      <c r="L202" s="54">
        <f>'LISTRIK 2026'!M202-'LISTRIK 2026'!L202</f>
        <v>6890</v>
      </c>
      <c r="M202" s="35"/>
    </row>
    <row r="203" spans="1:13" s="8" customFormat="1" ht="39.950000000000003" customHeight="1" x14ac:dyDescent="0.3">
      <c r="A203" s="355"/>
      <c r="B203" s="143" t="s">
        <v>112</v>
      </c>
      <c r="C203" s="417"/>
      <c r="D203" s="405"/>
      <c r="E203" s="404"/>
      <c r="F203" s="403"/>
      <c r="G203" s="253" t="s">
        <v>256</v>
      </c>
      <c r="H203" s="403"/>
      <c r="I203" s="54">
        <f>'LISTRIK 2026'!J203-'LISTRIK 2026'!I203</f>
        <v>1628</v>
      </c>
      <c r="J203" s="54">
        <f>'LISTRIK 2026'!K203-'LISTRIK 2026'!J203</f>
        <v>1607</v>
      </c>
      <c r="K203" s="54">
        <f>'LISTRIK 2026'!L203-'LISTRIK 2026'!K203</f>
        <v>1693</v>
      </c>
      <c r="L203" s="54">
        <f>'LISTRIK 2026'!M203-'LISTRIK 2026'!L203</f>
        <v>1692</v>
      </c>
      <c r="M203" s="35"/>
    </row>
    <row r="204" spans="1:13" s="8" customFormat="1" ht="39.950000000000003" customHeight="1" x14ac:dyDescent="0.3">
      <c r="A204" s="355"/>
      <c r="B204" s="143" t="s">
        <v>152</v>
      </c>
      <c r="C204" s="417"/>
      <c r="D204" s="405"/>
      <c r="E204" s="404"/>
      <c r="F204" s="253" t="s">
        <v>10</v>
      </c>
      <c r="G204" s="253" t="s">
        <v>255</v>
      </c>
      <c r="H204" s="253">
        <v>18352010552</v>
      </c>
      <c r="I204" s="54">
        <f>'LISTRIK 2026'!J204-'LISTRIK 2026'!I204</f>
        <v>0</v>
      </c>
      <c r="J204" s="54">
        <f>'LISTRIK 2026'!K204-'LISTRIK 2026'!J204</f>
        <v>0</v>
      </c>
      <c r="K204" s="54">
        <f>'LISTRIK 2026'!L204-'LISTRIK 2026'!K204</f>
        <v>0</v>
      </c>
      <c r="L204" s="54">
        <f>'LISTRIK 2026'!M204-'LISTRIK 2026'!L204</f>
        <v>0</v>
      </c>
      <c r="M204" s="35"/>
    </row>
    <row r="205" spans="1:13" s="8" customFormat="1" ht="39.950000000000003" customHeight="1" x14ac:dyDescent="0.3">
      <c r="A205" s="355"/>
      <c r="B205" s="143" t="s">
        <v>180</v>
      </c>
      <c r="C205" s="263" t="s">
        <v>120</v>
      </c>
      <c r="D205" s="255" t="s">
        <v>121</v>
      </c>
      <c r="E205" s="254" t="s">
        <v>22</v>
      </c>
      <c r="F205" s="253" t="s">
        <v>10</v>
      </c>
      <c r="G205" s="253" t="s">
        <v>258</v>
      </c>
      <c r="H205" s="253" t="s">
        <v>177</v>
      </c>
      <c r="I205" s="54">
        <f>'LISTRIK 2026'!J205-'LISTRIK 2026'!I205</f>
        <v>14.299999999999955</v>
      </c>
      <c r="J205" s="54">
        <f>'LISTRIK 2026'!K205-'LISTRIK 2026'!J205</f>
        <v>13</v>
      </c>
      <c r="K205" s="54">
        <f>'LISTRIK 2026'!L205-'LISTRIK 2026'!K205</f>
        <v>14.400000000000091</v>
      </c>
      <c r="L205" s="54">
        <f>'LISTRIK 2026'!M205-'LISTRIK 2026'!L205</f>
        <v>13</v>
      </c>
      <c r="M205" s="37"/>
    </row>
    <row r="206" spans="1:13" s="8" customFormat="1" ht="39.950000000000003" customHeight="1" x14ac:dyDescent="0.3">
      <c r="A206" s="353">
        <v>121</v>
      </c>
      <c r="B206" s="163" t="s">
        <v>123</v>
      </c>
      <c r="C206" s="375" t="s">
        <v>29</v>
      </c>
      <c r="D206" s="398" t="s">
        <v>30</v>
      </c>
      <c r="E206" s="381" t="s">
        <v>122</v>
      </c>
      <c r="F206" s="383" t="s">
        <v>10</v>
      </c>
      <c r="G206" s="242" t="s">
        <v>256</v>
      </c>
      <c r="H206" s="385">
        <v>18092010468</v>
      </c>
      <c r="I206" s="54">
        <f>'LISTRIK 2026'!J206-'LISTRIK 2026'!I206</f>
        <v>44220</v>
      </c>
      <c r="J206" s="54">
        <f>'LISTRIK 2026'!K206-'LISTRIK 2026'!J206</f>
        <v>36403</v>
      </c>
      <c r="K206" s="54">
        <f>'LISTRIK 2026'!L206-'LISTRIK 2026'!K206</f>
        <v>46000</v>
      </c>
      <c r="L206" s="54">
        <f>'LISTRIK 2026'!M206-'LISTRIK 2026'!L206</f>
        <v>42682</v>
      </c>
      <c r="M206" s="35"/>
    </row>
    <row r="207" spans="1:13" s="8" customFormat="1" ht="39.950000000000003" customHeight="1" x14ac:dyDescent="0.3">
      <c r="A207" s="355"/>
      <c r="B207" s="144" t="s">
        <v>124</v>
      </c>
      <c r="C207" s="370"/>
      <c r="D207" s="402"/>
      <c r="E207" s="382"/>
      <c r="F207" s="379"/>
      <c r="G207" s="253" t="s">
        <v>256</v>
      </c>
      <c r="H207" s="386"/>
      <c r="I207" s="54">
        <f>'LISTRIK 2026'!J207-'LISTRIK 2026'!I207</f>
        <v>30235</v>
      </c>
      <c r="J207" s="54">
        <f>'LISTRIK 2026'!K207-'LISTRIK 2026'!J207</f>
        <v>25218</v>
      </c>
      <c r="K207" s="54">
        <f>'LISTRIK 2026'!L207-'LISTRIK 2026'!K207</f>
        <v>31697</v>
      </c>
      <c r="L207" s="54">
        <f>'LISTRIK 2026'!M207-'LISTRIK 2026'!L207</f>
        <v>29133</v>
      </c>
      <c r="M207" s="35"/>
    </row>
    <row r="208" spans="1:13" s="8" customFormat="1" ht="39.950000000000003" customHeight="1" x14ac:dyDescent="0.3">
      <c r="A208" s="355"/>
      <c r="B208" s="144" t="s">
        <v>125</v>
      </c>
      <c r="C208" s="370"/>
      <c r="D208" s="402"/>
      <c r="E208" s="382"/>
      <c r="F208" s="380"/>
      <c r="G208" s="244" t="s">
        <v>256</v>
      </c>
      <c r="H208" s="387"/>
      <c r="I208" s="54">
        <f>'LISTRIK 2026'!J208-'LISTRIK 2026'!I208</f>
        <v>13984</v>
      </c>
      <c r="J208" s="54">
        <f>'LISTRIK 2026'!K208-'LISTRIK 2026'!J208</f>
        <v>11185</v>
      </c>
      <c r="K208" s="54">
        <f>'LISTRIK 2026'!L208-'LISTRIK 2026'!K208</f>
        <v>14302</v>
      </c>
      <c r="L208" s="54">
        <f>'LISTRIK 2026'!M208-'LISTRIK 2026'!L208</f>
        <v>13550</v>
      </c>
      <c r="M208" s="35"/>
    </row>
    <row r="209" spans="1:14" s="8" customFormat="1" ht="39.950000000000003" customHeight="1" x14ac:dyDescent="0.3">
      <c r="A209" s="354"/>
      <c r="B209" s="144" t="s">
        <v>151</v>
      </c>
      <c r="C209" s="371"/>
      <c r="D209" s="399"/>
      <c r="E209" s="384"/>
      <c r="F209" s="244" t="s">
        <v>10</v>
      </c>
      <c r="G209" s="244" t="s">
        <v>255</v>
      </c>
      <c r="H209" s="252">
        <v>17452010410</v>
      </c>
      <c r="I209" s="54">
        <f>'LISTRIK 2026'!J209-'LISTRIK 2026'!I209</f>
        <v>0</v>
      </c>
      <c r="J209" s="54">
        <f>'LISTRIK 2026'!K209-'LISTRIK 2026'!J209</f>
        <v>1</v>
      </c>
      <c r="K209" s="54">
        <f>'LISTRIK 2026'!L209-'LISTRIK 2026'!K209</f>
        <v>1</v>
      </c>
      <c r="L209" s="54">
        <f>'LISTRIK 2026'!M209-'LISTRIK 2026'!L209</f>
        <v>0</v>
      </c>
      <c r="M209" s="35"/>
    </row>
    <row r="210" spans="1:14" s="8" customFormat="1" ht="39.950000000000003" customHeight="1" x14ac:dyDescent="0.3">
      <c r="A210" s="259">
        <v>122</v>
      </c>
      <c r="B210" s="144" t="s">
        <v>334</v>
      </c>
      <c r="C210" s="263" t="s">
        <v>29</v>
      </c>
      <c r="D210" s="24" t="s">
        <v>31</v>
      </c>
      <c r="E210" s="254" t="s">
        <v>237</v>
      </c>
      <c r="F210" s="253" t="s">
        <v>20</v>
      </c>
      <c r="G210" s="253"/>
      <c r="H210" s="26" t="s">
        <v>335</v>
      </c>
      <c r="I210" s="54">
        <f>'LISTRIK 2026'!J210-'LISTRIK 2026'!I210</f>
        <v>13867.600000000006</v>
      </c>
      <c r="J210" s="54">
        <f>'LISTRIK 2026'!K210-'LISTRIK 2026'!J210</f>
        <v>12498.800000000017</v>
      </c>
      <c r="K210" s="54">
        <f>'LISTRIK 2026'!L210-'LISTRIK 2026'!K210</f>
        <v>13507</v>
      </c>
      <c r="L210" s="54">
        <f>'LISTRIK 2026'!M210-'LISTRIK 2026'!L210</f>
        <v>11970.399999999994</v>
      </c>
      <c r="M210" s="35"/>
    </row>
    <row r="211" spans="1:14" s="8" customFormat="1" ht="39.950000000000003" customHeight="1" x14ac:dyDescent="0.3">
      <c r="A211" s="259">
        <v>123</v>
      </c>
      <c r="B211" s="143" t="s">
        <v>416</v>
      </c>
      <c r="C211" s="256" t="s">
        <v>29</v>
      </c>
      <c r="D211" s="267"/>
      <c r="E211" s="254" t="s">
        <v>293</v>
      </c>
      <c r="F211" s="253" t="s">
        <v>10</v>
      </c>
      <c r="G211" s="253" t="s">
        <v>251</v>
      </c>
      <c r="H211" s="26" t="s">
        <v>294</v>
      </c>
      <c r="I211" s="54">
        <f>'LISTRIK 2026'!J211-'LISTRIK 2026'!I211</f>
        <v>3264</v>
      </c>
      <c r="J211" s="54">
        <f>'LISTRIK 2026'!K211-'LISTRIK 2026'!J211</f>
        <v>2902</v>
      </c>
      <c r="K211" s="54">
        <f>'LISTRIK 2026'!L211-'LISTRIK 2026'!K211</f>
        <v>3291</v>
      </c>
      <c r="L211" s="54">
        <f>'LISTRIK 2026'!M211-'LISTRIK 2026'!L211</f>
        <v>2943</v>
      </c>
      <c r="M211" s="37"/>
    </row>
    <row r="212" spans="1:14" s="8" customFormat="1" ht="39.950000000000003" customHeight="1" x14ac:dyDescent="0.3">
      <c r="A212" s="353">
        <v>124</v>
      </c>
      <c r="B212" s="162" t="s">
        <v>25</v>
      </c>
      <c r="C212" s="375" t="s">
        <v>29</v>
      </c>
      <c r="D212" s="400" t="s">
        <v>32</v>
      </c>
      <c r="E212" s="381" t="s">
        <v>34</v>
      </c>
      <c r="F212" s="383" t="s">
        <v>20</v>
      </c>
      <c r="G212" s="242"/>
      <c r="H212" s="383">
        <v>1015443035</v>
      </c>
      <c r="I212" s="54">
        <f>'LISTRIK 2026'!J212-'LISTRIK 2026'!I212</f>
        <v>4534.8999999999651</v>
      </c>
      <c r="J212" s="54">
        <f>'LISTRIK 2026'!K212-'LISTRIK 2026'!J212</f>
        <v>3380.7000000000116</v>
      </c>
      <c r="K212" s="54">
        <f>'LISTRIK 2026'!L212-'LISTRIK 2026'!K212</f>
        <v>3497.5999999999767</v>
      </c>
      <c r="L212" s="54">
        <f>'LISTRIK 2026'!M212-'LISTRIK 2026'!L212</f>
        <v>4104.3000000000466</v>
      </c>
      <c r="M212" s="35"/>
    </row>
    <row r="213" spans="1:14" s="8" customFormat="1" ht="39.950000000000003" customHeight="1" x14ac:dyDescent="0.3">
      <c r="A213" s="355"/>
      <c r="B213" s="143" t="s">
        <v>26</v>
      </c>
      <c r="C213" s="370"/>
      <c r="D213" s="373"/>
      <c r="E213" s="382"/>
      <c r="F213" s="379"/>
      <c r="G213" s="253"/>
      <c r="H213" s="379"/>
      <c r="I213" s="54">
        <f>'LISTRIK 2026'!J213-'LISTRIK 2026'!I213</f>
        <v>3538.4000000000233</v>
      </c>
      <c r="J213" s="54">
        <f>'LISTRIK 2026'!K213-'LISTRIK 2026'!J213</f>
        <v>2911.3999999999651</v>
      </c>
      <c r="K213" s="54">
        <f>'LISTRIK 2026'!L213-'LISTRIK 2026'!K213</f>
        <v>2827.3000000000466</v>
      </c>
      <c r="L213" s="54">
        <f>'LISTRIK 2026'!M213-'LISTRIK 2026'!L213</f>
        <v>2997016.1</v>
      </c>
      <c r="M213" s="35"/>
    </row>
    <row r="214" spans="1:14" s="8" customFormat="1" ht="39.950000000000003" customHeight="1" x14ac:dyDescent="0.3">
      <c r="A214" s="355"/>
      <c r="B214" s="143" t="s">
        <v>27</v>
      </c>
      <c r="C214" s="370"/>
      <c r="D214" s="373"/>
      <c r="E214" s="382"/>
      <c r="F214" s="380"/>
      <c r="G214" s="253"/>
      <c r="H214" s="380"/>
      <c r="I214" s="54">
        <f>'LISTRIK 2026'!J214-'LISTRIK 2026'!I214</f>
        <v>996.40000000000873</v>
      </c>
      <c r="J214" s="54">
        <f>'LISTRIK 2026'!K214-'LISTRIK 2026'!J214</f>
        <v>469.39999999999418</v>
      </c>
      <c r="K214" s="54">
        <f>'LISTRIK 2026'!L214-'LISTRIK 2026'!K214</f>
        <v>670.19999999999709</v>
      </c>
      <c r="L214" s="54">
        <f>'LISTRIK 2026'!M214-'LISTRIK 2026'!L214</f>
        <v>951.69999999999709</v>
      </c>
      <c r="M214" s="35"/>
    </row>
    <row r="215" spans="1:14" s="8" customFormat="1" ht="39.950000000000003" customHeight="1" x14ac:dyDescent="0.3">
      <c r="A215" s="354"/>
      <c r="B215" s="144" t="s">
        <v>150</v>
      </c>
      <c r="C215" s="371"/>
      <c r="D215" s="374"/>
      <c r="E215" s="384"/>
      <c r="F215" s="253" t="s">
        <v>10</v>
      </c>
      <c r="G215" s="253" t="s">
        <v>255</v>
      </c>
      <c r="H215" s="253">
        <v>18072010329</v>
      </c>
      <c r="I215" s="54">
        <f>'LISTRIK 2026'!J215-'LISTRIK 2026'!I215</f>
        <v>0</v>
      </c>
      <c r="J215" s="54">
        <f>'LISTRIK 2026'!K215-'LISTRIK 2026'!J215</f>
        <v>0</v>
      </c>
      <c r="K215" s="54">
        <f>'LISTRIK 2026'!L215-'LISTRIK 2026'!K215</f>
        <v>0</v>
      </c>
      <c r="L215" s="54">
        <f>'LISTRIK 2026'!M215-'LISTRIK 2026'!L215</f>
        <v>0</v>
      </c>
      <c r="M215" s="35"/>
    </row>
    <row r="216" spans="1:14" s="8" customFormat="1" ht="39.950000000000003" customHeight="1" x14ac:dyDescent="0.3">
      <c r="A216" s="259">
        <v>125</v>
      </c>
      <c r="B216" s="144" t="s">
        <v>28</v>
      </c>
      <c r="C216" s="375" t="s">
        <v>21</v>
      </c>
      <c r="D216" s="245" t="s">
        <v>33</v>
      </c>
      <c r="E216" s="248" t="s">
        <v>12</v>
      </c>
      <c r="F216" s="242" t="s">
        <v>20</v>
      </c>
      <c r="G216" s="242"/>
      <c r="H216" s="251" t="s">
        <v>35</v>
      </c>
      <c r="I216" s="54">
        <f>'LISTRIK 2026'!J216-'LISTRIK 2026'!I216</f>
        <v>8493.5999999999767</v>
      </c>
      <c r="J216" s="54">
        <f>'LISTRIK 2026'!K216-'LISTRIK 2026'!J216</f>
        <v>6936</v>
      </c>
      <c r="K216" s="54">
        <f>'LISTRIK 2026'!L216-'LISTRIK 2026'!K216</f>
        <v>8578.6000000000349</v>
      </c>
      <c r="L216" s="54">
        <f>'LISTRIK 2026'!M216-'LISTRIK 2026'!L216</f>
        <v>7558.3999999999651</v>
      </c>
      <c r="M216" s="265"/>
    </row>
    <row r="217" spans="1:14" s="8" customFormat="1" ht="39.950000000000003" customHeight="1" x14ac:dyDescent="0.3">
      <c r="A217" s="353">
        <v>126</v>
      </c>
      <c r="B217" s="144" t="s">
        <v>319</v>
      </c>
      <c r="C217" s="371"/>
      <c r="D217" s="245"/>
      <c r="E217" s="248" t="s">
        <v>149</v>
      </c>
      <c r="F217" s="253" t="s">
        <v>10</v>
      </c>
      <c r="G217" s="267" t="s">
        <v>253</v>
      </c>
      <c r="H217" s="251">
        <v>14422010044</v>
      </c>
      <c r="I217" s="54">
        <f>'LISTRIK 2026'!J217-'LISTRIK 2026'!I217</f>
        <v>123.80000000000018</v>
      </c>
      <c r="J217" s="54">
        <f>'LISTRIK 2026'!K217-'LISTRIK 2026'!J217</f>
        <v>121.19999999999982</v>
      </c>
      <c r="K217" s="54">
        <f>'LISTRIK 2026'!L217-'LISTRIK 2026'!K217</f>
        <v>138.60000000000014</v>
      </c>
      <c r="L217" s="54">
        <f>'LISTRIK 2026'!M217-'LISTRIK 2026'!L217</f>
        <v>126.39999999999986</v>
      </c>
      <c r="M217" s="265"/>
    </row>
    <row r="218" spans="1:14" s="8" customFormat="1" ht="39.950000000000003" customHeight="1" x14ac:dyDescent="0.3">
      <c r="A218" s="354"/>
      <c r="B218" s="144" t="s">
        <v>418</v>
      </c>
      <c r="C218" s="316" t="s">
        <v>287</v>
      </c>
      <c r="D218" s="322"/>
      <c r="E218" s="319" t="s">
        <v>12</v>
      </c>
      <c r="F218" s="320" t="s">
        <v>20</v>
      </c>
      <c r="G218" s="313"/>
      <c r="H218" s="318" t="s">
        <v>419</v>
      </c>
      <c r="I218" s="54"/>
      <c r="J218" s="54"/>
      <c r="K218" s="54">
        <f>'LISTRIK 2026'!L218-'LISTRIK 2026'!K218</f>
        <v>0</v>
      </c>
      <c r="L218" s="54">
        <f>'LISTRIK 2026'!M218-'LISTRIK 2026'!L218</f>
        <v>4698.8999999999996</v>
      </c>
      <c r="M218" s="265"/>
    </row>
    <row r="219" spans="1:14" s="8" customFormat="1" ht="39.950000000000003" customHeight="1" x14ac:dyDescent="0.3">
      <c r="A219" s="353">
        <v>127</v>
      </c>
      <c r="B219" s="144" t="s">
        <v>140</v>
      </c>
      <c r="C219" s="375" t="s">
        <v>8</v>
      </c>
      <c r="D219" s="398" t="s">
        <v>144</v>
      </c>
      <c r="E219" s="381" t="s">
        <v>43</v>
      </c>
      <c r="F219" s="383" t="s">
        <v>20</v>
      </c>
      <c r="G219" s="242"/>
      <c r="H219" s="385">
        <v>1016322127</v>
      </c>
      <c r="I219" s="54">
        <f>'LISTRIK 2026'!J219-'LISTRIK 2026'!I219</f>
        <v>24995.5</v>
      </c>
      <c r="J219" s="54">
        <f>'LISTRIK 2026'!K219-'LISTRIK 2026'!J219</f>
        <v>21368.100000000093</v>
      </c>
      <c r="K219" s="54">
        <f>'LISTRIK 2026'!L219-'LISTRIK 2026'!K219</f>
        <v>20610.199999999953</v>
      </c>
      <c r="L219" s="54">
        <f>'LISTRIK 2026'!M219-'LISTRIK 2026'!L219</f>
        <v>26895.199999999953</v>
      </c>
      <c r="M219" s="35"/>
    </row>
    <row r="220" spans="1:14" s="8" customFormat="1" ht="39.950000000000003" customHeight="1" x14ac:dyDescent="0.3">
      <c r="A220" s="355"/>
      <c r="B220" s="144" t="s">
        <v>141</v>
      </c>
      <c r="C220" s="370"/>
      <c r="D220" s="402"/>
      <c r="E220" s="382"/>
      <c r="F220" s="379"/>
      <c r="G220" s="253"/>
      <c r="H220" s="386"/>
      <c r="I220" s="54">
        <f>'LISTRIK 2026'!J220-'LISTRIK 2026'!I220</f>
        <v>23715</v>
      </c>
      <c r="J220" s="54">
        <f>'LISTRIK 2026'!K220-'LISTRIK 2026'!J220</f>
        <v>19983.699999999953</v>
      </c>
      <c r="K220" s="54">
        <f>'LISTRIK 2026'!L220-'LISTRIK 2026'!K220</f>
        <v>19051.199999999953</v>
      </c>
      <c r="L220" s="54">
        <f>'LISTRIK 2026'!M220-'LISTRIK 2026'!L220</f>
        <v>25130.199999999953</v>
      </c>
      <c r="M220" s="35"/>
    </row>
    <row r="221" spans="1:14" s="8" customFormat="1" ht="39.950000000000003" customHeight="1" x14ac:dyDescent="0.3">
      <c r="A221" s="355"/>
      <c r="B221" s="144" t="s">
        <v>142</v>
      </c>
      <c r="C221" s="370"/>
      <c r="D221" s="402"/>
      <c r="E221" s="382"/>
      <c r="F221" s="380"/>
      <c r="G221" s="244"/>
      <c r="H221" s="387"/>
      <c r="I221" s="54">
        <f>'LISTRIK 2026'!J221-'LISTRIK 2026'!I221</f>
        <v>1280.2000000000116</v>
      </c>
      <c r="J221" s="54">
        <f>'LISTRIK 2026'!K221-'LISTRIK 2026'!J221</f>
        <v>1384</v>
      </c>
      <c r="K221" s="54" t="e">
        <f>'LISTRIK 2026'!L221-'LISTRIK 2026'!K221</f>
        <v>#VALUE!</v>
      </c>
      <c r="L221" s="54" t="e">
        <f>'LISTRIK 2026'!M221-'LISTRIK 2026'!L221</f>
        <v>#VALUE!</v>
      </c>
      <c r="M221" s="35"/>
    </row>
    <row r="222" spans="1:14" s="8" customFormat="1" ht="39.950000000000003" customHeight="1" x14ac:dyDescent="0.3">
      <c r="A222" s="354"/>
      <c r="B222" s="143" t="s">
        <v>143</v>
      </c>
      <c r="C222" s="371"/>
      <c r="D222" s="399"/>
      <c r="E222" s="384"/>
      <c r="F222" s="253" t="s">
        <v>10</v>
      </c>
      <c r="G222" s="253" t="s">
        <v>255</v>
      </c>
      <c r="H222" s="26">
        <v>14202010825</v>
      </c>
      <c r="I222" s="54">
        <f>'LISTRIK 2026'!J222-'LISTRIK 2026'!I222</f>
        <v>0</v>
      </c>
      <c r="J222" s="54">
        <f>'LISTRIK 2026'!K222-'LISTRIK 2026'!J222</f>
        <v>0</v>
      </c>
      <c r="K222" s="54">
        <f>'LISTRIK 2026'!L222-'LISTRIK 2026'!K222</f>
        <v>0</v>
      </c>
      <c r="L222" s="54">
        <f>'LISTRIK 2026'!M222-'LISTRIK 2026'!L222</f>
        <v>0</v>
      </c>
      <c r="M222" s="37"/>
      <c r="N222" s="286"/>
    </row>
    <row r="223" spans="1:14" s="8" customFormat="1" ht="39.950000000000003" customHeight="1" x14ac:dyDescent="0.3">
      <c r="A223" s="353">
        <v>128</v>
      </c>
      <c r="B223" s="144" t="s">
        <v>134</v>
      </c>
      <c r="C223" s="375" t="s">
        <v>8</v>
      </c>
      <c r="D223" s="398" t="s">
        <v>133</v>
      </c>
      <c r="E223" s="406" t="s">
        <v>138</v>
      </c>
      <c r="F223" s="400" t="s">
        <v>181</v>
      </c>
      <c r="G223" s="267"/>
      <c r="H223" s="385">
        <v>219945979</v>
      </c>
      <c r="I223" s="54">
        <f>'LISTRIK 2026'!J223-'LISTRIK 2026'!I223</f>
        <v>469998.62999999896</v>
      </c>
      <c r="J223" s="54">
        <f>'LISTRIK 2026'!K223-'LISTRIK 2026'!J223</f>
        <v>402308.23999999836</v>
      </c>
      <c r="K223" s="54">
        <f>'LISTRIK 2026'!L223-'LISTRIK 2026'!K223</f>
        <v>574823.54000000283</v>
      </c>
      <c r="L223" s="54">
        <f>'LISTRIK 2026'!M223-'LISTRIK 2026'!L223</f>
        <v>311277.18999999762</v>
      </c>
      <c r="M223" s="37"/>
    </row>
    <row r="224" spans="1:14" s="8" customFormat="1" ht="39.950000000000003" customHeight="1" x14ac:dyDescent="0.3">
      <c r="A224" s="355"/>
      <c r="B224" s="144" t="s">
        <v>135</v>
      </c>
      <c r="C224" s="370"/>
      <c r="D224" s="402"/>
      <c r="E224" s="407"/>
      <c r="F224" s="373"/>
      <c r="G224" s="267"/>
      <c r="H224" s="386"/>
      <c r="I224" s="54">
        <f>'LISTRIK 2026'!J224-'LISTRIK 2026'!I224</f>
        <v>384240.42000000179</v>
      </c>
      <c r="J224" s="54">
        <f>'LISTRIK 2026'!K224-'LISTRIK 2026'!J224</f>
        <v>329056.69999999925</v>
      </c>
      <c r="K224" s="54">
        <f>'LISTRIK 2026'!L224-'LISTRIK 2026'!K224</f>
        <v>468218.14999999851</v>
      </c>
      <c r="L224" s="54">
        <f>'LISTRIK 2026'!M224-'LISTRIK 2026'!L224</f>
        <v>256134.04000000283</v>
      </c>
      <c r="M224" s="303"/>
    </row>
    <row r="225" spans="1:13" s="8" customFormat="1" ht="39.950000000000003" customHeight="1" x14ac:dyDescent="0.3">
      <c r="A225" s="354"/>
      <c r="B225" s="144" t="s">
        <v>136</v>
      </c>
      <c r="C225" s="371"/>
      <c r="D225" s="399"/>
      <c r="E225" s="408"/>
      <c r="F225" s="374"/>
      <c r="G225" s="24"/>
      <c r="H225" s="387"/>
      <c r="I225" s="54">
        <f>'LISTRIK 2026'!J225-'LISTRIK 2026'!I225</f>
        <v>85759.069999999832</v>
      </c>
      <c r="J225" s="54">
        <f>'LISTRIK 2026'!K225-'LISTRIK 2026'!J225</f>
        <v>73250.149999999907</v>
      </c>
      <c r="K225" s="54">
        <f>'LISTRIK 2026'!L225-'LISTRIK 2026'!K225</f>
        <v>106607.3200000003</v>
      </c>
      <c r="L225" s="54">
        <f>'LISTRIK 2026'!M225-'LISTRIK 2026'!L225</f>
        <v>55142.879999999888</v>
      </c>
      <c r="M225" s="37"/>
    </row>
    <row r="226" spans="1:13" s="8" customFormat="1" ht="42" customHeight="1" x14ac:dyDescent="0.3">
      <c r="A226" s="353">
        <v>129</v>
      </c>
      <c r="B226" s="163" t="s">
        <v>203</v>
      </c>
      <c r="C226" s="409" t="s">
        <v>128</v>
      </c>
      <c r="D226" s="49" t="s">
        <v>130</v>
      </c>
      <c r="E226" s="38" t="s">
        <v>146</v>
      </c>
      <c r="F226" s="273" t="s">
        <v>131</v>
      </c>
      <c r="G226" s="273"/>
      <c r="H226" s="30" t="s">
        <v>132</v>
      </c>
      <c r="I226" s="54">
        <f>'LISTRIK 2026'!J226-'LISTRIK 2026'!I226</f>
        <v>106829.37999999989</v>
      </c>
      <c r="J226" s="54">
        <f>'LISTRIK 2026'!K226-'LISTRIK 2026'!J226</f>
        <v>104048.04000000004</v>
      </c>
      <c r="K226" s="54">
        <f>'LISTRIK 2026'!L226-'LISTRIK 2026'!K226</f>
        <v>112361.6799999997</v>
      </c>
      <c r="L226" s="54">
        <f>'LISTRIK 2026'!M226-'LISTRIK 2026'!L226</f>
        <v>102301.02000000048</v>
      </c>
      <c r="M226" s="37"/>
    </row>
    <row r="227" spans="1:13" s="8" customFormat="1" ht="42" customHeight="1" x14ac:dyDescent="0.3">
      <c r="A227" s="355"/>
      <c r="B227" s="163" t="s">
        <v>320</v>
      </c>
      <c r="C227" s="410"/>
      <c r="D227" s="92" t="s">
        <v>235</v>
      </c>
      <c r="E227" s="38" t="s">
        <v>146</v>
      </c>
      <c r="F227" s="273" t="s">
        <v>131</v>
      </c>
      <c r="G227" s="273"/>
      <c r="H227" s="30" t="s">
        <v>234</v>
      </c>
      <c r="I227" s="54">
        <f>'LISTRIK 2026'!J227-'LISTRIK 2026'!I227</f>
        <v>164989.29999999981</v>
      </c>
      <c r="J227" s="54" t="e">
        <f>'LISTRIK 2026'!K227-'LISTRIK 2026'!J227</f>
        <v>#VALUE!</v>
      </c>
      <c r="K227" s="54" t="e">
        <f>'LISTRIK 2026'!L227-'LISTRIK 2026'!K227</f>
        <v>#VALUE!</v>
      </c>
      <c r="L227" s="54">
        <f>'LISTRIK 2026'!M227-'LISTRIK 2026'!L227</f>
        <v>158961.16000000015</v>
      </c>
      <c r="M227" s="303"/>
    </row>
    <row r="228" spans="1:13" s="8" customFormat="1" ht="42" customHeight="1" x14ac:dyDescent="0.3">
      <c r="A228" s="355"/>
      <c r="B228" s="163" t="s">
        <v>145</v>
      </c>
      <c r="C228" s="410"/>
      <c r="D228" s="49" t="s">
        <v>175</v>
      </c>
      <c r="E228" s="38" t="s">
        <v>146</v>
      </c>
      <c r="F228" s="273" t="s">
        <v>131</v>
      </c>
      <c r="G228" s="273"/>
      <c r="H228" s="30" t="s">
        <v>132</v>
      </c>
      <c r="I228" s="54">
        <f>'LISTRIK 2026'!J228-'LISTRIK 2026'!I228</f>
        <v>96828.319999999367</v>
      </c>
      <c r="J228" s="54">
        <f>'LISTRIK 2026'!K228-'LISTRIK 2026'!J228</f>
        <v>94987.589999999851</v>
      </c>
      <c r="K228" s="54">
        <f>'LISTRIK 2026'!L228-'LISTRIK 2026'!K228</f>
        <v>89009.38000000082</v>
      </c>
      <c r="L228" s="54">
        <f>'LISTRIK 2026'!M228-'LISTRIK 2026'!L228</f>
        <v>86628.539999999106</v>
      </c>
      <c r="M228" s="37"/>
    </row>
    <row r="229" spans="1:13" s="8" customFormat="1" ht="42" customHeight="1" x14ac:dyDescent="0.3">
      <c r="A229" s="355"/>
      <c r="B229" s="163" t="s">
        <v>174</v>
      </c>
      <c r="C229" s="410"/>
      <c r="D229" s="49" t="s">
        <v>175</v>
      </c>
      <c r="E229" s="38" t="s">
        <v>146</v>
      </c>
      <c r="F229" s="273" t="s">
        <v>131</v>
      </c>
      <c r="G229" s="273"/>
      <c r="H229" s="30" t="s">
        <v>132</v>
      </c>
      <c r="I229" s="54">
        <f>'LISTRIK 2026'!J229-'LISTRIK 2026'!I229</f>
        <v>41973.420000000158</v>
      </c>
      <c r="J229" s="54">
        <f>'LISTRIK 2026'!K229-'LISTRIK 2026'!J229</f>
        <v>43464.279999999795</v>
      </c>
      <c r="K229" s="54">
        <f>'LISTRIK 2026'!L229-'LISTRIK 2026'!K229</f>
        <v>40877.64000000013</v>
      </c>
      <c r="L229" s="54">
        <f>'LISTRIK 2026'!M229-'LISTRIK 2026'!L229</f>
        <v>34129.35999999987</v>
      </c>
      <c r="M229" s="265"/>
    </row>
    <row r="230" spans="1:13" s="8" customFormat="1" ht="42" customHeight="1" x14ac:dyDescent="0.3">
      <c r="A230" s="355"/>
      <c r="B230" s="163" t="s">
        <v>127</v>
      </c>
      <c r="C230" s="411"/>
      <c r="D230" s="49" t="s">
        <v>129</v>
      </c>
      <c r="E230" s="38" t="s">
        <v>137</v>
      </c>
      <c r="F230" s="273" t="s">
        <v>131</v>
      </c>
      <c r="G230" s="273"/>
      <c r="H230" s="30" t="s">
        <v>132</v>
      </c>
      <c r="I230" s="54">
        <f>'LISTRIK 2026'!J230-'LISTRIK 2026'!I230</f>
        <v>49375.530000000261</v>
      </c>
      <c r="J230" s="54">
        <f>'LISTRIK 2026'!K230-'LISTRIK 2026'!J230</f>
        <v>29463.159999999683</v>
      </c>
      <c r="K230" s="54">
        <f>'LISTRIK 2026'!L230-'LISTRIK 2026'!K230</f>
        <v>37860.420000000391</v>
      </c>
      <c r="L230" s="54">
        <f>'LISTRIK 2026'!M230-'LISTRIK 2026'!L230</f>
        <v>35449.239999999758</v>
      </c>
      <c r="M230" s="37"/>
    </row>
    <row r="231" spans="1:13" s="8" customFormat="1" ht="39.950000000000003" customHeight="1" x14ac:dyDescent="0.3">
      <c r="A231" s="365">
        <v>130</v>
      </c>
      <c r="B231" s="422" t="s">
        <v>154</v>
      </c>
      <c r="C231" s="263" t="s">
        <v>29</v>
      </c>
      <c r="D231" s="245" t="s">
        <v>98</v>
      </c>
      <c r="E231" s="248" t="s">
        <v>73</v>
      </c>
      <c r="F231" s="242" t="s">
        <v>20</v>
      </c>
      <c r="G231" s="242"/>
      <c r="H231" s="251" t="s">
        <v>126</v>
      </c>
      <c r="I231" s="54">
        <f>'LISTRIK 2026'!J231-'LISTRIK 2026'!I231</f>
        <v>18847.699999999953</v>
      </c>
      <c r="J231" s="54">
        <f>'LISTRIK 2026'!K231-'LISTRIK 2026'!J231</f>
        <v>15444.40000000014</v>
      </c>
      <c r="K231" s="54">
        <f>'LISTRIK 2026'!L231-'LISTRIK 2026'!K231</f>
        <v>17757.399999999907</v>
      </c>
      <c r="L231" s="54">
        <f>'LISTRIK 2026'!M231-'LISTRIK 2026'!L231</f>
        <v>16009</v>
      </c>
      <c r="M231" s="265"/>
    </row>
    <row r="232" spans="1:13" s="8" customFormat="1" ht="39.950000000000003" customHeight="1" thickBot="1" x14ac:dyDescent="0.35">
      <c r="A232" s="424"/>
      <c r="B232" s="423"/>
      <c r="C232" s="288" t="s">
        <v>128</v>
      </c>
      <c r="D232" s="289" t="s">
        <v>128</v>
      </c>
      <c r="E232" s="84" t="s">
        <v>153</v>
      </c>
      <c r="F232" s="84" t="s">
        <v>10</v>
      </c>
      <c r="G232" s="84" t="s">
        <v>255</v>
      </c>
      <c r="H232" s="84">
        <v>17272011946</v>
      </c>
      <c r="I232" s="294">
        <f>'LISTRIK 2026'!J232-'LISTRIK 2026'!I232</f>
        <v>3254</v>
      </c>
      <c r="J232" s="294">
        <f>'LISTRIK 2026'!K232-'LISTRIK 2026'!J232</f>
        <v>2381</v>
      </c>
      <c r="K232" s="294">
        <f>'LISTRIK 2026'!L232-'LISTRIK 2026'!K232</f>
        <v>2800</v>
      </c>
      <c r="L232" s="294">
        <f>'LISTRIK 2026'!M232-'LISTRIK 2026'!L232</f>
        <v>2517</v>
      </c>
      <c r="M232" s="306"/>
    </row>
    <row r="233" spans="1:13" ht="31.5" customHeight="1" x14ac:dyDescent="0.3">
      <c r="A233" s="285"/>
      <c r="B233" s="117"/>
      <c r="C233" s="8"/>
      <c r="D233" s="41"/>
      <c r="E233" s="286"/>
      <c r="F233" s="8"/>
      <c r="G233" s="286"/>
      <c r="H233" s="286"/>
      <c r="I233" s="287">
        <f>SUM(I7:I232)</f>
        <v>2227688.1700000009</v>
      </c>
      <c r="J233" s="295" t="e">
        <f>SUM(J7:J232)</f>
        <v>#VALUE!</v>
      </c>
      <c r="K233" s="295" t="e">
        <f>SUM(K7:K232)</f>
        <v>#VALUE!</v>
      </c>
      <c r="L233" s="295" t="e">
        <f>SUM(L7:L232)</f>
        <v>#VALUE!</v>
      </c>
    </row>
    <row r="234" spans="1:13" ht="31.5" customHeight="1" thickBot="1" x14ac:dyDescent="0.35">
      <c r="A234" s="4"/>
      <c r="B234" s="118"/>
      <c r="C234" s="5"/>
      <c r="D234" s="41"/>
      <c r="E234" s="5"/>
      <c r="F234" s="5"/>
      <c r="G234" s="5"/>
      <c r="H234" s="5"/>
      <c r="I234" s="237">
        <v>46054</v>
      </c>
      <c r="J234" s="237">
        <v>46082</v>
      </c>
      <c r="K234" s="237">
        <v>46113</v>
      </c>
      <c r="L234" s="237">
        <v>46143</v>
      </c>
      <c r="M234" s="329"/>
    </row>
    <row r="235" spans="1:13" ht="16.5" x14ac:dyDescent="0.3">
      <c r="A235" s="57"/>
      <c r="B235" s="119" t="s">
        <v>183</v>
      </c>
      <c r="C235" s="5"/>
      <c r="D235" s="51"/>
      <c r="E235" s="8"/>
      <c r="F235" s="401" t="s">
        <v>184</v>
      </c>
      <c r="G235" s="401"/>
      <c r="H235" s="401"/>
    </row>
    <row r="236" spans="1:13" ht="16.5" x14ac:dyDescent="0.3">
      <c r="A236" s="57"/>
      <c r="B236" s="120"/>
      <c r="C236" s="60"/>
      <c r="D236" s="61"/>
      <c r="E236" s="62"/>
      <c r="F236" s="8"/>
      <c r="G236" s="8"/>
      <c r="H236" s="8"/>
    </row>
    <row r="237" spans="1:13" ht="15.75" x14ac:dyDescent="0.25">
      <c r="A237" s="57"/>
      <c r="B237" s="121"/>
      <c r="C237" s="58"/>
      <c r="D237" s="63"/>
      <c r="E237" s="64"/>
      <c r="F237" s="64"/>
      <c r="G237" s="64"/>
      <c r="H237" s="64"/>
    </row>
    <row r="238" spans="1:13" ht="18" x14ac:dyDescent="0.25">
      <c r="A238" s="57"/>
      <c r="B238" s="122"/>
      <c r="C238" s="7"/>
      <c r="D238" s="63"/>
      <c r="E238" s="65"/>
      <c r="F238" s="65"/>
      <c r="G238" s="65"/>
      <c r="H238" s="65"/>
    </row>
    <row r="239" spans="1:13" ht="16.5" x14ac:dyDescent="0.3">
      <c r="A239" s="57"/>
      <c r="B239" s="123" t="s">
        <v>189</v>
      </c>
      <c r="C239" s="67"/>
      <c r="D239" s="52"/>
      <c r="E239" s="8"/>
      <c r="F239" s="416" t="s">
        <v>309</v>
      </c>
      <c r="G239" s="416"/>
      <c r="H239" s="416"/>
    </row>
    <row r="240" spans="1:13" ht="16.5" x14ac:dyDescent="0.3">
      <c r="A240" s="57"/>
      <c r="B240" s="119" t="s">
        <v>186</v>
      </c>
      <c r="C240" s="67"/>
      <c r="D240" s="52"/>
      <c r="E240" s="8"/>
      <c r="F240" s="415" t="s">
        <v>310</v>
      </c>
      <c r="G240" s="415"/>
      <c r="H240" s="415"/>
    </row>
    <row r="241" spans="1:8" ht="15.75" x14ac:dyDescent="0.25">
      <c r="A241" s="57"/>
      <c r="B241" s="124"/>
      <c r="C241" s="57"/>
      <c r="D241" s="69"/>
      <c r="E241" s="57"/>
      <c r="F241" s="57"/>
      <c r="G241" s="57"/>
      <c r="H241" s="57"/>
    </row>
  </sheetData>
  <mergeCells count="125">
    <mergeCell ref="A219:A222"/>
    <mergeCell ref="C219:C222"/>
    <mergeCell ref="D219:D222"/>
    <mergeCell ref="E219:E222"/>
    <mergeCell ref="F219:F221"/>
    <mergeCell ref="H219:H221"/>
    <mergeCell ref="A206:A209"/>
    <mergeCell ref="C206:C209"/>
    <mergeCell ref="D206:D209"/>
    <mergeCell ref="E206:E209"/>
    <mergeCell ref="F206:F208"/>
    <mergeCell ref="H206:H208"/>
    <mergeCell ref="B231:B232"/>
    <mergeCell ref="J5:J6"/>
    <mergeCell ref="A226:A230"/>
    <mergeCell ref="A231:A232"/>
    <mergeCell ref="A223:A225"/>
    <mergeCell ref="C223:C225"/>
    <mergeCell ref="D223:D225"/>
    <mergeCell ref="E223:E225"/>
    <mergeCell ref="F223:F225"/>
    <mergeCell ref="H223:H225"/>
    <mergeCell ref="C226:C230"/>
    <mergeCell ref="A212:A215"/>
    <mergeCell ref="C212:C215"/>
    <mergeCell ref="D212:D215"/>
    <mergeCell ref="E212:E215"/>
    <mergeCell ref="F212:F214"/>
    <mergeCell ref="H212:H214"/>
    <mergeCell ref="C216:C217"/>
    <mergeCell ref="A182:A183"/>
    <mergeCell ref="C182:C183"/>
    <mergeCell ref="A193:A194"/>
    <mergeCell ref="A195:A197"/>
    <mergeCell ref="A198:A199"/>
    <mergeCell ref="A201:A205"/>
    <mergeCell ref="M5:M6"/>
    <mergeCell ref="A21:A22"/>
    <mergeCell ref="A27:A28"/>
    <mergeCell ref="C27:C28"/>
    <mergeCell ref="D27:D28"/>
    <mergeCell ref="A29:A30"/>
    <mergeCell ref="A31:A32"/>
    <mergeCell ref="A33:A34"/>
    <mergeCell ref="A39:A40"/>
    <mergeCell ref="C5:D6"/>
    <mergeCell ref="B5:B6"/>
    <mergeCell ref="K5:K6"/>
    <mergeCell ref="A7:A18"/>
    <mergeCell ref="F11:F13"/>
    <mergeCell ref="A25:A26"/>
    <mergeCell ref="L5:L6"/>
    <mergeCell ref="F239:H239"/>
    <mergeCell ref="F240:H240"/>
    <mergeCell ref="F235:H235"/>
    <mergeCell ref="H15:H17"/>
    <mergeCell ref="A61:A62"/>
    <mergeCell ref="C61:C62"/>
    <mergeCell ref="D61:D62"/>
    <mergeCell ref="D73:D80"/>
    <mergeCell ref="E73:E76"/>
    <mergeCell ref="F73:F76"/>
    <mergeCell ref="A49:A50"/>
    <mergeCell ref="A51:A54"/>
    <mergeCell ref="C51:C54"/>
    <mergeCell ref="A55:A56"/>
    <mergeCell ref="A85:A86"/>
    <mergeCell ref="A88:A89"/>
    <mergeCell ref="C93:C94"/>
    <mergeCell ref="A95:A97"/>
    <mergeCell ref="C95:C97"/>
    <mergeCell ref="A117:A120"/>
    <mergeCell ref="A126:A127"/>
    <mergeCell ref="A129:A130"/>
    <mergeCell ref="A142:A143"/>
    <mergeCell ref="C201:C204"/>
    <mergeCell ref="A42:A43"/>
    <mergeCell ref="A44:A45"/>
    <mergeCell ref="A46:A47"/>
    <mergeCell ref="H73:H75"/>
    <mergeCell ref="E77:E80"/>
    <mergeCell ref="F77:F80"/>
    <mergeCell ref="C55:C56"/>
    <mergeCell ref="D55:D56"/>
    <mergeCell ref="A57:A58"/>
    <mergeCell ref="C57:C58"/>
    <mergeCell ref="H77:H79"/>
    <mergeCell ref="C149:C151"/>
    <mergeCell ref="D149:D151"/>
    <mergeCell ref="F201:F203"/>
    <mergeCell ref="H201:H203"/>
    <mergeCell ref="A217:A218"/>
    <mergeCell ref="A189:A190"/>
    <mergeCell ref="A64:A65"/>
    <mergeCell ref="A73:A81"/>
    <mergeCell ref="C73:C81"/>
    <mergeCell ref="D201:D204"/>
    <mergeCell ref="E201:E204"/>
    <mergeCell ref="A157:A179"/>
    <mergeCell ref="C157:C178"/>
    <mergeCell ref="D157:D163"/>
    <mergeCell ref="E158:E160"/>
    <mergeCell ref="F158:F160"/>
    <mergeCell ref="H158:H160"/>
    <mergeCell ref="E161:E163"/>
    <mergeCell ref="F161:F163"/>
    <mergeCell ref="H161:H163"/>
    <mergeCell ref="D164:D176"/>
    <mergeCell ref="D177:D178"/>
    <mergeCell ref="A1:J2"/>
    <mergeCell ref="F5:F6"/>
    <mergeCell ref="H5:H6"/>
    <mergeCell ref="E5:E6"/>
    <mergeCell ref="E7:E10"/>
    <mergeCell ref="F7:F9"/>
    <mergeCell ref="H7:H9"/>
    <mergeCell ref="E11:E14"/>
    <mergeCell ref="F15:F18"/>
    <mergeCell ref="A5:A6"/>
    <mergeCell ref="G5:G6"/>
    <mergeCell ref="I5:I6"/>
    <mergeCell ref="H11:H13"/>
    <mergeCell ref="D7:D18"/>
    <mergeCell ref="C7:C18"/>
    <mergeCell ref="E15:E18"/>
  </mergeCells>
  <pageMargins left="0.28999999999999998" right="0.2" top="0.34" bottom="0.37" header="0.24" footer="0.3"/>
  <pageSetup paperSize="9" scale="72" fitToHeight="0" orientation="landscape" r:id="rId1"/>
  <rowBreaks count="3" manualBreakCount="3">
    <brk id="42" max="12" man="1"/>
    <brk id="205" max="12" man="1"/>
    <brk id="226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LISTRIK 2026</vt:lpstr>
      <vt:lpstr>REKAP LISTRIK 2026</vt:lpstr>
      <vt:lpstr>'LISTRIK 2026'!Print_Area</vt:lpstr>
      <vt:lpstr>'REKAP LISTRIK 2026'!Print_Area</vt:lpstr>
      <vt:lpstr>'LISTRIK 2026'!Print_Titles</vt:lpstr>
      <vt:lpstr>'REKAP LISTRIK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Cina Exotic</dc:creator>
  <cp:lastModifiedBy>VD</cp:lastModifiedBy>
  <cp:lastPrinted>2026-05-06T09:54:15Z</cp:lastPrinted>
  <dcterms:created xsi:type="dcterms:W3CDTF">2017-03-16T11:26:41Z</dcterms:created>
  <dcterms:modified xsi:type="dcterms:W3CDTF">2026-05-21T05:34:33Z</dcterms:modified>
</cp:coreProperties>
</file>